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17"/>
  <workbookPr/>
  <mc:AlternateContent xmlns:mc="http://schemas.openxmlformats.org/markup-compatibility/2006">
    <mc:Choice Requires="x15">
      <x15ac:absPath xmlns:x15ac="http://schemas.microsoft.com/office/spreadsheetml/2010/11/ac" url="https://webskitters-my.sharepoint.com/personal/amit_chatterjee_webskitters_com/Documents/Documents/Assignments/Excel/"/>
    </mc:Choice>
  </mc:AlternateContent>
  <xr:revisionPtr revIDLastSave="0" documentId="8_{CA427885-7479-496D-AB3A-F2877BC2C159}" xr6:coauthVersionLast="47" xr6:coauthVersionMax="47" xr10:uidLastSave="{00000000-0000-0000-0000-000000000000}"/>
  <bookViews>
    <workbookView xWindow="-108" yWindow="-108" windowWidth="23256" windowHeight="12456" firstSheet="12" activeTab="12" xr2:uid="{00000000-000D-0000-FFFF-FFFF00000000}"/>
  </bookViews>
  <sheets>
    <sheet name="Q.1." sheetId="16" r:id="rId1"/>
    <sheet name="Q.2." sheetId="4" r:id="rId2"/>
    <sheet name="Q.3." sheetId="3" r:id="rId3"/>
    <sheet name="Q.4." sheetId="11" r:id="rId4"/>
    <sheet name="Q.5." sheetId="17" r:id="rId5"/>
    <sheet name="Q.6." sheetId="7" r:id="rId6"/>
    <sheet name="Pivot Sheet" sheetId="19" r:id="rId7"/>
    <sheet name="Q.7." sheetId="8" r:id="rId8"/>
    <sheet name="Q.8." sheetId="9" r:id="rId9"/>
    <sheet name="Q.9." sheetId="10" r:id="rId10"/>
    <sheet name="Q.10." sheetId="12" r:id="rId11"/>
    <sheet name="Q.11." sheetId="1" r:id="rId12"/>
    <sheet name="Q.12." sheetId="15" r:id="rId13"/>
    <sheet name="Q.13." sheetId="5" r:id="rId14"/>
    <sheet name="Q.14." sheetId="13" r:id="rId15"/>
  </sheets>
  <calcPr calcId="191028"/>
  <pivotCaches>
    <pivotCache cacheId="805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15" l="1" a="1"/>
  <c r="S12" i="15"/>
  <c r="K11" i="3" a="1"/>
  <c r="K11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9" i="1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12" i="15"/>
  <c r="C30" i="15"/>
  <c r="C25" i="15"/>
  <c r="C26" i="15"/>
  <c r="C27" i="15"/>
  <c r="C28" i="15"/>
  <c r="C29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12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F4" i="12"/>
  <c r="B30" i="1"/>
  <c r="J9" i="16"/>
  <c r="B2" i="4" a="1"/>
  <c r="B2" i="4"/>
  <c r="K3" i="3" a="1"/>
  <c r="K3" i="3"/>
  <c r="K12" i="12"/>
  <c r="F5" i="12"/>
  <c r="F6" i="12"/>
  <c r="F7" i="12"/>
  <c r="F8" i="12"/>
  <c r="F9" i="12"/>
  <c r="F10" i="12"/>
  <c r="F11" i="12"/>
  <c r="F12" i="12"/>
  <c r="F13" i="12"/>
  <c r="F14" i="12"/>
  <c r="F15" i="12"/>
  <c r="F16" i="12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" i="10"/>
  <c r="N12" i="10"/>
  <c r="D18" i="9"/>
  <c r="D19" i="9"/>
  <c r="D20" i="9"/>
  <c r="D21" i="9"/>
  <c r="D22" i="9"/>
  <c r="D23" i="9"/>
  <c r="D24" i="9"/>
  <c r="D25" i="9"/>
  <c r="D17" i="9"/>
  <c r="C18" i="9"/>
  <c r="C19" i="9"/>
  <c r="C20" i="9"/>
  <c r="C21" i="9"/>
  <c r="C22" i="9"/>
  <c r="C23" i="9"/>
  <c r="C24" i="9"/>
  <c r="C25" i="9"/>
  <c r="C17" i="9"/>
  <c r="B18" i="9"/>
  <c r="B19" i="9"/>
  <c r="B20" i="9"/>
  <c r="B21" i="9"/>
  <c r="B22" i="9"/>
  <c r="B23" i="9"/>
  <c r="B24" i="9"/>
  <c r="B25" i="9"/>
  <c r="B17" i="9"/>
  <c r="M24" i="8" a="1"/>
  <c r="M24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B643" i="8"/>
  <c r="B644" i="8"/>
  <c r="B645" i="8"/>
  <c r="B646" i="8"/>
  <c r="B647" i="8"/>
  <c r="B648" i="8"/>
  <c r="B649" i="8"/>
  <c r="B650" i="8"/>
  <c r="B651" i="8"/>
  <c r="B652" i="8"/>
  <c r="B653" i="8"/>
  <c r="B654" i="8"/>
  <c r="B655" i="8"/>
  <c r="B656" i="8"/>
  <c r="B657" i="8"/>
  <c r="B658" i="8"/>
  <c r="B659" i="8"/>
  <c r="B660" i="8"/>
  <c r="B661" i="8"/>
  <c r="B662" i="8"/>
  <c r="B663" i="8"/>
  <c r="B664" i="8"/>
  <c r="B665" i="8"/>
  <c r="B666" i="8"/>
  <c r="B667" i="8"/>
  <c r="B668" i="8"/>
  <c r="B669" i="8"/>
  <c r="B670" i="8"/>
  <c r="B671" i="8"/>
  <c r="B672" i="8"/>
  <c r="B673" i="8"/>
  <c r="B674" i="8"/>
  <c r="B675" i="8"/>
  <c r="B676" i="8"/>
  <c r="B677" i="8"/>
  <c r="B678" i="8"/>
  <c r="B679" i="8"/>
  <c r="B680" i="8"/>
  <c r="B681" i="8"/>
  <c r="B682" i="8"/>
  <c r="B683" i="8"/>
  <c r="B684" i="8"/>
  <c r="B685" i="8"/>
  <c r="B686" i="8"/>
  <c r="B687" i="8"/>
  <c r="B688" i="8"/>
  <c r="B689" i="8"/>
  <c r="B690" i="8"/>
  <c r="B691" i="8"/>
  <c r="B692" i="8"/>
  <c r="B693" i="8"/>
  <c r="B694" i="8"/>
  <c r="B695" i="8"/>
  <c r="B696" i="8"/>
  <c r="B697" i="8"/>
  <c r="B698" i="8"/>
  <c r="B699" i="8"/>
  <c r="B700" i="8"/>
  <c r="B701" i="8"/>
  <c r="B702" i="8"/>
  <c r="B703" i="8"/>
  <c r="B704" i="8"/>
  <c r="B705" i="8"/>
  <c r="B706" i="8"/>
  <c r="B707" i="8"/>
  <c r="B708" i="8"/>
  <c r="B709" i="8"/>
  <c r="B710" i="8"/>
  <c r="B711" i="8"/>
  <c r="B712" i="8"/>
  <c r="B713" i="8"/>
  <c r="B714" i="8"/>
  <c r="B715" i="8"/>
  <c r="B716" i="8"/>
  <c r="B717" i="8"/>
  <c r="B718" i="8"/>
  <c r="B719" i="8"/>
  <c r="B720" i="8"/>
  <c r="B721" i="8"/>
  <c r="B722" i="8"/>
  <c r="B723" i="8"/>
  <c r="B724" i="8"/>
  <c r="B725" i="8"/>
  <c r="B726" i="8"/>
  <c r="B727" i="8"/>
  <c r="B728" i="8"/>
  <c r="B729" i="8"/>
  <c r="B730" i="8"/>
  <c r="B731" i="8"/>
  <c r="B732" i="8"/>
  <c r="B733" i="8"/>
  <c r="B734" i="8"/>
  <c r="B735" i="8"/>
  <c r="B736" i="8"/>
  <c r="B737" i="8"/>
  <c r="B738" i="8"/>
  <c r="B739" i="8"/>
  <c r="B740" i="8"/>
  <c r="B741" i="8"/>
  <c r="B742" i="8"/>
  <c r="B743" i="8"/>
  <c r="B744" i="8"/>
  <c r="B745" i="8"/>
  <c r="B746" i="8"/>
  <c r="B747" i="8"/>
  <c r="B748" i="8"/>
  <c r="B749" i="8"/>
  <c r="B750" i="8"/>
  <c r="B751" i="8"/>
  <c r="B752" i="8"/>
  <c r="B753" i="8"/>
  <c r="B754" i="8"/>
  <c r="B755" i="8"/>
  <c r="B756" i="8"/>
  <c r="B757" i="8"/>
  <c r="B758" i="8"/>
  <c r="B759" i="8"/>
  <c r="B760" i="8"/>
  <c r="B761" i="8"/>
  <c r="B762" i="8"/>
  <c r="B763" i="8"/>
  <c r="B764" i="8"/>
  <c r="B765" i="8"/>
  <c r="B766" i="8"/>
  <c r="B767" i="8"/>
  <c r="B768" i="8"/>
  <c r="B769" i="8"/>
  <c r="B770" i="8"/>
  <c r="B771" i="8"/>
  <c r="B772" i="8"/>
  <c r="B773" i="8"/>
  <c r="B774" i="8"/>
  <c r="B775" i="8"/>
  <c r="B776" i="8"/>
  <c r="B777" i="8"/>
  <c r="B778" i="8"/>
  <c r="B779" i="8"/>
  <c r="B780" i="8"/>
  <c r="B781" i="8"/>
  <c r="B782" i="8"/>
  <c r="B783" i="8"/>
  <c r="B784" i="8"/>
  <c r="B785" i="8"/>
  <c r="B786" i="8"/>
  <c r="B787" i="8"/>
  <c r="B788" i="8"/>
  <c r="B789" i="8"/>
  <c r="B790" i="8"/>
  <c r="B791" i="8"/>
  <c r="B792" i="8"/>
  <c r="B793" i="8"/>
  <c r="B794" i="8"/>
  <c r="B795" i="8"/>
  <c r="B796" i="8"/>
  <c r="B797" i="8"/>
  <c r="B798" i="8"/>
  <c r="B799" i="8"/>
  <c r="B800" i="8"/>
  <c r="B801" i="8"/>
  <c r="B802" i="8"/>
  <c r="B803" i="8"/>
  <c r="B804" i="8"/>
  <c r="B805" i="8"/>
  <c r="B806" i="8"/>
  <c r="B807" i="8"/>
  <c r="B808" i="8"/>
  <c r="B809" i="8"/>
  <c r="B810" i="8"/>
  <c r="B811" i="8"/>
  <c r="B812" i="8"/>
  <c r="B813" i="8"/>
  <c r="B814" i="8"/>
  <c r="B815" i="8"/>
  <c r="B816" i="8"/>
  <c r="B817" i="8"/>
  <c r="B818" i="8"/>
  <c r="B819" i="8"/>
  <c r="B820" i="8"/>
  <c r="B821" i="8"/>
  <c r="B822" i="8"/>
  <c r="B823" i="8"/>
  <c r="B824" i="8"/>
  <c r="B825" i="8"/>
  <c r="B826" i="8"/>
  <c r="B827" i="8"/>
  <c r="B828" i="8"/>
  <c r="B829" i="8"/>
  <c r="B830" i="8"/>
  <c r="B831" i="8"/>
  <c r="B832" i="8"/>
  <c r="B833" i="8"/>
  <c r="B834" i="8"/>
  <c r="B835" i="8"/>
  <c r="B836" i="8"/>
  <c r="B837" i="8"/>
  <c r="B838" i="8"/>
  <c r="B839" i="8"/>
  <c r="B840" i="8"/>
  <c r="B841" i="8"/>
  <c r="B842" i="8"/>
  <c r="B843" i="8"/>
  <c r="B844" i="8"/>
  <c r="B845" i="8"/>
  <c r="B846" i="8"/>
  <c r="B847" i="8"/>
  <c r="B848" i="8"/>
  <c r="B849" i="8"/>
  <c r="B850" i="8"/>
  <c r="B851" i="8"/>
  <c r="B852" i="8"/>
  <c r="B853" i="8"/>
  <c r="B854" i="8"/>
  <c r="B855" i="8"/>
  <c r="B856" i="8"/>
  <c r="B857" i="8"/>
  <c r="B858" i="8"/>
  <c r="B859" i="8"/>
  <c r="B860" i="8"/>
  <c r="B861" i="8"/>
  <c r="B862" i="8"/>
  <c r="B863" i="8"/>
  <c r="B864" i="8"/>
  <c r="B865" i="8"/>
  <c r="B866" i="8"/>
  <c r="B867" i="8"/>
  <c r="B868" i="8"/>
  <c r="B869" i="8"/>
  <c r="B870" i="8"/>
  <c r="B871" i="8"/>
  <c r="B872" i="8"/>
  <c r="B873" i="8"/>
  <c r="B874" i="8"/>
  <c r="B875" i="8"/>
  <c r="B876" i="8"/>
  <c r="B877" i="8"/>
  <c r="B878" i="8"/>
  <c r="B879" i="8"/>
  <c r="B880" i="8"/>
  <c r="B881" i="8"/>
  <c r="B882" i="8"/>
  <c r="B883" i="8"/>
  <c r="B884" i="8"/>
  <c r="B885" i="8"/>
  <c r="B886" i="8"/>
  <c r="B887" i="8"/>
  <c r="B888" i="8"/>
  <c r="B889" i="8"/>
  <c r="B890" i="8"/>
  <c r="B891" i="8"/>
  <c r="B892" i="8"/>
  <c r="B893" i="8"/>
  <c r="B894" i="8"/>
  <c r="B895" i="8"/>
  <c r="B896" i="8"/>
  <c r="B897" i="8"/>
  <c r="B898" i="8"/>
  <c r="B899" i="8"/>
  <c r="B900" i="8"/>
  <c r="B901" i="8"/>
  <c r="B902" i="8"/>
  <c r="B903" i="8"/>
  <c r="B904" i="8"/>
  <c r="B905" i="8"/>
  <c r="B906" i="8"/>
  <c r="B907" i="8"/>
  <c r="B908" i="8"/>
  <c r="B909" i="8"/>
  <c r="B910" i="8"/>
  <c r="B911" i="8"/>
  <c r="B912" i="8"/>
  <c r="B913" i="8"/>
  <c r="B914" i="8"/>
  <c r="B915" i="8"/>
  <c r="B916" i="8"/>
  <c r="B917" i="8"/>
  <c r="B918" i="8"/>
  <c r="B919" i="8"/>
  <c r="B920" i="8"/>
  <c r="B921" i="8"/>
  <c r="B922" i="8"/>
  <c r="B923" i="8"/>
  <c r="B924" i="8"/>
  <c r="B925" i="8"/>
  <c r="B926" i="8"/>
  <c r="B927" i="8"/>
  <c r="B928" i="8"/>
  <c r="B929" i="8"/>
  <c r="B930" i="8"/>
  <c r="B931" i="8"/>
  <c r="B932" i="8"/>
  <c r="B933" i="8"/>
  <c r="B934" i="8"/>
  <c r="B935" i="8"/>
  <c r="B936" i="8"/>
  <c r="B937" i="8"/>
  <c r="B938" i="8"/>
  <c r="B939" i="8"/>
  <c r="B940" i="8"/>
  <c r="B941" i="8"/>
  <c r="B942" i="8"/>
  <c r="B943" i="8"/>
  <c r="B944" i="8"/>
  <c r="B945" i="8"/>
  <c r="B946" i="8"/>
  <c r="B947" i="8"/>
  <c r="B948" i="8"/>
  <c r="B949" i="8"/>
  <c r="B950" i="8"/>
  <c r="B951" i="8"/>
  <c r="B952" i="8"/>
  <c r="B953" i="8"/>
  <c r="B954" i="8"/>
  <c r="B955" i="8"/>
  <c r="B956" i="8"/>
  <c r="B957" i="8"/>
  <c r="B958" i="8"/>
  <c r="B959" i="8"/>
  <c r="B960" i="8"/>
  <c r="B961" i="8"/>
  <c r="B962" i="8"/>
  <c r="B963" i="8"/>
  <c r="B964" i="8"/>
  <c r="B965" i="8"/>
  <c r="B966" i="8"/>
  <c r="B967" i="8"/>
  <c r="B968" i="8"/>
  <c r="B969" i="8"/>
  <c r="B970" i="8"/>
  <c r="B971" i="8"/>
  <c r="B972" i="8"/>
  <c r="B973" i="8"/>
  <c r="B974" i="8"/>
  <c r="B975" i="8"/>
  <c r="B976" i="8"/>
  <c r="B977" i="8"/>
  <c r="B978" i="8"/>
  <c r="B979" i="8"/>
  <c r="B980" i="8"/>
  <c r="B981" i="8"/>
  <c r="B982" i="8"/>
  <c r="B983" i="8"/>
  <c r="B984" i="8"/>
  <c r="B985" i="8"/>
  <c r="B986" i="8"/>
  <c r="B987" i="8"/>
  <c r="B988" i="8"/>
  <c r="B989" i="8"/>
  <c r="B990" i="8"/>
  <c r="B991" i="8"/>
  <c r="B992" i="8"/>
  <c r="B993" i="8"/>
  <c r="B994" i="8"/>
  <c r="B995" i="8"/>
  <c r="B996" i="8"/>
  <c r="B997" i="8"/>
  <c r="B998" i="8"/>
  <c r="B999" i="8"/>
  <c r="B1000" i="8"/>
  <c r="B1001" i="8"/>
  <c r="B1002" i="8"/>
  <c r="B1003" i="8"/>
  <c r="B1004" i="8"/>
  <c r="B1005" i="8"/>
  <c r="B1006" i="8"/>
  <c r="B1007" i="8"/>
  <c r="B1008" i="8"/>
  <c r="B1009" i="8"/>
  <c r="B1010" i="8"/>
  <c r="B1011" i="8"/>
  <c r="B1012" i="8"/>
  <c r="B1013" i="8"/>
  <c r="B1014" i="8"/>
  <c r="B1015" i="8"/>
  <c r="B1016" i="8"/>
  <c r="B1017" i="8"/>
  <c r="B1018" i="8"/>
  <c r="B1019" i="8"/>
  <c r="B1020" i="8"/>
  <c r="B1021" i="8"/>
  <c r="B1022" i="8"/>
  <c r="B1023" i="8"/>
  <c r="B1024" i="8"/>
  <c r="B1025" i="8"/>
  <c r="B1026" i="8"/>
  <c r="B1027" i="8"/>
  <c r="B1028" i="8"/>
  <c r="B1029" i="8"/>
  <c r="B1030" i="8"/>
  <c r="B1031" i="8"/>
  <c r="B1032" i="8"/>
  <c r="B1033" i="8"/>
  <c r="B1034" i="8"/>
  <c r="B1035" i="8"/>
  <c r="B1036" i="8"/>
  <c r="B1037" i="8"/>
  <c r="B1038" i="8"/>
  <c r="B1039" i="8"/>
  <c r="B1040" i="8"/>
  <c r="B1041" i="8"/>
  <c r="B1042" i="8"/>
  <c r="B1043" i="8"/>
  <c r="B1044" i="8"/>
  <c r="B1045" i="8"/>
  <c r="B1046" i="8"/>
  <c r="B1047" i="8"/>
  <c r="B1048" i="8"/>
  <c r="B1049" i="8"/>
  <c r="B1050" i="8"/>
  <c r="B1051" i="8"/>
  <c r="B1052" i="8"/>
  <c r="B1053" i="8"/>
  <c r="B1054" i="8"/>
  <c r="B1055" i="8"/>
  <c r="B1056" i="8"/>
  <c r="B1057" i="8"/>
  <c r="B1058" i="8"/>
  <c r="B1059" i="8"/>
  <c r="B1060" i="8"/>
  <c r="B1061" i="8"/>
  <c r="B1062" i="8"/>
  <c r="B1063" i="8"/>
  <c r="B1064" i="8"/>
  <c r="B1065" i="8"/>
  <c r="B1066" i="8"/>
  <c r="B1067" i="8"/>
  <c r="B1068" i="8"/>
  <c r="B1069" i="8"/>
  <c r="B1070" i="8"/>
  <c r="B1071" i="8"/>
  <c r="B1072" i="8"/>
  <c r="B1073" i="8"/>
  <c r="B1074" i="8"/>
  <c r="B1075" i="8"/>
  <c r="B1076" i="8"/>
  <c r="B1077" i="8"/>
  <c r="B1078" i="8"/>
  <c r="B1079" i="8"/>
  <c r="B1080" i="8"/>
  <c r="B1081" i="8"/>
  <c r="B1082" i="8"/>
  <c r="B1083" i="8"/>
  <c r="B1084" i="8"/>
  <c r="B1085" i="8"/>
  <c r="B1086" i="8"/>
  <c r="B1087" i="8"/>
  <c r="B1088" i="8"/>
  <c r="B1089" i="8"/>
  <c r="B1090" i="8"/>
  <c r="B1091" i="8"/>
  <c r="B1092" i="8"/>
  <c r="B1093" i="8"/>
  <c r="B1094" i="8"/>
  <c r="B1095" i="8"/>
  <c r="B1096" i="8"/>
  <c r="B1097" i="8"/>
  <c r="B1098" i="8"/>
  <c r="B1099" i="8"/>
  <c r="B1100" i="8"/>
  <c r="B1101" i="8"/>
  <c r="B1102" i="8"/>
  <c r="B1103" i="8"/>
  <c r="B1104" i="8"/>
  <c r="B1105" i="8"/>
  <c r="B1106" i="8"/>
  <c r="B1107" i="8"/>
  <c r="B1108" i="8"/>
  <c r="B1109" i="8"/>
  <c r="B1110" i="8"/>
  <c r="B1111" i="8"/>
  <c r="B1112" i="8"/>
  <c r="B1113" i="8"/>
  <c r="B1114" i="8"/>
  <c r="B1115" i="8"/>
  <c r="B1116" i="8"/>
  <c r="B1117" i="8"/>
  <c r="B1118" i="8"/>
  <c r="B1119" i="8"/>
  <c r="B1120" i="8"/>
  <c r="B1121" i="8"/>
  <c r="B1122" i="8"/>
  <c r="B1123" i="8"/>
  <c r="B1124" i="8"/>
  <c r="B1125" i="8"/>
  <c r="B1126" i="8"/>
  <c r="B1127" i="8"/>
  <c r="B1128" i="8"/>
  <c r="B1129" i="8"/>
  <c r="B1130" i="8"/>
  <c r="B1131" i="8"/>
  <c r="B1132" i="8"/>
  <c r="B1133" i="8"/>
  <c r="B1134" i="8"/>
  <c r="B1135" i="8"/>
  <c r="B1136" i="8"/>
  <c r="B1137" i="8"/>
  <c r="B1138" i="8"/>
  <c r="B1139" i="8"/>
  <c r="B1140" i="8"/>
  <c r="B1141" i="8"/>
  <c r="B1142" i="8"/>
  <c r="B1143" i="8"/>
  <c r="B1144" i="8"/>
  <c r="B1145" i="8"/>
  <c r="B1146" i="8"/>
  <c r="B1147" i="8"/>
  <c r="B1148" i="8"/>
  <c r="B1149" i="8"/>
  <c r="B1150" i="8"/>
  <c r="B1151" i="8"/>
  <c r="B1152" i="8"/>
  <c r="B1153" i="8"/>
  <c r="B1154" i="8"/>
  <c r="B1155" i="8"/>
  <c r="B1156" i="8"/>
  <c r="B1157" i="8"/>
  <c r="B1158" i="8"/>
  <c r="B1159" i="8"/>
  <c r="B1160" i="8"/>
  <c r="B1161" i="8"/>
  <c r="B1162" i="8"/>
  <c r="B1163" i="8"/>
  <c r="B1164" i="8"/>
  <c r="B1165" i="8"/>
  <c r="B1166" i="8"/>
  <c r="B1167" i="8"/>
  <c r="B1168" i="8"/>
  <c r="B1169" i="8"/>
  <c r="B1170" i="8"/>
  <c r="B1171" i="8"/>
  <c r="B1172" i="8"/>
  <c r="B1173" i="8"/>
  <c r="B1174" i="8"/>
  <c r="B1175" i="8"/>
  <c r="B1176" i="8"/>
  <c r="B1177" i="8"/>
  <c r="B1178" i="8"/>
  <c r="B1179" i="8"/>
  <c r="B1180" i="8"/>
  <c r="B1181" i="8"/>
  <c r="B1182" i="8"/>
  <c r="B1183" i="8"/>
  <c r="B1184" i="8"/>
  <c r="B1185" i="8"/>
  <c r="B1186" i="8"/>
  <c r="B1187" i="8"/>
  <c r="B1188" i="8"/>
  <c r="B1189" i="8"/>
  <c r="B1190" i="8"/>
  <c r="B1191" i="8"/>
  <c r="B1192" i="8"/>
  <c r="B1193" i="8"/>
  <c r="B1194" i="8"/>
  <c r="B1195" i="8"/>
  <c r="B1196" i="8"/>
  <c r="B1197" i="8"/>
  <c r="B1198" i="8"/>
  <c r="B1199" i="8"/>
  <c r="B1200" i="8"/>
  <c r="B1201" i="8"/>
  <c r="B1202" i="8"/>
  <c r="B1203" i="8"/>
  <c r="B1204" i="8"/>
  <c r="B1205" i="8"/>
  <c r="B1206" i="8"/>
  <c r="B1207" i="8"/>
  <c r="B1208" i="8"/>
  <c r="B1209" i="8"/>
  <c r="B1210" i="8"/>
  <c r="B1211" i="8"/>
  <c r="B1212" i="8"/>
  <c r="B1213" i="8"/>
  <c r="B1214" i="8"/>
  <c r="B1215" i="8"/>
  <c r="B1216" i="8"/>
  <c r="B1217" i="8"/>
  <c r="B1218" i="8"/>
  <c r="B1219" i="8"/>
  <c r="B1220" i="8"/>
  <c r="B1221" i="8"/>
  <c r="B1222" i="8"/>
  <c r="B1223" i="8"/>
  <c r="B1224" i="8"/>
  <c r="B1225" i="8"/>
  <c r="B1226" i="8"/>
  <c r="B1227" i="8"/>
  <c r="B1228" i="8"/>
  <c r="B1229" i="8"/>
  <c r="B1230" i="8"/>
  <c r="B1231" i="8"/>
  <c r="B1232" i="8"/>
  <c r="B1233" i="8"/>
  <c r="B1234" i="8"/>
  <c r="B1235" i="8"/>
  <c r="B1236" i="8"/>
  <c r="B1237" i="8"/>
  <c r="B1238" i="8"/>
  <c r="B1239" i="8"/>
  <c r="B1240" i="8"/>
  <c r="B1241" i="8"/>
  <c r="B1242" i="8"/>
  <c r="B1243" i="8"/>
  <c r="B1244" i="8"/>
  <c r="B1245" i="8"/>
  <c r="B1246" i="8"/>
  <c r="B1247" i="8"/>
  <c r="B1248" i="8"/>
  <c r="B1249" i="8"/>
  <c r="B1250" i="8"/>
  <c r="B1251" i="8"/>
  <c r="B1252" i="8"/>
  <c r="B1253" i="8"/>
  <c r="B1254" i="8"/>
  <c r="B1255" i="8"/>
  <c r="B1256" i="8"/>
  <c r="B1257" i="8"/>
  <c r="B1258" i="8"/>
  <c r="B1259" i="8"/>
  <c r="B1260" i="8"/>
  <c r="B1261" i="8"/>
  <c r="B1262" i="8"/>
  <c r="B1263" i="8"/>
  <c r="B1264" i="8"/>
  <c r="B1265" i="8"/>
  <c r="B1266" i="8"/>
  <c r="B1267" i="8"/>
  <c r="B1268" i="8"/>
  <c r="B1269" i="8"/>
  <c r="B1270" i="8"/>
  <c r="B1271" i="8"/>
  <c r="B1272" i="8"/>
  <c r="B1273" i="8"/>
  <c r="B1274" i="8"/>
  <c r="B1275" i="8"/>
  <c r="B1276" i="8"/>
  <c r="B1277" i="8"/>
  <c r="B1278" i="8"/>
  <c r="B1279" i="8"/>
  <c r="B1280" i="8"/>
  <c r="B1281" i="8"/>
  <c r="B1282" i="8"/>
  <c r="B1283" i="8"/>
  <c r="B1284" i="8"/>
  <c r="B1285" i="8"/>
  <c r="B1286" i="8"/>
  <c r="B1287" i="8"/>
  <c r="B1288" i="8"/>
  <c r="B1289" i="8"/>
  <c r="B1290" i="8"/>
  <c r="B1291" i="8"/>
  <c r="B1292" i="8"/>
  <c r="B1293" i="8"/>
  <c r="B1294" i="8"/>
  <c r="B1295" i="8"/>
  <c r="B1296" i="8"/>
  <c r="B1297" i="8"/>
  <c r="B1298" i="8"/>
  <c r="B1299" i="8"/>
  <c r="B1300" i="8"/>
  <c r="B1301" i="8"/>
  <c r="B1302" i="8"/>
  <c r="B1303" i="8"/>
  <c r="B1304" i="8"/>
  <c r="B1305" i="8"/>
  <c r="B1306" i="8"/>
  <c r="B1307" i="8"/>
  <c r="B1308" i="8"/>
  <c r="B1309" i="8"/>
  <c r="B1310" i="8"/>
  <c r="B1311" i="8"/>
  <c r="B1312" i="8"/>
  <c r="B1313" i="8"/>
  <c r="B1314" i="8"/>
  <c r="B1315" i="8"/>
  <c r="B1316" i="8"/>
  <c r="B1317" i="8"/>
  <c r="B1318" i="8"/>
  <c r="B1319" i="8"/>
  <c r="B1320" i="8"/>
  <c r="B1321" i="8"/>
  <c r="B1322" i="8"/>
  <c r="B1323" i="8"/>
  <c r="B1324" i="8"/>
  <c r="B1325" i="8"/>
  <c r="B1326" i="8"/>
  <c r="B1327" i="8"/>
  <c r="B1328" i="8"/>
  <c r="B1329" i="8"/>
  <c r="B1330" i="8"/>
  <c r="B1331" i="8"/>
  <c r="B1332" i="8"/>
  <c r="B1333" i="8"/>
  <c r="B1334" i="8"/>
  <c r="B1335" i="8"/>
  <c r="B1336" i="8"/>
  <c r="B1337" i="8"/>
  <c r="B1338" i="8"/>
  <c r="B1339" i="8"/>
  <c r="B1340" i="8"/>
  <c r="B1341" i="8"/>
  <c r="B1342" i="8"/>
  <c r="B1343" i="8"/>
  <c r="B1344" i="8"/>
  <c r="B1345" i="8"/>
  <c r="B1346" i="8"/>
  <c r="B1347" i="8"/>
  <c r="B1348" i="8"/>
  <c r="B1349" i="8"/>
  <c r="B1350" i="8"/>
  <c r="B1351" i="8"/>
  <c r="B1352" i="8"/>
  <c r="B1353" i="8"/>
  <c r="B1354" i="8"/>
  <c r="B1355" i="8"/>
  <c r="B1356" i="8"/>
  <c r="B1357" i="8"/>
  <c r="B1358" i="8"/>
  <c r="B1359" i="8"/>
  <c r="B1360" i="8"/>
  <c r="B1361" i="8"/>
  <c r="B1362" i="8"/>
  <c r="B1363" i="8"/>
  <c r="B1364" i="8"/>
  <c r="B1365" i="8"/>
  <c r="B1366" i="8"/>
  <c r="B1367" i="8"/>
  <c r="B1368" i="8"/>
  <c r="B1369" i="8"/>
  <c r="B1370" i="8"/>
  <c r="B1371" i="8"/>
  <c r="B1372" i="8"/>
  <c r="B1373" i="8"/>
  <c r="B1374" i="8"/>
  <c r="B1375" i="8"/>
  <c r="B1376" i="8"/>
  <c r="B1377" i="8"/>
  <c r="B1378" i="8"/>
  <c r="B1379" i="8"/>
  <c r="B1380" i="8"/>
  <c r="B1381" i="8"/>
  <c r="B1382" i="8"/>
  <c r="B1383" i="8"/>
  <c r="B1384" i="8"/>
  <c r="B1385" i="8"/>
  <c r="B1386" i="8"/>
  <c r="B1387" i="8"/>
  <c r="B1388" i="8"/>
  <c r="B1389" i="8"/>
  <c r="B1390" i="8"/>
  <c r="B1391" i="8"/>
  <c r="B1392" i="8"/>
  <c r="B1393" i="8"/>
  <c r="B1394" i="8"/>
  <c r="B1395" i="8"/>
  <c r="B1396" i="8"/>
  <c r="B1397" i="8"/>
  <c r="B1398" i="8"/>
  <c r="B1399" i="8"/>
  <c r="B1400" i="8"/>
  <c r="B1401" i="8"/>
  <c r="B1402" i="8"/>
  <c r="B1403" i="8"/>
  <c r="B1404" i="8"/>
  <c r="B1405" i="8"/>
  <c r="B1406" i="8"/>
  <c r="B1407" i="8"/>
  <c r="B1408" i="8"/>
  <c r="B1409" i="8"/>
  <c r="B1410" i="8"/>
  <c r="B1411" i="8"/>
  <c r="B1412" i="8"/>
  <c r="B1413" i="8"/>
  <c r="B1414" i="8"/>
  <c r="B1415" i="8"/>
  <c r="B1416" i="8"/>
  <c r="B1417" i="8"/>
  <c r="B1418" i="8"/>
  <c r="B1419" i="8"/>
  <c r="B1420" i="8"/>
  <c r="B1421" i="8"/>
  <c r="B1422" i="8"/>
  <c r="B1423" i="8"/>
  <c r="B1424" i="8"/>
  <c r="B1425" i="8"/>
  <c r="B1426" i="8"/>
  <c r="B1427" i="8"/>
  <c r="B1428" i="8"/>
  <c r="B1429" i="8"/>
  <c r="B1430" i="8"/>
  <c r="B1431" i="8"/>
  <c r="B1432" i="8"/>
  <c r="B1433" i="8"/>
  <c r="B1434" i="8"/>
  <c r="B1435" i="8"/>
  <c r="B1436" i="8"/>
  <c r="B1437" i="8"/>
  <c r="B1438" i="8"/>
  <c r="B1439" i="8"/>
  <c r="B1440" i="8"/>
  <c r="B1441" i="8"/>
  <c r="B1442" i="8"/>
  <c r="B1443" i="8"/>
  <c r="B1444" i="8"/>
  <c r="B1445" i="8"/>
  <c r="B1446" i="8"/>
  <c r="B1447" i="8"/>
  <c r="B1448" i="8"/>
  <c r="B1449" i="8"/>
  <c r="B1450" i="8"/>
  <c r="B1451" i="8"/>
  <c r="B1452" i="8"/>
  <c r="B1453" i="8"/>
  <c r="B1454" i="8"/>
  <c r="B1455" i="8"/>
  <c r="B1456" i="8"/>
  <c r="B1457" i="8"/>
  <c r="B1458" i="8"/>
  <c r="B1459" i="8"/>
  <c r="B1460" i="8"/>
  <c r="B1461" i="8"/>
  <c r="B1462" i="8"/>
  <c r="B1463" i="8"/>
  <c r="B1464" i="8"/>
  <c r="B1465" i="8"/>
  <c r="B1466" i="8"/>
  <c r="B1467" i="8"/>
  <c r="B1468" i="8"/>
  <c r="B1469" i="8"/>
  <c r="B1470" i="8"/>
  <c r="B1471" i="8"/>
  <c r="B1472" i="8"/>
  <c r="B1473" i="8"/>
  <c r="B1474" i="8"/>
  <c r="B1475" i="8"/>
  <c r="B1476" i="8"/>
  <c r="B1477" i="8"/>
  <c r="B1478" i="8"/>
  <c r="B1479" i="8"/>
  <c r="B1480" i="8"/>
  <c r="B1481" i="8"/>
  <c r="B1482" i="8"/>
  <c r="B1483" i="8"/>
  <c r="B1484" i="8"/>
  <c r="B1485" i="8"/>
  <c r="B1486" i="8"/>
  <c r="B1487" i="8"/>
  <c r="B1488" i="8"/>
  <c r="B1489" i="8"/>
  <c r="B1490" i="8"/>
  <c r="B1491" i="8"/>
  <c r="B1492" i="8"/>
  <c r="B1493" i="8"/>
  <c r="B1494" i="8"/>
  <c r="B1495" i="8"/>
  <c r="B1496" i="8"/>
  <c r="B1497" i="8"/>
  <c r="B1498" i="8"/>
  <c r="B1499" i="8"/>
  <c r="B1500" i="8"/>
  <c r="B1501" i="8"/>
  <c r="B1502" i="8"/>
  <c r="B1503" i="8"/>
  <c r="B1504" i="8"/>
  <c r="B1505" i="8"/>
  <c r="B1506" i="8"/>
  <c r="B1507" i="8"/>
  <c r="B1508" i="8"/>
  <c r="B1509" i="8"/>
  <c r="B1510" i="8"/>
  <c r="B1511" i="8"/>
  <c r="B1512" i="8"/>
  <c r="B1513" i="8"/>
  <c r="B1514" i="8"/>
  <c r="B1515" i="8"/>
  <c r="B1516" i="8"/>
  <c r="B1517" i="8"/>
  <c r="B1518" i="8"/>
  <c r="B1519" i="8"/>
  <c r="B1520" i="8"/>
  <c r="B1521" i="8"/>
  <c r="B1522" i="8"/>
  <c r="B1523" i="8"/>
  <c r="B1524" i="8"/>
  <c r="B1525" i="8"/>
  <c r="B1526" i="8"/>
  <c r="B1527" i="8"/>
  <c r="B1528" i="8"/>
  <c r="B1529" i="8"/>
  <c r="B1530" i="8"/>
  <c r="B1531" i="8"/>
  <c r="B1532" i="8"/>
  <c r="B1533" i="8"/>
  <c r="B1534" i="8"/>
  <c r="B1535" i="8"/>
  <c r="B1536" i="8"/>
  <c r="B1537" i="8"/>
  <c r="B1538" i="8"/>
  <c r="B1539" i="8"/>
  <c r="B1540" i="8"/>
  <c r="B1541" i="8"/>
  <c r="B1542" i="8"/>
  <c r="B1543" i="8"/>
  <c r="B1544" i="8"/>
  <c r="B1545" i="8"/>
  <c r="B1546" i="8"/>
  <c r="B1547" i="8"/>
  <c r="B1548" i="8"/>
  <c r="B1549" i="8"/>
  <c r="B1550" i="8"/>
  <c r="B1551" i="8"/>
  <c r="B1552" i="8"/>
  <c r="B1553" i="8"/>
  <c r="B1554" i="8"/>
  <c r="B1555" i="8"/>
  <c r="B1556" i="8"/>
  <c r="B1557" i="8"/>
  <c r="B1558" i="8"/>
  <c r="B1559" i="8"/>
  <c r="B1560" i="8"/>
  <c r="B1561" i="8"/>
  <c r="B1562" i="8"/>
  <c r="B1563" i="8"/>
  <c r="B1564" i="8"/>
  <c r="B1565" i="8"/>
  <c r="B1566" i="8"/>
  <c r="B1567" i="8"/>
  <c r="B1568" i="8"/>
  <c r="B1569" i="8"/>
  <c r="B1570" i="8"/>
  <c r="B1571" i="8"/>
  <c r="B1572" i="8"/>
  <c r="B1573" i="8"/>
  <c r="B1574" i="8"/>
  <c r="B1575" i="8"/>
  <c r="B1576" i="8"/>
  <c r="B1577" i="8"/>
  <c r="B1578" i="8"/>
  <c r="B1579" i="8"/>
  <c r="B1580" i="8"/>
  <c r="B1581" i="8"/>
  <c r="B1582" i="8"/>
  <c r="B1583" i="8"/>
  <c r="B1584" i="8"/>
  <c r="B1585" i="8"/>
  <c r="B1586" i="8"/>
  <c r="B1587" i="8"/>
  <c r="B1588" i="8"/>
  <c r="B1589" i="8"/>
  <c r="B1590" i="8"/>
  <c r="B1591" i="8"/>
  <c r="B1592" i="8"/>
  <c r="B1593" i="8"/>
  <c r="B1594" i="8"/>
  <c r="B1595" i="8"/>
  <c r="B1596" i="8"/>
  <c r="B1597" i="8"/>
  <c r="B1598" i="8"/>
  <c r="B1599" i="8"/>
  <c r="B1600" i="8"/>
  <c r="B1601" i="8"/>
  <c r="B1602" i="8"/>
  <c r="B1603" i="8"/>
  <c r="B1604" i="8"/>
  <c r="B1605" i="8"/>
  <c r="B1606" i="8"/>
  <c r="B1607" i="8"/>
  <c r="B1608" i="8"/>
  <c r="B1609" i="8"/>
  <c r="B1610" i="8"/>
  <c r="B1611" i="8"/>
  <c r="B1612" i="8"/>
  <c r="B1613" i="8"/>
  <c r="B1614" i="8"/>
  <c r="B1615" i="8"/>
  <c r="B1616" i="8"/>
  <c r="B1617" i="8"/>
  <c r="B1618" i="8"/>
  <c r="B1619" i="8"/>
  <c r="B1620" i="8"/>
  <c r="B1621" i="8"/>
  <c r="B1622" i="8"/>
  <c r="B1623" i="8"/>
  <c r="B1624" i="8"/>
  <c r="B1625" i="8"/>
  <c r="B1626" i="8"/>
  <c r="B1627" i="8"/>
  <c r="B1628" i="8"/>
  <c r="B1629" i="8"/>
  <c r="B1630" i="8"/>
  <c r="B1631" i="8"/>
  <c r="B1632" i="8"/>
  <c r="B1633" i="8"/>
  <c r="B1634" i="8"/>
  <c r="B1635" i="8"/>
  <c r="B1636" i="8"/>
  <c r="B1637" i="8"/>
  <c r="B1638" i="8"/>
  <c r="B1639" i="8"/>
  <c r="B1640" i="8"/>
  <c r="B1641" i="8"/>
  <c r="B1642" i="8"/>
  <c r="B1643" i="8"/>
  <c r="B1644" i="8"/>
  <c r="B1645" i="8"/>
  <c r="B1646" i="8"/>
  <c r="B1647" i="8"/>
  <c r="B1648" i="8"/>
  <c r="B1649" i="8"/>
  <c r="B1650" i="8"/>
  <c r="B1651" i="8"/>
  <c r="B1652" i="8"/>
  <c r="B1653" i="8"/>
  <c r="B1654" i="8"/>
  <c r="B1655" i="8"/>
  <c r="B1656" i="8"/>
  <c r="B1657" i="8"/>
  <c r="B1658" i="8"/>
  <c r="B1659" i="8"/>
  <c r="B1660" i="8"/>
  <c r="B1661" i="8"/>
  <c r="B1662" i="8"/>
  <c r="B1663" i="8"/>
  <c r="B1664" i="8"/>
  <c r="B1665" i="8"/>
  <c r="B1666" i="8"/>
  <c r="B1667" i="8"/>
  <c r="B1668" i="8"/>
  <c r="B1669" i="8"/>
  <c r="B1670" i="8"/>
  <c r="B1671" i="8"/>
  <c r="B1672" i="8"/>
  <c r="B1673" i="8"/>
  <c r="B1674" i="8"/>
  <c r="B1675" i="8"/>
  <c r="B1676" i="8"/>
  <c r="B1677" i="8"/>
  <c r="B1678" i="8"/>
  <c r="B1679" i="8"/>
  <c r="B1680" i="8"/>
  <c r="B1681" i="8"/>
  <c r="B1682" i="8"/>
  <c r="B1683" i="8"/>
  <c r="B1684" i="8"/>
  <c r="B1685" i="8"/>
  <c r="B1686" i="8"/>
  <c r="B1687" i="8"/>
  <c r="B1688" i="8"/>
  <c r="B1689" i="8"/>
  <c r="B1690" i="8"/>
  <c r="B1691" i="8"/>
  <c r="B1692" i="8"/>
  <c r="B1693" i="8"/>
  <c r="B1694" i="8"/>
  <c r="B1695" i="8"/>
  <c r="B1696" i="8"/>
  <c r="B1697" i="8"/>
  <c r="B1698" i="8"/>
  <c r="B1699" i="8"/>
  <c r="B1700" i="8"/>
  <c r="B1701" i="8"/>
  <c r="B1702" i="8"/>
  <c r="B1703" i="8"/>
  <c r="B1704" i="8"/>
  <c r="B1705" i="8"/>
  <c r="B1706" i="8"/>
  <c r="B1707" i="8"/>
  <c r="B1708" i="8"/>
  <c r="B1709" i="8"/>
  <c r="B1710" i="8"/>
  <c r="B1711" i="8"/>
  <c r="B1712" i="8"/>
  <c r="B1713" i="8"/>
  <c r="B1714" i="8"/>
  <c r="B1715" i="8"/>
  <c r="B1716" i="8"/>
  <c r="B1717" i="8"/>
  <c r="B1718" i="8"/>
  <c r="B1719" i="8"/>
  <c r="B1720" i="8"/>
  <c r="B1721" i="8"/>
  <c r="B1722" i="8"/>
  <c r="B1723" i="8"/>
  <c r="B1724" i="8"/>
  <c r="B1725" i="8"/>
  <c r="B1726" i="8"/>
  <c r="B1727" i="8"/>
  <c r="B1728" i="8"/>
  <c r="B1729" i="8"/>
  <c r="B1730" i="8"/>
  <c r="B1731" i="8"/>
  <c r="B1732" i="8"/>
  <c r="B1733" i="8"/>
  <c r="B1734" i="8"/>
  <c r="B1735" i="8"/>
  <c r="B1736" i="8"/>
  <c r="B1737" i="8"/>
  <c r="B1738" i="8"/>
  <c r="B1739" i="8"/>
  <c r="B1740" i="8"/>
  <c r="B1741" i="8"/>
  <c r="B1742" i="8"/>
  <c r="B1743" i="8"/>
  <c r="B1744" i="8"/>
  <c r="B1745" i="8"/>
  <c r="B1746" i="8"/>
  <c r="B1747" i="8"/>
  <c r="B1748" i="8"/>
  <c r="B1749" i="8"/>
  <c r="B1750" i="8"/>
  <c r="B1751" i="8"/>
  <c r="B1752" i="8"/>
  <c r="B1753" i="8"/>
  <c r="B1754" i="8"/>
  <c r="B1755" i="8"/>
  <c r="B1756" i="8"/>
  <c r="B1757" i="8"/>
  <c r="B1758" i="8"/>
  <c r="B1759" i="8"/>
  <c r="B1760" i="8"/>
  <c r="B1761" i="8"/>
  <c r="B1762" i="8"/>
  <c r="B1763" i="8"/>
  <c r="B1764" i="8"/>
  <c r="B1765" i="8"/>
  <c r="B1766" i="8"/>
  <c r="B1767" i="8"/>
  <c r="B1768" i="8"/>
  <c r="B1769" i="8"/>
  <c r="B1770" i="8"/>
  <c r="B1771" i="8"/>
  <c r="B1772" i="8"/>
  <c r="B1773" i="8"/>
  <c r="B1774" i="8"/>
  <c r="B1775" i="8"/>
  <c r="B1776" i="8"/>
  <c r="B1777" i="8"/>
  <c r="B1778" i="8"/>
  <c r="B1779" i="8"/>
  <c r="B1780" i="8"/>
  <c r="B1781" i="8"/>
  <c r="B1782" i="8"/>
  <c r="B1783" i="8"/>
  <c r="B1784" i="8"/>
  <c r="B1785" i="8"/>
  <c r="B1786" i="8"/>
  <c r="B1787" i="8"/>
  <c r="B1788" i="8"/>
  <c r="B1789" i="8"/>
  <c r="B1790" i="8"/>
  <c r="B1791" i="8"/>
  <c r="B1792" i="8"/>
  <c r="B1793" i="8"/>
  <c r="B1794" i="8"/>
  <c r="B1795" i="8"/>
  <c r="B1796" i="8"/>
  <c r="B1797" i="8"/>
  <c r="B1798" i="8"/>
  <c r="B1799" i="8"/>
  <c r="B1800" i="8"/>
  <c r="B1801" i="8"/>
  <c r="B1802" i="8"/>
  <c r="B1803" i="8"/>
  <c r="B1804" i="8"/>
  <c r="B1805" i="8"/>
  <c r="B1806" i="8"/>
  <c r="B1807" i="8"/>
  <c r="B1808" i="8"/>
  <c r="B1809" i="8"/>
  <c r="B1810" i="8"/>
  <c r="B1811" i="8"/>
  <c r="B1812" i="8"/>
  <c r="B1813" i="8"/>
  <c r="B1814" i="8"/>
  <c r="B1815" i="8"/>
  <c r="B1816" i="8"/>
  <c r="B1817" i="8"/>
  <c r="B1818" i="8"/>
  <c r="B1819" i="8"/>
  <c r="B1820" i="8"/>
  <c r="B1821" i="8"/>
  <c r="B1822" i="8"/>
  <c r="B1823" i="8"/>
  <c r="B1824" i="8"/>
  <c r="B1825" i="8"/>
  <c r="B1826" i="8"/>
  <c r="B1827" i="8"/>
  <c r="B1828" i="8"/>
  <c r="B1829" i="8"/>
  <c r="B1830" i="8"/>
  <c r="B1831" i="8"/>
  <c r="B1832" i="8"/>
  <c r="B1833" i="8"/>
  <c r="B1834" i="8"/>
  <c r="B1835" i="8"/>
  <c r="B1836" i="8"/>
  <c r="B1837" i="8"/>
  <c r="B1838" i="8"/>
  <c r="B1839" i="8"/>
  <c r="B1840" i="8"/>
  <c r="B1841" i="8"/>
  <c r="B1842" i="8"/>
  <c r="B1843" i="8"/>
  <c r="B1844" i="8"/>
  <c r="B1845" i="8"/>
  <c r="B1846" i="8"/>
  <c r="B1847" i="8"/>
  <c r="B1848" i="8"/>
  <c r="B1849" i="8"/>
  <c r="B1850" i="8"/>
  <c r="B1851" i="8"/>
  <c r="B1852" i="8"/>
  <c r="B1853" i="8"/>
  <c r="B1854" i="8"/>
  <c r="B1855" i="8"/>
  <c r="B1856" i="8"/>
  <c r="B1857" i="8"/>
  <c r="B1858" i="8"/>
  <c r="B1859" i="8"/>
  <c r="B1860" i="8"/>
  <c r="B1861" i="8"/>
  <c r="B1862" i="8"/>
  <c r="B1863" i="8"/>
  <c r="B1864" i="8"/>
  <c r="B1865" i="8"/>
  <c r="B1866" i="8"/>
  <c r="B1867" i="8"/>
  <c r="B1868" i="8"/>
  <c r="B1869" i="8"/>
  <c r="B1870" i="8"/>
  <c r="B1871" i="8"/>
  <c r="B1872" i="8"/>
  <c r="B1873" i="8"/>
  <c r="B1874" i="8"/>
  <c r="B1875" i="8"/>
  <c r="B1876" i="8"/>
  <c r="B1877" i="8"/>
  <c r="B1878" i="8"/>
  <c r="B1879" i="8"/>
  <c r="B1880" i="8"/>
  <c r="B1881" i="8"/>
  <c r="B1882" i="8"/>
  <c r="B1883" i="8"/>
  <c r="B1884" i="8"/>
  <c r="B1885" i="8"/>
  <c r="B1886" i="8"/>
  <c r="B1887" i="8"/>
  <c r="B1888" i="8"/>
  <c r="B1889" i="8"/>
  <c r="B1890" i="8"/>
  <c r="B1891" i="8"/>
  <c r="B1892" i="8"/>
  <c r="B1893" i="8"/>
  <c r="B1894" i="8"/>
  <c r="B1895" i="8"/>
  <c r="B1896" i="8"/>
  <c r="B1897" i="8"/>
  <c r="B1898" i="8"/>
  <c r="B1899" i="8"/>
  <c r="B1900" i="8"/>
  <c r="B1901" i="8"/>
  <c r="B1902" i="8"/>
  <c r="B1903" i="8"/>
  <c r="B1904" i="8"/>
  <c r="B1905" i="8"/>
  <c r="B1906" i="8"/>
  <c r="B1907" i="8"/>
  <c r="B1908" i="8"/>
  <c r="B1909" i="8"/>
  <c r="B1910" i="8"/>
  <c r="B1911" i="8"/>
  <c r="B1912" i="8"/>
  <c r="B1913" i="8"/>
  <c r="B1914" i="8"/>
  <c r="B1915" i="8"/>
  <c r="B1916" i="8"/>
  <c r="B1917" i="8"/>
  <c r="B1918" i="8"/>
  <c r="B1919" i="8"/>
  <c r="B1920" i="8"/>
  <c r="B1921" i="8"/>
  <c r="B1922" i="8"/>
  <c r="B1923" i="8"/>
  <c r="B1924" i="8"/>
  <c r="B1925" i="8"/>
  <c r="B1926" i="8"/>
  <c r="B1927" i="8"/>
  <c r="B1928" i="8"/>
  <c r="B1929" i="8"/>
  <c r="B1930" i="8"/>
  <c r="B1931" i="8"/>
  <c r="B1932" i="8"/>
  <c r="B1933" i="8"/>
  <c r="B1934" i="8"/>
  <c r="B1935" i="8"/>
  <c r="B1936" i="8"/>
  <c r="B1937" i="8"/>
  <c r="B1938" i="8"/>
  <c r="B1939" i="8"/>
  <c r="B1940" i="8"/>
  <c r="B1941" i="8"/>
  <c r="B1942" i="8"/>
  <c r="B1943" i="8"/>
  <c r="B1944" i="8"/>
  <c r="B1945" i="8"/>
  <c r="B1946" i="8"/>
  <c r="B1947" i="8"/>
  <c r="B1948" i="8"/>
  <c r="B1949" i="8"/>
  <c r="B1950" i="8"/>
  <c r="B1951" i="8"/>
  <c r="B1952" i="8"/>
  <c r="B1953" i="8"/>
  <c r="B1954" i="8"/>
  <c r="B1955" i="8"/>
  <c r="B1956" i="8"/>
  <c r="B1957" i="8"/>
  <c r="B1958" i="8"/>
  <c r="B1959" i="8"/>
  <c r="B1960" i="8"/>
  <c r="B1961" i="8"/>
  <c r="B1962" i="8"/>
  <c r="B1963" i="8"/>
  <c r="B1964" i="8"/>
  <c r="B1965" i="8"/>
  <c r="B1966" i="8"/>
  <c r="B1967" i="8"/>
  <c r="B1968" i="8"/>
  <c r="B1969" i="8"/>
  <c r="B1970" i="8"/>
  <c r="B1971" i="8"/>
  <c r="B1972" i="8"/>
  <c r="B1973" i="8"/>
  <c r="B1974" i="8"/>
  <c r="B1975" i="8"/>
  <c r="B1976" i="8"/>
  <c r="B1977" i="8"/>
  <c r="B1978" i="8"/>
  <c r="B1979" i="8"/>
  <c r="B1980" i="8"/>
  <c r="B1981" i="8"/>
  <c r="B1982" i="8"/>
  <c r="B1983" i="8"/>
  <c r="B1984" i="8"/>
  <c r="B1985" i="8"/>
  <c r="B1986" i="8"/>
  <c r="B1987" i="8"/>
  <c r="B1988" i="8"/>
  <c r="B1989" i="8"/>
  <c r="B1990" i="8"/>
  <c r="B1991" i="8"/>
  <c r="B1992" i="8"/>
  <c r="B1993" i="8"/>
  <c r="B1994" i="8"/>
  <c r="B1995" i="8"/>
  <c r="B1996" i="8"/>
  <c r="B1997" i="8"/>
  <c r="B1998" i="8"/>
  <c r="B1999" i="8"/>
  <c r="B2000" i="8"/>
  <c r="B2001" i="8"/>
  <c r="B2002" i="8"/>
  <c r="B2003" i="8"/>
  <c r="B2004" i="8"/>
  <c r="B2005" i="8"/>
  <c r="B2006" i="8"/>
  <c r="B2007" i="8"/>
  <c r="B2008" i="8"/>
  <c r="B2009" i="8"/>
  <c r="B2010" i="8"/>
  <c r="B2011" i="8"/>
  <c r="B2012" i="8"/>
  <c r="B2013" i="8"/>
  <c r="B2014" i="8"/>
  <c r="B2015" i="8"/>
  <c r="B2016" i="8"/>
  <c r="B2017" i="8"/>
  <c r="B2018" i="8"/>
  <c r="B2019" i="8"/>
  <c r="B2020" i="8"/>
  <c r="B2021" i="8"/>
  <c r="B2022" i="8"/>
  <c r="B2023" i="8"/>
  <c r="B2024" i="8"/>
  <c r="B2025" i="8"/>
  <c r="B2026" i="8"/>
  <c r="B2027" i="8"/>
  <c r="B2028" i="8"/>
  <c r="B2029" i="8"/>
  <c r="B2030" i="8"/>
  <c r="B2031" i="8"/>
  <c r="B2032" i="8"/>
  <c r="B2033" i="8"/>
  <c r="B2034" i="8"/>
  <c r="B2035" i="8"/>
  <c r="B2036" i="8"/>
  <c r="B2037" i="8"/>
  <c r="B2038" i="8"/>
  <c r="B2039" i="8"/>
  <c r="B2040" i="8"/>
  <c r="B2041" i="8"/>
  <c r="B2042" i="8"/>
  <c r="B2043" i="8"/>
  <c r="B2044" i="8"/>
  <c r="B2045" i="8"/>
  <c r="B2046" i="8"/>
  <c r="B2047" i="8"/>
  <c r="B2048" i="8"/>
  <c r="B2049" i="8"/>
  <c r="B2050" i="8"/>
  <c r="B2051" i="8"/>
  <c r="B2052" i="8"/>
  <c r="B2053" i="8"/>
  <c r="B2054" i="8"/>
  <c r="B2055" i="8"/>
  <c r="B2056" i="8"/>
  <c r="B2057" i="8"/>
  <c r="B2058" i="8"/>
  <c r="B2059" i="8"/>
  <c r="B2060" i="8"/>
  <c r="B2061" i="8"/>
  <c r="B2062" i="8"/>
  <c r="B2063" i="8"/>
  <c r="B2064" i="8"/>
  <c r="B2065" i="8"/>
  <c r="B2066" i="8"/>
  <c r="B2067" i="8"/>
  <c r="B2068" i="8"/>
  <c r="B2069" i="8"/>
  <c r="B2070" i="8"/>
  <c r="B2071" i="8"/>
  <c r="B2072" i="8"/>
  <c r="B2073" i="8"/>
  <c r="B2074" i="8"/>
  <c r="B2075" i="8"/>
  <c r="B2076" i="8"/>
  <c r="B2077" i="8"/>
  <c r="B2078" i="8"/>
  <c r="B2079" i="8"/>
  <c r="B2080" i="8"/>
  <c r="B2081" i="8"/>
  <c r="B2082" i="8"/>
  <c r="B2083" i="8"/>
  <c r="B2084" i="8"/>
  <c r="B2085" i="8"/>
  <c r="B2086" i="8"/>
  <c r="B2087" i="8"/>
  <c r="B2088" i="8"/>
  <c r="B2089" i="8"/>
  <c r="B2090" i="8"/>
  <c r="B2091" i="8"/>
  <c r="B2092" i="8"/>
  <c r="B2093" i="8"/>
  <c r="B2094" i="8"/>
  <c r="B2095" i="8"/>
  <c r="B2096" i="8"/>
  <c r="B2097" i="8"/>
  <c r="B2098" i="8"/>
  <c r="B2099" i="8"/>
  <c r="B2100" i="8"/>
  <c r="B2101" i="8"/>
  <c r="B2102" i="8"/>
  <c r="B2103" i="8"/>
  <c r="B2104" i="8"/>
  <c r="B2105" i="8"/>
  <c r="B2106" i="8"/>
  <c r="B2107" i="8"/>
  <c r="B2108" i="8"/>
  <c r="B2109" i="8"/>
  <c r="B2110" i="8"/>
  <c r="B2111" i="8"/>
  <c r="B2112" i="8"/>
  <c r="B2113" i="8"/>
  <c r="B2114" i="8"/>
  <c r="B2115" i="8"/>
  <c r="B2116" i="8"/>
  <c r="B2117" i="8"/>
  <c r="B2118" i="8"/>
  <c r="B2119" i="8"/>
  <c r="B2120" i="8"/>
  <c r="B2121" i="8"/>
  <c r="B2122" i="8"/>
  <c r="B2123" i="8"/>
  <c r="B2124" i="8"/>
  <c r="B2125" i="8"/>
  <c r="B2126" i="8"/>
  <c r="B2127" i="8"/>
  <c r="B2128" i="8"/>
  <c r="B2129" i="8"/>
  <c r="B2130" i="8"/>
  <c r="B2131" i="8"/>
  <c r="B2132" i="8"/>
  <c r="B2133" i="8"/>
  <c r="B2134" i="8"/>
  <c r="B2135" i="8"/>
  <c r="B2136" i="8"/>
  <c r="B2137" i="8"/>
  <c r="B2138" i="8"/>
  <c r="B2139" i="8"/>
  <c r="B2140" i="8"/>
  <c r="B2141" i="8"/>
  <c r="B2142" i="8"/>
  <c r="B2143" i="8"/>
  <c r="B2144" i="8"/>
  <c r="B2145" i="8"/>
  <c r="B2146" i="8"/>
  <c r="B2147" i="8"/>
  <c r="B2148" i="8"/>
  <c r="B2149" i="8"/>
  <c r="B2150" i="8"/>
  <c r="B2151" i="8"/>
  <c r="B2152" i="8"/>
  <c r="B2153" i="8"/>
  <c r="B2154" i="8"/>
  <c r="B2155" i="8"/>
  <c r="B2156" i="8"/>
  <c r="B2157" i="8"/>
  <c r="B2158" i="8"/>
  <c r="B2159" i="8"/>
  <c r="B2160" i="8"/>
  <c r="B2161" i="8"/>
  <c r="B2162" i="8"/>
  <c r="B2163" i="8"/>
  <c r="B2164" i="8"/>
  <c r="B2165" i="8"/>
  <c r="B2166" i="8"/>
  <c r="B2167" i="8"/>
  <c r="B2168" i="8"/>
  <c r="B2169" i="8"/>
  <c r="B2170" i="8"/>
  <c r="B2171" i="8"/>
  <c r="B2172" i="8"/>
  <c r="B2173" i="8"/>
  <c r="B2174" i="8"/>
  <c r="B2175" i="8"/>
  <c r="B2176" i="8"/>
  <c r="B2177" i="8"/>
  <c r="B2178" i="8"/>
  <c r="B2179" i="8"/>
  <c r="B2180" i="8"/>
  <c r="B2181" i="8"/>
  <c r="B2182" i="8"/>
  <c r="B2183" i="8"/>
  <c r="B2184" i="8"/>
  <c r="B2185" i="8"/>
  <c r="B2186" i="8"/>
  <c r="B2187" i="8"/>
  <c r="B2188" i="8"/>
  <c r="B2189" i="8"/>
  <c r="B2190" i="8"/>
  <c r="B2191" i="8"/>
  <c r="B2192" i="8"/>
  <c r="B2193" i="8"/>
  <c r="B2194" i="8"/>
  <c r="B2195" i="8"/>
  <c r="B2196" i="8"/>
  <c r="B2197" i="8"/>
  <c r="B2198" i="8"/>
  <c r="B2199" i="8"/>
  <c r="B2200" i="8"/>
  <c r="B2201" i="8"/>
  <c r="B2202" i="8"/>
  <c r="B2203" i="8"/>
  <c r="B2204" i="8"/>
  <c r="B2205" i="8"/>
  <c r="B2206" i="8"/>
  <c r="B2207" i="8"/>
  <c r="B2208" i="8"/>
  <c r="B2209" i="8"/>
  <c r="B2210" i="8"/>
  <c r="B2211" i="8"/>
  <c r="B2212" i="8"/>
  <c r="B2213" i="8"/>
  <c r="B2214" i="8"/>
  <c r="B2215" i="8"/>
  <c r="B2216" i="8"/>
  <c r="B2217" i="8"/>
  <c r="B2218" i="8"/>
  <c r="B2219" i="8"/>
  <c r="B2220" i="8"/>
  <c r="B2221" i="8"/>
  <c r="B2222" i="8"/>
  <c r="B2223" i="8"/>
  <c r="B2224" i="8"/>
  <c r="B2225" i="8"/>
  <c r="B2226" i="8"/>
  <c r="B2227" i="8"/>
  <c r="B2228" i="8"/>
  <c r="B2229" i="8"/>
  <c r="B2230" i="8"/>
  <c r="B2231" i="8"/>
  <c r="B2232" i="8"/>
  <c r="B2233" i="8"/>
  <c r="B2234" i="8"/>
  <c r="B2235" i="8"/>
  <c r="B2236" i="8"/>
  <c r="B2237" i="8"/>
  <c r="B2238" i="8"/>
  <c r="B2239" i="8"/>
  <c r="B2240" i="8"/>
  <c r="B2241" i="8"/>
  <c r="B2242" i="8"/>
  <c r="B2243" i="8"/>
  <c r="B2244" i="8"/>
  <c r="B2245" i="8"/>
  <c r="B2246" i="8"/>
  <c r="B2247" i="8"/>
  <c r="B2248" i="8"/>
  <c r="B2249" i="8"/>
  <c r="B2250" i="8"/>
  <c r="B2251" i="8"/>
  <c r="B2252" i="8"/>
  <c r="B2253" i="8"/>
  <c r="B2254" i="8"/>
  <c r="B2255" i="8"/>
  <c r="B2256" i="8"/>
  <c r="B2257" i="8"/>
  <c r="B2258" i="8"/>
  <c r="B2259" i="8"/>
  <c r="B2260" i="8"/>
  <c r="B2261" i="8"/>
  <c r="B2262" i="8"/>
  <c r="B2263" i="8"/>
  <c r="B2264" i="8"/>
  <c r="B2265" i="8"/>
  <c r="B2266" i="8"/>
  <c r="B2267" i="8"/>
  <c r="B2268" i="8"/>
  <c r="B2269" i="8"/>
  <c r="B2270" i="8"/>
  <c r="B2271" i="8"/>
  <c r="B2272" i="8"/>
  <c r="B2273" i="8"/>
  <c r="B2274" i="8"/>
  <c r="B2275" i="8"/>
  <c r="B2276" i="8"/>
  <c r="B2277" i="8"/>
  <c r="B2278" i="8"/>
  <c r="B2279" i="8"/>
  <c r="B2280" i="8"/>
  <c r="B2281" i="8"/>
  <c r="B2282" i="8"/>
  <c r="B2283" i="8"/>
  <c r="B2284" i="8"/>
  <c r="B2285" i="8"/>
  <c r="B2286" i="8"/>
  <c r="B2287" i="8"/>
  <c r="B2288" i="8"/>
  <c r="B2289" i="8"/>
  <c r="B2290" i="8"/>
  <c r="B2291" i="8"/>
  <c r="B2292" i="8"/>
  <c r="B2293" i="8"/>
  <c r="B2294" i="8"/>
  <c r="B2295" i="8"/>
  <c r="B2296" i="8"/>
  <c r="B2297" i="8"/>
  <c r="B2298" i="8"/>
  <c r="B2299" i="8"/>
  <c r="B2300" i="8"/>
  <c r="B2301" i="8"/>
  <c r="B2302" i="8"/>
  <c r="B2303" i="8"/>
  <c r="B2304" i="8"/>
  <c r="B2305" i="8"/>
  <c r="B2306" i="8"/>
  <c r="B2307" i="8"/>
  <c r="B2308" i="8"/>
  <c r="B2309" i="8"/>
  <c r="B2310" i="8"/>
  <c r="B2311" i="8"/>
  <c r="B2312" i="8"/>
  <c r="B2313" i="8"/>
  <c r="B2314" i="8"/>
  <c r="B2315" i="8"/>
  <c r="B2316" i="8"/>
  <c r="B2317" i="8"/>
  <c r="B2318" i="8"/>
  <c r="B2319" i="8"/>
  <c r="B2320" i="8"/>
  <c r="B2321" i="8"/>
  <c r="B2322" i="8"/>
  <c r="B2323" i="8"/>
  <c r="B2324" i="8"/>
  <c r="B2325" i="8"/>
  <c r="B2326" i="8"/>
  <c r="B2327" i="8"/>
  <c r="B2328" i="8"/>
  <c r="B2329" i="8"/>
  <c r="B2330" i="8"/>
  <c r="B2331" i="8"/>
  <c r="B2332" i="8"/>
  <c r="B2333" i="8"/>
  <c r="B2334" i="8"/>
  <c r="B2335" i="8"/>
  <c r="B2336" i="8"/>
  <c r="B2337" i="8"/>
  <c r="B2338" i="8"/>
  <c r="B2339" i="8"/>
  <c r="B2340" i="8"/>
  <c r="B2341" i="8"/>
  <c r="B2342" i="8"/>
  <c r="B2343" i="8"/>
  <c r="B2344" i="8"/>
  <c r="B2345" i="8"/>
  <c r="B2346" i="8"/>
  <c r="B2347" i="8"/>
  <c r="B2348" i="8"/>
  <c r="B2349" i="8"/>
  <c r="B2350" i="8"/>
  <c r="B2351" i="8"/>
  <c r="B2352" i="8"/>
  <c r="B2353" i="8"/>
  <c r="B2354" i="8"/>
  <c r="B2355" i="8"/>
  <c r="B2356" i="8"/>
  <c r="B2357" i="8"/>
  <c r="B2358" i="8"/>
  <c r="B2359" i="8"/>
  <c r="B2360" i="8"/>
  <c r="B2361" i="8"/>
  <c r="B2362" i="8"/>
  <c r="B2363" i="8"/>
  <c r="B2364" i="8"/>
  <c r="B2365" i="8"/>
  <c r="B2366" i="8"/>
  <c r="B2367" i="8"/>
  <c r="B2368" i="8"/>
  <c r="B2369" i="8"/>
  <c r="B2370" i="8"/>
  <c r="B2371" i="8"/>
  <c r="B2372" i="8"/>
  <c r="B2373" i="8"/>
  <c r="B2374" i="8"/>
  <c r="B2375" i="8"/>
  <c r="B2376" i="8"/>
  <c r="B2377" i="8"/>
  <c r="B2378" i="8"/>
  <c r="B2379" i="8"/>
  <c r="B2380" i="8"/>
  <c r="B2381" i="8"/>
  <c r="B2382" i="8"/>
  <c r="B2383" i="8"/>
  <c r="B2384" i="8"/>
  <c r="B2385" i="8"/>
  <c r="B2386" i="8"/>
  <c r="B2387" i="8"/>
  <c r="B2388" i="8"/>
  <c r="B2389" i="8"/>
  <c r="B2390" i="8"/>
  <c r="B2391" i="8"/>
  <c r="B2392" i="8"/>
  <c r="B2393" i="8"/>
  <c r="B2394" i="8"/>
  <c r="B2395" i="8"/>
  <c r="B2396" i="8"/>
  <c r="B2397" i="8"/>
  <c r="B2398" i="8"/>
  <c r="B2399" i="8"/>
  <c r="B2400" i="8"/>
  <c r="B2401" i="8"/>
  <c r="B2402" i="8"/>
  <c r="B2403" i="8"/>
  <c r="B2404" i="8"/>
  <c r="B2405" i="8"/>
  <c r="B2406" i="8"/>
  <c r="B2407" i="8"/>
  <c r="B2408" i="8"/>
  <c r="B2409" i="8"/>
  <c r="B2410" i="8"/>
  <c r="B2411" i="8"/>
  <c r="B2412" i="8"/>
  <c r="B2413" i="8"/>
  <c r="B2414" i="8"/>
  <c r="B2415" i="8"/>
  <c r="B2416" i="8"/>
  <c r="B2417" i="8"/>
  <c r="B2418" i="8"/>
  <c r="B2419" i="8"/>
  <c r="B2420" i="8"/>
  <c r="B2421" i="8"/>
  <c r="B2422" i="8"/>
  <c r="B2423" i="8"/>
  <c r="B2424" i="8"/>
  <c r="B2425" i="8"/>
  <c r="B2426" i="8"/>
  <c r="B2427" i="8"/>
  <c r="B2428" i="8"/>
  <c r="B2429" i="8"/>
  <c r="B2430" i="8"/>
  <c r="B2431" i="8"/>
  <c r="B2432" i="8"/>
  <c r="B2433" i="8"/>
  <c r="B2434" i="8"/>
  <c r="B2435" i="8"/>
  <c r="B2436" i="8"/>
  <c r="B2437" i="8"/>
  <c r="B2438" i="8"/>
  <c r="B2439" i="8"/>
  <c r="B2440" i="8"/>
  <c r="B2441" i="8"/>
  <c r="B2442" i="8"/>
  <c r="B2443" i="8"/>
  <c r="B2444" i="8"/>
  <c r="B2445" i="8"/>
  <c r="B2446" i="8"/>
  <c r="B2447" i="8"/>
  <c r="B2448" i="8"/>
  <c r="B2449" i="8"/>
  <c r="B2450" i="8"/>
  <c r="B2451" i="8"/>
  <c r="B2452" i="8"/>
  <c r="B2453" i="8"/>
  <c r="B2454" i="8"/>
  <c r="B2455" i="8"/>
  <c r="B2456" i="8"/>
  <c r="B2457" i="8"/>
  <c r="B2458" i="8"/>
  <c r="B2459" i="8"/>
  <c r="B2460" i="8"/>
  <c r="B2461" i="8"/>
  <c r="B2462" i="8"/>
  <c r="B2463" i="8"/>
  <c r="B2464" i="8"/>
  <c r="B2465" i="8"/>
  <c r="B2466" i="8"/>
  <c r="B2467" i="8"/>
  <c r="B2468" i="8"/>
  <c r="B2469" i="8"/>
  <c r="B2470" i="8"/>
  <c r="B2471" i="8"/>
  <c r="B2472" i="8"/>
  <c r="B2473" i="8"/>
  <c r="B2474" i="8"/>
  <c r="B2475" i="8"/>
  <c r="B2476" i="8"/>
  <c r="B2477" i="8"/>
  <c r="B2478" i="8"/>
  <c r="B2479" i="8"/>
  <c r="B2480" i="8"/>
  <c r="B2481" i="8"/>
  <c r="B2482" i="8"/>
  <c r="B2483" i="8"/>
  <c r="B2484" i="8"/>
  <c r="B2485" i="8"/>
  <c r="B2486" i="8"/>
  <c r="B2487" i="8"/>
  <c r="B2488" i="8"/>
  <c r="B2489" i="8"/>
  <c r="B2490" i="8"/>
  <c r="B2491" i="8"/>
  <c r="B2492" i="8"/>
  <c r="B2493" i="8"/>
  <c r="B2494" i="8"/>
  <c r="B2495" i="8"/>
  <c r="B2496" i="8"/>
  <c r="B2497" i="8"/>
  <c r="B2498" i="8"/>
  <c r="B2499" i="8"/>
  <c r="B2500" i="8"/>
  <c r="B2501" i="8"/>
  <c r="B2502" i="8"/>
  <c r="B2503" i="8"/>
  <c r="B2504" i="8"/>
  <c r="B2505" i="8"/>
  <c r="B2506" i="8"/>
  <c r="B2507" i="8"/>
  <c r="B2508" i="8"/>
  <c r="B2509" i="8"/>
  <c r="B2510" i="8"/>
  <c r="B2511" i="8"/>
  <c r="B2512" i="8"/>
  <c r="B2513" i="8"/>
  <c r="B2514" i="8"/>
  <c r="B2515" i="8"/>
  <c r="B2516" i="8"/>
  <c r="B2517" i="8"/>
  <c r="B2518" i="8"/>
  <c r="B2519" i="8"/>
  <c r="B2520" i="8"/>
  <c r="B2521" i="8"/>
  <c r="B2522" i="8"/>
  <c r="B2523" i="8"/>
  <c r="B2524" i="8"/>
  <c r="B2525" i="8"/>
  <c r="B2526" i="8"/>
  <c r="B2527" i="8"/>
  <c r="B2528" i="8"/>
  <c r="B2529" i="8"/>
  <c r="B2530" i="8"/>
  <c r="B2531" i="8"/>
  <c r="B2532" i="8"/>
  <c r="B2533" i="8"/>
  <c r="B2534" i="8"/>
  <c r="B2535" i="8"/>
  <c r="B2536" i="8"/>
  <c r="B2537" i="8"/>
  <c r="B2538" i="8"/>
  <c r="B2539" i="8"/>
  <c r="B2540" i="8"/>
  <c r="B2541" i="8"/>
  <c r="B2542" i="8"/>
  <c r="B2543" i="8"/>
  <c r="B2544" i="8"/>
  <c r="B2545" i="8"/>
  <c r="B2546" i="8"/>
  <c r="B2547" i="8"/>
  <c r="B2548" i="8"/>
  <c r="B2549" i="8"/>
  <c r="B2550" i="8"/>
  <c r="B2551" i="8"/>
  <c r="B2552" i="8"/>
  <c r="B2553" i="8"/>
  <c r="B2554" i="8"/>
  <c r="B2555" i="8"/>
  <c r="B2556" i="8"/>
  <c r="B2557" i="8"/>
  <c r="B2558" i="8"/>
  <c r="B2559" i="8"/>
  <c r="B2560" i="8"/>
  <c r="B2561" i="8"/>
  <c r="B2562" i="8"/>
  <c r="B2563" i="8"/>
  <c r="B2564" i="8"/>
  <c r="B2565" i="8"/>
  <c r="B2566" i="8"/>
  <c r="B2567" i="8"/>
  <c r="B2568" i="8"/>
  <c r="B2569" i="8"/>
  <c r="B2570" i="8"/>
  <c r="B2571" i="8"/>
  <c r="B2572" i="8"/>
  <c r="B2573" i="8"/>
  <c r="B2574" i="8"/>
  <c r="B2575" i="8"/>
  <c r="B2576" i="8"/>
  <c r="B2577" i="8"/>
  <c r="B2578" i="8"/>
  <c r="B2579" i="8"/>
  <c r="B2580" i="8"/>
  <c r="B2581" i="8"/>
  <c r="B2582" i="8"/>
  <c r="B2583" i="8"/>
  <c r="B2584" i="8"/>
  <c r="B2585" i="8"/>
  <c r="B2586" i="8"/>
  <c r="B2587" i="8"/>
  <c r="B2588" i="8"/>
  <c r="B2589" i="8"/>
  <c r="B2590" i="8"/>
  <c r="B2591" i="8"/>
  <c r="B2592" i="8"/>
  <c r="B2593" i="8"/>
  <c r="B2594" i="8"/>
  <c r="B2595" i="8"/>
  <c r="B2596" i="8"/>
  <c r="B2597" i="8"/>
  <c r="B2598" i="8"/>
  <c r="B2599" i="8"/>
  <c r="B2600" i="8"/>
  <c r="B2601" i="8"/>
  <c r="B2602" i="8"/>
  <c r="B2603" i="8"/>
  <c r="B2604" i="8"/>
  <c r="B2605" i="8"/>
  <c r="B2606" i="8"/>
  <c r="B2607" i="8"/>
  <c r="B2608" i="8"/>
  <c r="B2609" i="8"/>
  <c r="B2610" i="8"/>
  <c r="B2611" i="8"/>
  <c r="B2612" i="8"/>
  <c r="B2613" i="8"/>
  <c r="B2614" i="8"/>
  <c r="B2615" i="8"/>
  <c r="B2616" i="8"/>
  <c r="B2617" i="8"/>
  <c r="B2618" i="8"/>
  <c r="B2619" i="8"/>
  <c r="B2620" i="8"/>
  <c r="B2621" i="8"/>
  <c r="B2622" i="8"/>
  <c r="B2623" i="8"/>
  <c r="B2624" i="8"/>
  <c r="B2625" i="8"/>
  <c r="B2626" i="8"/>
  <c r="B2627" i="8"/>
  <c r="B2628" i="8"/>
  <c r="B2629" i="8"/>
  <c r="B2630" i="8"/>
  <c r="B2631" i="8"/>
  <c r="B2632" i="8"/>
  <c r="B2633" i="8"/>
  <c r="B2634" i="8"/>
  <c r="B2635" i="8"/>
  <c r="B2636" i="8"/>
  <c r="B2637" i="8"/>
  <c r="B2638" i="8"/>
  <c r="B2639" i="8"/>
  <c r="B2640" i="8"/>
  <c r="B2641" i="8"/>
  <c r="B2642" i="8"/>
  <c r="B2643" i="8"/>
  <c r="B2644" i="8"/>
  <c r="B2645" i="8"/>
  <c r="B2646" i="8"/>
  <c r="B2647" i="8"/>
  <c r="B2648" i="8"/>
  <c r="B2649" i="8"/>
  <c r="B2650" i="8"/>
  <c r="B2651" i="8"/>
  <c r="B2652" i="8"/>
  <c r="B2653" i="8"/>
  <c r="B2654" i="8"/>
  <c r="B2655" i="8"/>
  <c r="B2656" i="8"/>
  <c r="B2657" i="8"/>
  <c r="B2658" i="8"/>
  <c r="B2659" i="8"/>
  <c r="B2660" i="8"/>
  <c r="B2661" i="8"/>
  <c r="B2662" i="8"/>
  <c r="B2663" i="8"/>
  <c r="B2664" i="8"/>
  <c r="B2665" i="8"/>
  <c r="B2666" i="8"/>
  <c r="B2667" i="8"/>
  <c r="B2668" i="8"/>
  <c r="B2669" i="8"/>
  <c r="B2670" i="8"/>
  <c r="B2671" i="8"/>
  <c r="B2672" i="8"/>
  <c r="B2673" i="8"/>
  <c r="B2674" i="8"/>
  <c r="B2675" i="8"/>
  <c r="B2676" i="8"/>
  <c r="B2677" i="8"/>
  <c r="B2678" i="8"/>
  <c r="B2679" i="8"/>
  <c r="B2680" i="8"/>
  <c r="B2681" i="8"/>
  <c r="B2682" i="8"/>
  <c r="B2683" i="8"/>
  <c r="B2684" i="8"/>
  <c r="B2685" i="8"/>
  <c r="B2686" i="8"/>
  <c r="B2687" i="8"/>
  <c r="B2688" i="8"/>
  <c r="B2689" i="8"/>
  <c r="B2690" i="8"/>
  <c r="B2691" i="8"/>
  <c r="B2692" i="8"/>
  <c r="B2693" i="8"/>
  <c r="B2694" i="8"/>
  <c r="B2695" i="8"/>
  <c r="B2696" i="8"/>
  <c r="B2697" i="8"/>
  <c r="B2698" i="8"/>
  <c r="B2699" i="8"/>
  <c r="B2700" i="8"/>
  <c r="B2701" i="8"/>
  <c r="B2702" i="8"/>
  <c r="B2703" i="8"/>
  <c r="B2704" i="8"/>
  <c r="B2705" i="8"/>
  <c r="B2706" i="8"/>
  <c r="B2707" i="8"/>
  <c r="B2708" i="8"/>
  <c r="B2709" i="8"/>
  <c r="B2710" i="8"/>
  <c r="B2711" i="8"/>
  <c r="B2712" i="8"/>
  <c r="B2713" i="8"/>
  <c r="B2714" i="8"/>
  <c r="B2715" i="8"/>
  <c r="B2716" i="8"/>
  <c r="B2717" i="8"/>
  <c r="B2718" i="8"/>
  <c r="B2719" i="8"/>
  <c r="B2720" i="8"/>
  <c r="B2721" i="8"/>
  <c r="B2722" i="8"/>
  <c r="B2723" i="8"/>
  <c r="B2724" i="8"/>
  <c r="B2725" i="8"/>
  <c r="B2726" i="8"/>
  <c r="B2727" i="8"/>
  <c r="B2728" i="8"/>
  <c r="B2729" i="8"/>
  <c r="B2730" i="8"/>
  <c r="B2731" i="8"/>
  <c r="B2732" i="8"/>
  <c r="B2733" i="8"/>
  <c r="B2734" i="8"/>
  <c r="B2735" i="8"/>
  <c r="B2736" i="8"/>
  <c r="B2737" i="8"/>
  <c r="B2738" i="8"/>
  <c r="B2739" i="8"/>
  <c r="B2740" i="8"/>
  <c r="B2741" i="8"/>
  <c r="B2742" i="8"/>
  <c r="B2743" i="8"/>
  <c r="B2744" i="8"/>
  <c r="B2745" i="8"/>
  <c r="B2746" i="8"/>
  <c r="B2747" i="8"/>
  <c r="B2748" i="8"/>
  <c r="B2749" i="8"/>
  <c r="B2750" i="8"/>
  <c r="B2751" i="8"/>
  <c r="B2752" i="8"/>
  <c r="B2753" i="8"/>
  <c r="B2754" i="8"/>
  <c r="B2755" i="8"/>
  <c r="B2756" i="8"/>
  <c r="B2757" i="8"/>
  <c r="B2758" i="8"/>
  <c r="B2759" i="8"/>
  <c r="B2760" i="8"/>
  <c r="B2761" i="8"/>
  <c r="B2762" i="8"/>
  <c r="B2763" i="8"/>
  <c r="B2764" i="8"/>
  <c r="B2765" i="8"/>
  <c r="B2766" i="8"/>
  <c r="B2767" i="8"/>
  <c r="B2768" i="8"/>
  <c r="B2769" i="8"/>
  <c r="B2770" i="8"/>
  <c r="B2771" i="8"/>
  <c r="B2772" i="8"/>
  <c r="B2773" i="8"/>
  <c r="B2774" i="8"/>
  <c r="B2775" i="8"/>
  <c r="B2776" i="8"/>
  <c r="B2777" i="8"/>
  <c r="B2778" i="8"/>
  <c r="B2779" i="8"/>
  <c r="B2780" i="8"/>
  <c r="B2781" i="8"/>
  <c r="B2782" i="8"/>
  <c r="B2783" i="8"/>
  <c r="B2784" i="8"/>
  <c r="B2785" i="8"/>
  <c r="B2786" i="8"/>
  <c r="B2787" i="8"/>
  <c r="B2788" i="8"/>
  <c r="B2789" i="8"/>
  <c r="B2790" i="8"/>
  <c r="B2791" i="8"/>
  <c r="B2792" i="8"/>
  <c r="B2793" i="8"/>
  <c r="B2794" i="8"/>
  <c r="B2795" i="8"/>
  <c r="B2796" i="8"/>
  <c r="B2797" i="8"/>
  <c r="B2798" i="8"/>
  <c r="B2799" i="8"/>
  <c r="B2800" i="8"/>
  <c r="B2801" i="8"/>
  <c r="B2802" i="8"/>
  <c r="B2803" i="8"/>
  <c r="B2804" i="8"/>
  <c r="B2805" i="8"/>
  <c r="B2806" i="8"/>
  <c r="B2807" i="8"/>
  <c r="B2808" i="8"/>
  <c r="B2809" i="8"/>
  <c r="B2810" i="8"/>
  <c r="B2811" i="8"/>
  <c r="B2812" i="8"/>
  <c r="B2813" i="8"/>
  <c r="B2814" i="8"/>
  <c r="B2815" i="8"/>
  <c r="B2816" i="8"/>
  <c r="B2817" i="8"/>
  <c r="B2818" i="8"/>
  <c r="B2819" i="8"/>
  <c r="B2820" i="8"/>
  <c r="B2821" i="8"/>
  <c r="B2822" i="8"/>
  <c r="B2823" i="8"/>
  <c r="B2824" i="8"/>
  <c r="B2825" i="8"/>
  <c r="B2826" i="8"/>
  <c r="B2827" i="8"/>
  <c r="B2828" i="8"/>
  <c r="B2829" i="8"/>
  <c r="B2830" i="8"/>
  <c r="B2831" i="8"/>
  <c r="B2832" i="8"/>
  <c r="B2833" i="8"/>
  <c r="B2834" i="8"/>
  <c r="B2835" i="8"/>
  <c r="B2836" i="8"/>
  <c r="B2837" i="8"/>
  <c r="B2838" i="8"/>
  <c r="B2839" i="8"/>
  <c r="B2840" i="8"/>
  <c r="B2841" i="8"/>
  <c r="B2842" i="8"/>
  <c r="B2843" i="8"/>
  <c r="B2844" i="8"/>
  <c r="B2845" i="8"/>
  <c r="B2846" i="8"/>
  <c r="B2847" i="8"/>
  <c r="B2848" i="8"/>
  <c r="B2849" i="8"/>
  <c r="B2850" i="8"/>
  <c r="B2851" i="8"/>
  <c r="B2852" i="8"/>
  <c r="B2853" i="8"/>
  <c r="B2854" i="8"/>
  <c r="B2855" i="8"/>
  <c r="B2856" i="8"/>
  <c r="B2857" i="8"/>
  <c r="B2858" i="8"/>
  <c r="B2859" i="8"/>
  <c r="B2860" i="8"/>
  <c r="B2861" i="8"/>
  <c r="B2862" i="8"/>
  <c r="B2863" i="8"/>
  <c r="B2864" i="8"/>
  <c r="B2865" i="8"/>
  <c r="B2866" i="8"/>
  <c r="B2867" i="8"/>
  <c r="B2868" i="8"/>
  <c r="B2869" i="8"/>
  <c r="B2870" i="8"/>
  <c r="B2871" i="8"/>
  <c r="B2872" i="8"/>
  <c r="B2873" i="8"/>
  <c r="B2874" i="8"/>
  <c r="B2875" i="8"/>
  <c r="B2876" i="8"/>
  <c r="B2877" i="8"/>
  <c r="B2878" i="8"/>
  <c r="B2879" i="8"/>
  <c r="B2880" i="8"/>
  <c r="B2881" i="8"/>
  <c r="B2882" i="8"/>
  <c r="B2883" i="8"/>
  <c r="B2884" i="8"/>
  <c r="B2885" i="8"/>
  <c r="B2886" i="8"/>
  <c r="B2887" i="8"/>
  <c r="B2888" i="8"/>
  <c r="B2889" i="8"/>
  <c r="B2890" i="8"/>
  <c r="B2891" i="8"/>
  <c r="B2892" i="8"/>
  <c r="B2893" i="8"/>
  <c r="B2894" i="8"/>
  <c r="B2895" i="8"/>
  <c r="B2896" i="8"/>
  <c r="B2897" i="8"/>
  <c r="B2898" i="8"/>
  <c r="B2899" i="8"/>
  <c r="B2900" i="8"/>
  <c r="B2901" i="8"/>
  <c r="B2902" i="8"/>
  <c r="B2903" i="8"/>
  <c r="B2904" i="8"/>
  <c r="B2905" i="8"/>
  <c r="B2906" i="8"/>
  <c r="B2907" i="8"/>
  <c r="B2908" i="8"/>
  <c r="B2909" i="8"/>
  <c r="B2910" i="8"/>
  <c r="B2911" i="8"/>
  <c r="B2912" i="8"/>
  <c r="B2913" i="8"/>
  <c r="B2914" i="8"/>
  <c r="B2915" i="8"/>
  <c r="B2916" i="8"/>
  <c r="B2917" i="8"/>
  <c r="B2918" i="8"/>
  <c r="B2919" i="8"/>
  <c r="B2920" i="8"/>
  <c r="B2921" i="8"/>
  <c r="B2922" i="8"/>
  <c r="B2923" i="8"/>
  <c r="B2924" i="8"/>
  <c r="B2925" i="8"/>
  <c r="B2926" i="8"/>
  <c r="B2927" i="8"/>
  <c r="B2928" i="8"/>
  <c r="B2929" i="8"/>
  <c r="B2930" i="8"/>
  <c r="B2931" i="8"/>
  <c r="B2932" i="8"/>
  <c r="B2933" i="8"/>
  <c r="B2934" i="8"/>
  <c r="B2935" i="8"/>
  <c r="B2936" i="8"/>
  <c r="B2937" i="8"/>
  <c r="B2938" i="8"/>
  <c r="B2939" i="8"/>
  <c r="B2940" i="8"/>
  <c r="B2941" i="8"/>
  <c r="B2942" i="8"/>
  <c r="B2943" i="8"/>
  <c r="B2944" i="8"/>
  <c r="B2945" i="8"/>
  <c r="B2946" i="8"/>
  <c r="B2947" i="8"/>
  <c r="B2948" i="8"/>
  <c r="B2949" i="8"/>
  <c r="B2950" i="8"/>
  <c r="B2951" i="8"/>
  <c r="B2952" i="8"/>
  <c r="B2953" i="8"/>
  <c r="B2954" i="8"/>
  <c r="B2955" i="8"/>
  <c r="B2956" i="8"/>
  <c r="B2957" i="8"/>
  <c r="B2958" i="8"/>
  <c r="B2959" i="8"/>
  <c r="B2960" i="8"/>
  <c r="B2961" i="8"/>
  <c r="B2962" i="8"/>
  <c r="B2963" i="8"/>
  <c r="B2964" i="8"/>
  <c r="B2965" i="8"/>
  <c r="B2966" i="8"/>
  <c r="B2967" i="8"/>
  <c r="B2968" i="8"/>
  <c r="B2969" i="8"/>
  <c r="B2970" i="8"/>
  <c r="B2971" i="8"/>
  <c r="B2972" i="8"/>
  <c r="B2973" i="8"/>
  <c r="B2974" i="8"/>
  <c r="B2975" i="8"/>
  <c r="B2976" i="8"/>
  <c r="B2977" i="8"/>
  <c r="B2978" i="8"/>
  <c r="B2979" i="8"/>
  <c r="B2980" i="8"/>
  <c r="B2981" i="8"/>
  <c r="B2982" i="8"/>
  <c r="B2983" i="8"/>
  <c r="B2984" i="8"/>
  <c r="B2985" i="8"/>
  <c r="B2986" i="8"/>
  <c r="B2987" i="8"/>
  <c r="B2988" i="8"/>
  <c r="B2989" i="8"/>
  <c r="B2990" i="8"/>
  <c r="B2991" i="8"/>
  <c r="B2992" i="8"/>
  <c r="B2993" i="8"/>
  <c r="B2994" i="8"/>
  <c r="B2995" i="8"/>
  <c r="B2996" i="8"/>
  <c r="B2997" i="8"/>
  <c r="B2998" i="8"/>
  <c r="B2999" i="8"/>
  <c r="B3000" i="8"/>
  <c r="B3001" i="8"/>
  <c r="B7" i="8"/>
  <c r="B8" i="8"/>
  <c r="B9" i="8"/>
  <c r="B10" i="8"/>
  <c r="B11" i="8"/>
  <c r="B12" i="8"/>
  <c r="B13" i="8"/>
  <c r="B14" i="8"/>
  <c r="B15" i="8"/>
  <c r="B16" i="8"/>
  <c r="B3" i="8"/>
  <c r="B4" i="8"/>
  <c r="B5" i="8"/>
  <c r="B6" i="8"/>
  <c r="B2" i="8"/>
  <c r="L25" i="8" a="1"/>
  <c r="L25" i="8"/>
  <c r="L11" i="8" a="1"/>
  <c r="L11" i="8"/>
  <c r="M11" i="8" s="1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2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1493" i="7"/>
  <c r="D1494" i="7"/>
  <c r="D1495" i="7"/>
  <c r="D1496" i="7"/>
  <c r="D1497" i="7"/>
  <c r="D1498" i="7"/>
  <c r="D1499" i="7"/>
  <c r="D1500" i="7"/>
  <c r="D1501" i="7"/>
  <c r="D1502" i="7"/>
  <c r="D1503" i="7"/>
  <c r="D1504" i="7"/>
  <c r="D1505" i="7"/>
  <c r="D1506" i="7"/>
  <c r="D1507" i="7"/>
  <c r="D1508" i="7"/>
  <c r="D1509" i="7"/>
  <c r="D1510" i="7"/>
  <c r="D1511" i="7"/>
  <c r="D1512" i="7"/>
  <c r="D1513" i="7"/>
  <c r="D1514" i="7"/>
  <c r="D1515" i="7"/>
  <c r="D1516" i="7"/>
  <c r="D1517" i="7"/>
  <c r="D1518" i="7"/>
  <c r="D1519" i="7"/>
  <c r="D1520" i="7"/>
  <c r="D1521" i="7"/>
  <c r="D1522" i="7"/>
  <c r="D1523" i="7"/>
  <c r="D1524" i="7"/>
  <c r="D1525" i="7"/>
  <c r="D1526" i="7"/>
  <c r="D1527" i="7"/>
  <c r="D1528" i="7"/>
  <c r="D1529" i="7"/>
  <c r="D1530" i="7"/>
  <c r="D1531" i="7"/>
  <c r="D1532" i="7"/>
  <c r="D1533" i="7"/>
  <c r="D1534" i="7"/>
  <c r="D1535" i="7"/>
  <c r="D1536" i="7"/>
  <c r="D1537" i="7"/>
  <c r="D1538" i="7"/>
  <c r="D1539" i="7"/>
  <c r="D1540" i="7"/>
  <c r="D1541" i="7"/>
  <c r="D1542" i="7"/>
  <c r="D1543" i="7"/>
  <c r="D1544" i="7"/>
  <c r="D1545" i="7"/>
  <c r="D1546" i="7"/>
  <c r="D1547" i="7"/>
  <c r="D1548" i="7"/>
  <c r="D1549" i="7"/>
  <c r="D1550" i="7"/>
  <c r="D1551" i="7"/>
  <c r="D1552" i="7"/>
  <c r="D1553" i="7"/>
  <c r="D1554" i="7"/>
  <c r="D1555" i="7"/>
  <c r="D1556" i="7"/>
  <c r="D1557" i="7"/>
  <c r="D1558" i="7"/>
  <c r="D1559" i="7"/>
  <c r="D1560" i="7"/>
  <c r="D1561" i="7"/>
  <c r="D1562" i="7"/>
  <c r="D1563" i="7"/>
  <c r="D1564" i="7"/>
  <c r="D1565" i="7"/>
  <c r="D1566" i="7"/>
  <c r="D1567" i="7"/>
  <c r="D1568" i="7"/>
  <c r="D1569" i="7"/>
  <c r="D1570" i="7"/>
  <c r="D1571" i="7"/>
  <c r="D1572" i="7"/>
  <c r="D1573" i="7"/>
  <c r="D1574" i="7"/>
  <c r="D1575" i="7"/>
  <c r="D1576" i="7"/>
  <c r="D1577" i="7"/>
  <c r="D1578" i="7"/>
  <c r="D1579" i="7"/>
  <c r="D1580" i="7"/>
  <c r="D1581" i="7"/>
  <c r="D1582" i="7"/>
  <c r="D1583" i="7"/>
  <c r="D1584" i="7"/>
  <c r="D1585" i="7"/>
  <c r="D1586" i="7"/>
  <c r="D1587" i="7"/>
  <c r="D1588" i="7"/>
  <c r="D1589" i="7"/>
  <c r="D1590" i="7"/>
  <c r="D1591" i="7"/>
  <c r="D1592" i="7"/>
  <c r="D1593" i="7"/>
  <c r="D1594" i="7"/>
  <c r="D1595" i="7"/>
  <c r="D1596" i="7"/>
  <c r="D1597" i="7"/>
  <c r="D1598" i="7"/>
  <c r="D1599" i="7"/>
  <c r="D1600" i="7"/>
  <c r="D1601" i="7"/>
  <c r="D1602" i="7"/>
  <c r="D1603" i="7"/>
  <c r="D1604" i="7"/>
  <c r="D1605" i="7"/>
  <c r="D1606" i="7"/>
  <c r="D1607" i="7"/>
  <c r="D1608" i="7"/>
  <c r="D1609" i="7"/>
  <c r="D1610" i="7"/>
  <c r="D1611" i="7"/>
  <c r="D1612" i="7"/>
  <c r="D1613" i="7"/>
  <c r="D1614" i="7"/>
  <c r="D1615" i="7"/>
  <c r="D1616" i="7"/>
  <c r="D1617" i="7"/>
  <c r="D1618" i="7"/>
  <c r="D1619" i="7"/>
  <c r="D1620" i="7"/>
  <c r="D1621" i="7"/>
  <c r="D1622" i="7"/>
  <c r="D1623" i="7"/>
  <c r="D1624" i="7"/>
  <c r="D1625" i="7"/>
  <c r="D1626" i="7"/>
  <c r="D1627" i="7"/>
  <c r="D1628" i="7"/>
  <c r="D1629" i="7"/>
  <c r="D1630" i="7"/>
  <c r="D1631" i="7"/>
  <c r="D1632" i="7"/>
  <c r="D1633" i="7"/>
  <c r="D1634" i="7"/>
  <c r="D1635" i="7"/>
  <c r="D1636" i="7"/>
  <c r="D1637" i="7"/>
  <c r="D1638" i="7"/>
  <c r="D1639" i="7"/>
  <c r="D1640" i="7"/>
  <c r="D1641" i="7"/>
  <c r="D1642" i="7"/>
  <c r="D1643" i="7"/>
  <c r="D1644" i="7"/>
  <c r="D1645" i="7"/>
  <c r="D1646" i="7"/>
  <c r="D1647" i="7"/>
  <c r="D1648" i="7"/>
  <c r="D1649" i="7"/>
  <c r="D1650" i="7"/>
  <c r="D1651" i="7"/>
  <c r="D1652" i="7"/>
  <c r="D1653" i="7"/>
  <c r="D1654" i="7"/>
  <c r="D1655" i="7"/>
  <c r="D1656" i="7"/>
  <c r="D1657" i="7"/>
  <c r="D1658" i="7"/>
  <c r="D1659" i="7"/>
  <c r="D1660" i="7"/>
  <c r="D1661" i="7"/>
  <c r="D1662" i="7"/>
  <c r="D1663" i="7"/>
  <c r="D1664" i="7"/>
  <c r="D1665" i="7"/>
  <c r="D1666" i="7"/>
  <c r="D1667" i="7"/>
  <c r="D1668" i="7"/>
  <c r="D1669" i="7"/>
  <c r="D1670" i="7"/>
  <c r="D1671" i="7"/>
  <c r="D1672" i="7"/>
  <c r="D1673" i="7"/>
  <c r="D1674" i="7"/>
  <c r="D1675" i="7"/>
  <c r="D1676" i="7"/>
  <c r="D1677" i="7"/>
  <c r="D1678" i="7"/>
  <c r="D1679" i="7"/>
  <c r="D1680" i="7"/>
  <c r="D1681" i="7"/>
  <c r="D1682" i="7"/>
  <c r="D1683" i="7"/>
  <c r="D1684" i="7"/>
  <c r="D1685" i="7"/>
  <c r="D1686" i="7"/>
  <c r="D1687" i="7"/>
  <c r="D1688" i="7"/>
  <c r="D1689" i="7"/>
  <c r="D1690" i="7"/>
  <c r="D1691" i="7"/>
  <c r="D1692" i="7"/>
  <c r="D1693" i="7"/>
  <c r="D1694" i="7"/>
  <c r="D1695" i="7"/>
  <c r="D1696" i="7"/>
  <c r="D1697" i="7"/>
  <c r="D1698" i="7"/>
  <c r="D1699" i="7"/>
  <c r="D1700" i="7"/>
  <c r="D1701" i="7"/>
  <c r="D1702" i="7"/>
  <c r="D1703" i="7"/>
  <c r="D1704" i="7"/>
  <c r="D1705" i="7"/>
  <c r="D1706" i="7"/>
  <c r="D1707" i="7"/>
  <c r="D1708" i="7"/>
  <c r="D1709" i="7"/>
  <c r="D1710" i="7"/>
  <c r="D1711" i="7"/>
  <c r="D1712" i="7"/>
  <c r="D1713" i="7"/>
  <c r="D1714" i="7"/>
  <c r="D1715" i="7"/>
  <c r="D1716" i="7"/>
  <c r="D1717" i="7"/>
  <c r="D1718" i="7"/>
  <c r="D1719" i="7"/>
  <c r="D1720" i="7"/>
  <c r="D1721" i="7"/>
  <c r="D1722" i="7"/>
  <c r="D1723" i="7"/>
  <c r="D1724" i="7"/>
  <c r="D1725" i="7"/>
  <c r="D1726" i="7"/>
  <c r="D1727" i="7"/>
  <c r="D1728" i="7"/>
  <c r="D1729" i="7"/>
  <c r="D1730" i="7"/>
  <c r="D1731" i="7"/>
  <c r="D1732" i="7"/>
  <c r="D1733" i="7"/>
  <c r="D1734" i="7"/>
  <c r="D1735" i="7"/>
  <c r="D1736" i="7"/>
  <c r="D1737" i="7"/>
  <c r="D1738" i="7"/>
  <c r="D1739" i="7"/>
  <c r="D1740" i="7"/>
  <c r="D1741" i="7"/>
  <c r="D1742" i="7"/>
  <c r="D1743" i="7"/>
  <c r="D1744" i="7"/>
  <c r="D1745" i="7"/>
  <c r="D1746" i="7"/>
  <c r="D1747" i="7"/>
  <c r="D1748" i="7"/>
  <c r="D1749" i="7"/>
  <c r="D1750" i="7"/>
  <c r="D1751" i="7"/>
  <c r="D1752" i="7"/>
  <c r="D1753" i="7"/>
  <c r="D1754" i="7"/>
  <c r="D1755" i="7"/>
  <c r="D1756" i="7"/>
  <c r="D1757" i="7"/>
  <c r="D1758" i="7"/>
  <c r="D1759" i="7"/>
  <c r="D1760" i="7"/>
  <c r="D1761" i="7"/>
  <c r="D1762" i="7"/>
  <c r="D1763" i="7"/>
  <c r="D1764" i="7"/>
  <c r="D1765" i="7"/>
  <c r="D1766" i="7"/>
  <c r="D1767" i="7"/>
  <c r="D1768" i="7"/>
  <c r="D1769" i="7"/>
  <c r="D1770" i="7"/>
  <c r="D1771" i="7"/>
  <c r="D1772" i="7"/>
  <c r="D1773" i="7"/>
  <c r="D1774" i="7"/>
  <c r="D1775" i="7"/>
  <c r="D1776" i="7"/>
  <c r="D1777" i="7"/>
  <c r="D1778" i="7"/>
  <c r="D1779" i="7"/>
  <c r="D1780" i="7"/>
  <c r="D1781" i="7"/>
  <c r="D1782" i="7"/>
  <c r="D1783" i="7"/>
  <c r="D1784" i="7"/>
  <c r="D1785" i="7"/>
  <c r="D1786" i="7"/>
  <c r="D1787" i="7"/>
  <c r="D1788" i="7"/>
  <c r="D1789" i="7"/>
  <c r="D1790" i="7"/>
  <c r="D1791" i="7"/>
  <c r="D1792" i="7"/>
  <c r="D1793" i="7"/>
  <c r="D1794" i="7"/>
  <c r="D1795" i="7"/>
  <c r="D1796" i="7"/>
  <c r="D1797" i="7"/>
  <c r="D1798" i="7"/>
  <c r="D1799" i="7"/>
  <c r="D1800" i="7"/>
  <c r="D1801" i="7"/>
  <c r="D1802" i="7"/>
  <c r="D1803" i="7"/>
  <c r="D1804" i="7"/>
  <c r="D1805" i="7"/>
  <c r="D1806" i="7"/>
  <c r="D1807" i="7"/>
  <c r="D1808" i="7"/>
  <c r="D1809" i="7"/>
  <c r="D1810" i="7"/>
  <c r="D1811" i="7"/>
  <c r="D1812" i="7"/>
  <c r="D1813" i="7"/>
  <c r="D1814" i="7"/>
  <c r="D1815" i="7"/>
  <c r="D1816" i="7"/>
  <c r="D1817" i="7"/>
  <c r="D1818" i="7"/>
  <c r="D1819" i="7"/>
  <c r="D1820" i="7"/>
  <c r="D1821" i="7"/>
  <c r="D1822" i="7"/>
  <c r="D1823" i="7"/>
  <c r="D1824" i="7"/>
  <c r="D1825" i="7"/>
  <c r="D1826" i="7"/>
  <c r="D1827" i="7"/>
  <c r="D1828" i="7"/>
  <c r="D1829" i="7"/>
  <c r="D1830" i="7"/>
  <c r="D1831" i="7"/>
  <c r="D1832" i="7"/>
  <c r="D1833" i="7"/>
  <c r="D1834" i="7"/>
  <c r="D1835" i="7"/>
  <c r="D1836" i="7"/>
  <c r="D1837" i="7"/>
  <c r="D1838" i="7"/>
  <c r="D1839" i="7"/>
  <c r="D1840" i="7"/>
  <c r="D1841" i="7"/>
  <c r="D1842" i="7"/>
  <c r="D1843" i="7"/>
  <c r="D1844" i="7"/>
  <c r="D1845" i="7"/>
  <c r="D1846" i="7"/>
  <c r="D1847" i="7"/>
  <c r="D1848" i="7"/>
  <c r="D1849" i="7"/>
  <c r="D1850" i="7"/>
  <c r="D1851" i="7"/>
  <c r="D1852" i="7"/>
  <c r="D1853" i="7"/>
  <c r="D1854" i="7"/>
  <c r="D1855" i="7"/>
  <c r="D1856" i="7"/>
  <c r="D1857" i="7"/>
  <c r="D1858" i="7"/>
  <c r="D1859" i="7"/>
  <c r="D1860" i="7"/>
  <c r="D1861" i="7"/>
  <c r="D1862" i="7"/>
  <c r="D1863" i="7"/>
  <c r="D1864" i="7"/>
  <c r="D1865" i="7"/>
  <c r="D1866" i="7"/>
  <c r="D1867" i="7"/>
  <c r="D1868" i="7"/>
  <c r="D1869" i="7"/>
  <c r="D1870" i="7"/>
  <c r="D1871" i="7"/>
  <c r="D1872" i="7"/>
  <c r="D1873" i="7"/>
  <c r="D1874" i="7"/>
  <c r="D1875" i="7"/>
  <c r="D1876" i="7"/>
  <c r="D1877" i="7"/>
  <c r="D1878" i="7"/>
  <c r="D1879" i="7"/>
  <c r="D1880" i="7"/>
  <c r="D1881" i="7"/>
  <c r="D1882" i="7"/>
  <c r="D1883" i="7"/>
  <c r="D1884" i="7"/>
  <c r="D1885" i="7"/>
  <c r="D1886" i="7"/>
  <c r="D1887" i="7"/>
  <c r="D1888" i="7"/>
  <c r="D1889" i="7"/>
  <c r="D1890" i="7"/>
  <c r="D1891" i="7"/>
  <c r="D1892" i="7"/>
  <c r="D3" i="17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" i="17"/>
  <c r="C4" i="17"/>
  <c r="C5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D2" i="17"/>
  <c r="C2" i="17"/>
  <c r="B3" i="17"/>
  <c r="B4" i="17"/>
  <c r="B5" i="17"/>
  <c r="B6" i="17"/>
  <c r="B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2" i="17"/>
  <c r="I7" i="11"/>
  <c r="E2" i="11"/>
  <c r="F2" i="11" s="1"/>
  <c r="E3" i="11"/>
  <c r="F3" i="11" s="1"/>
  <c r="E4" i="11"/>
  <c r="F4" i="11" s="1"/>
  <c r="E5" i="11"/>
  <c r="F5" i="11" s="1"/>
  <c r="E6" i="11"/>
  <c r="F6" i="11" s="1"/>
  <c r="E7" i="11"/>
  <c r="F7" i="11" s="1"/>
  <c r="E8" i="11"/>
  <c r="F8" i="11" s="1"/>
  <c r="E9" i="11"/>
  <c r="F9" i="11" s="1"/>
  <c r="E10" i="11"/>
  <c r="F10" i="11" s="1"/>
  <c r="E11" i="11"/>
  <c r="F11" i="11" s="1"/>
  <c r="E12" i="11"/>
  <c r="F12" i="11" s="1"/>
  <c r="E13" i="11"/>
  <c r="F13" i="11" s="1"/>
  <c r="E14" i="11"/>
  <c r="F14" i="11" s="1"/>
  <c r="E15" i="11"/>
  <c r="F15" i="11" s="1"/>
  <c r="E16" i="11"/>
  <c r="F16" i="11" s="1"/>
  <c r="E17" i="11"/>
  <c r="F17" i="11" s="1"/>
  <c r="E18" i="11"/>
  <c r="F18" i="11" s="1"/>
  <c r="E19" i="11"/>
  <c r="F19" i="11" s="1"/>
  <c r="E20" i="11"/>
  <c r="F20" i="11" s="1"/>
  <c r="E21" i="11"/>
  <c r="F21" i="11" s="1"/>
  <c r="E22" i="11"/>
  <c r="F22" i="11" s="1"/>
  <c r="E23" i="11"/>
  <c r="F23" i="11" s="1"/>
  <c r="E24" i="11"/>
  <c r="F24" i="11" s="1"/>
  <c r="E25" i="11"/>
  <c r="F25" i="11" s="1"/>
  <c r="E26" i="11"/>
  <c r="F26" i="11" s="1"/>
  <c r="E27" i="11"/>
  <c r="F27" i="11" s="1"/>
  <c r="E28" i="11"/>
  <c r="F28" i="11" s="1"/>
  <c r="E29" i="11"/>
  <c r="F29" i="11" s="1"/>
  <c r="E30" i="11"/>
  <c r="F30" i="11" s="1"/>
  <c r="E31" i="11"/>
  <c r="F31" i="11" s="1"/>
  <c r="E32" i="11"/>
  <c r="F32" i="11" s="1"/>
  <c r="E33" i="11"/>
  <c r="F33" i="11" s="1"/>
  <c r="E34" i="11"/>
  <c r="F34" i="11" s="1"/>
  <c r="E35" i="11"/>
  <c r="F35" i="11" s="1"/>
  <c r="K14" i="3"/>
  <c r="K18" i="3"/>
  <c r="L22" i="3"/>
  <c r="K22" i="3"/>
  <c r="K6" i="3"/>
  <c r="B3" i="4" a="1"/>
  <c r="B3" i="4"/>
  <c r="B4" i="4" a="1"/>
  <c r="B4" i="4"/>
  <c r="B5" i="4" a="1"/>
  <c r="B5" i="4"/>
  <c r="B6" i="4" a="1"/>
  <c r="B6" i="4"/>
  <c r="B7" i="4" a="1"/>
  <c r="B7" i="4"/>
  <c r="B8" i="4" a="1"/>
  <c r="B8" i="4"/>
  <c r="B9" i="4" a="1"/>
  <c r="B9" i="4"/>
  <c r="B10" i="4" a="1"/>
  <c r="B10" i="4"/>
  <c r="B11" i="4" a="1"/>
  <c r="B11" i="4"/>
  <c r="B12" i="4" a="1"/>
  <c r="B12" i="4"/>
  <c r="B13" i="4" a="1"/>
  <c r="B13" i="4"/>
  <c r="B14" i="4" a="1"/>
  <c r="B14" i="4"/>
  <c r="B15" i="4" a="1"/>
  <c r="B15" i="4"/>
  <c r="B16" i="4" a="1"/>
  <c r="B16" i="4"/>
  <c r="B17" i="4" a="1"/>
  <c r="B17" i="4"/>
  <c r="B18" i="4" a="1"/>
  <c r="B18" i="4"/>
  <c r="B19" i="4" a="1"/>
  <c r="B19" i="4"/>
  <c r="B20" i="4" a="1"/>
  <c r="B20" i="4"/>
  <c r="B21" i="4" a="1"/>
  <c r="B21" i="4"/>
  <c r="B22" i="4" a="1"/>
  <c r="B22" i="4"/>
  <c r="B23" i="4" a="1"/>
  <c r="B23" i="4"/>
  <c r="B24" i="4" a="1"/>
  <c r="B24" i="4"/>
  <c r="B25" i="4" a="1"/>
  <c r="B25" i="4"/>
  <c r="B26" i="4" a="1"/>
  <c r="B26" i="4"/>
  <c r="B27" i="4" a="1"/>
  <c r="B27" i="4"/>
  <c r="B28" i="4" a="1"/>
  <c r="B28" i="4"/>
  <c r="B29" i="4" a="1"/>
  <c r="B29" i="4"/>
  <c r="B30" i="4" a="1"/>
  <c r="B30" i="4"/>
  <c r="B41" i="16"/>
  <c r="C41" i="16"/>
  <c r="D41" i="16"/>
  <c r="E41" i="16"/>
  <c r="F41" i="16"/>
  <c r="G41" i="16"/>
  <c r="H41" i="16"/>
  <c r="I41" i="16"/>
  <c r="J41" i="16"/>
  <c r="K41" i="16"/>
  <c r="C42" i="16"/>
  <c r="D42" i="16"/>
  <c r="E42" i="16"/>
  <c r="F42" i="16"/>
  <c r="G42" i="16"/>
  <c r="H42" i="16"/>
  <c r="I42" i="16"/>
  <c r="J42" i="16"/>
  <c r="K42" i="16"/>
  <c r="C43" i="16"/>
  <c r="D43" i="16"/>
  <c r="E43" i="16"/>
  <c r="F43" i="16"/>
  <c r="G43" i="16"/>
  <c r="H43" i="16"/>
  <c r="I43" i="16"/>
  <c r="J43" i="16"/>
  <c r="K43" i="16"/>
  <c r="C44" i="16"/>
  <c r="D44" i="16"/>
  <c r="E44" i="16"/>
  <c r="F44" i="16"/>
  <c r="G44" i="16"/>
  <c r="H44" i="16"/>
  <c r="I44" i="16"/>
  <c r="J44" i="16"/>
  <c r="K44" i="16"/>
  <c r="C45" i="16"/>
  <c r="D45" i="16"/>
  <c r="E45" i="16"/>
  <c r="F45" i="16"/>
  <c r="G45" i="16"/>
  <c r="H45" i="16"/>
  <c r="I45" i="16"/>
  <c r="J45" i="16"/>
  <c r="K45" i="16"/>
  <c r="C46" i="16"/>
  <c r="D46" i="16"/>
  <c r="E46" i="16"/>
  <c r="F46" i="16"/>
  <c r="G46" i="16"/>
  <c r="H46" i="16"/>
  <c r="I46" i="16"/>
  <c r="J46" i="16"/>
  <c r="K46" i="16"/>
  <c r="C47" i="16"/>
  <c r="D47" i="16"/>
  <c r="E47" i="16"/>
  <c r="F47" i="16"/>
  <c r="G47" i="16"/>
  <c r="H47" i="16"/>
  <c r="I47" i="16"/>
  <c r="J47" i="16"/>
  <c r="K47" i="16"/>
  <c r="C48" i="16"/>
  <c r="D48" i="16"/>
  <c r="E48" i="16"/>
  <c r="F48" i="16"/>
  <c r="G48" i="16"/>
  <c r="H48" i="16"/>
  <c r="I48" i="16"/>
  <c r="J48" i="16"/>
  <c r="K48" i="16"/>
  <c r="C49" i="16"/>
  <c r="D49" i="16"/>
  <c r="E49" i="16"/>
  <c r="F49" i="16"/>
  <c r="G49" i="16"/>
  <c r="H49" i="16"/>
  <c r="I49" i="16"/>
  <c r="J49" i="16"/>
  <c r="K49" i="16"/>
  <c r="C50" i="16"/>
  <c r="D50" i="16"/>
  <c r="E50" i="16"/>
  <c r="F50" i="16"/>
  <c r="G50" i="16"/>
  <c r="H50" i="16"/>
  <c r="I50" i="16"/>
  <c r="J50" i="16"/>
  <c r="K50" i="16"/>
  <c r="B42" i="16"/>
  <c r="B43" i="16"/>
  <c r="B44" i="16"/>
  <c r="B45" i="16"/>
  <c r="B46" i="16"/>
  <c r="B47" i="16"/>
  <c r="B48" i="16"/>
  <c r="B49" i="16"/>
  <c r="B50" i="16"/>
  <c r="E32" i="16"/>
  <c r="F32" i="16"/>
  <c r="G32" i="16"/>
  <c r="H32" i="16"/>
  <c r="F31" i="16"/>
  <c r="G31" i="16"/>
  <c r="H31" i="16"/>
  <c r="E31" i="16"/>
  <c r="F26" i="16"/>
  <c r="G26" i="16"/>
  <c r="H26" i="16"/>
  <c r="F27" i="16"/>
  <c r="G27" i="16"/>
  <c r="H27" i="16"/>
  <c r="F28" i="16"/>
  <c r="G28" i="16"/>
  <c r="H28" i="16"/>
  <c r="F29" i="16"/>
  <c r="G29" i="16"/>
  <c r="H29" i="16"/>
  <c r="F30" i="16"/>
  <c r="G30" i="16"/>
  <c r="H30" i="16"/>
  <c r="E27" i="16"/>
  <c r="E28" i="16"/>
  <c r="E29" i="16"/>
  <c r="E30" i="16"/>
  <c r="E26" i="16"/>
  <c r="M10" i="16"/>
  <c r="M11" i="16"/>
  <c r="M12" i="16"/>
  <c r="M13" i="16"/>
  <c r="M14" i="16"/>
  <c r="M15" i="16"/>
  <c r="M16" i="16"/>
  <c r="M17" i="16"/>
  <c r="M18" i="16"/>
  <c r="L10" i="16"/>
  <c r="L11" i="16"/>
  <c r="L12" i="16"/>
  <c r="L13" i="16"/>
  <c r="L14" i="16"/>
  <c r="L15" i="16"/>
  <c r="L16" i="16"/>
  <c r="L17" i="16"/>
  <c r="L18" i="16"/>
  <c r="L9" i="16"/>
  <c r="M9" i="16" s="1"/>
  <c r="K10" i="16"/>
  <c r="K11" i="16"/>
  <c r="K12" i="16"/>
  <c r="K13" i="16"/>
  <c r="K14" i="16"/>
  <c r="K15" i="16"/>
  <c r="K16" i="16"/>
  <c r="K17" i="16"/>
  <c r="K18" i="16"/>
  <c r="K9" i="16"/>
  <c r="J10" i="16"/>
  <c r="J11" i="16"/>
  <c r="J12" i="16"/>
  <c r="J13" i="16"/>
  <c r="J14" i="16"/>
  <c r="J15" i="16"/>
  <c r="J16" i="16"/>
  <c r="J17" i="16"/>
  <c r="J18" i="16"/>
  <c r="F5" i="16"/>
  <c r="F6" i="16"/>
  <c r="F7" i="16"/>
  <c r="F8" i="16"/>
  <c r="F9" i="16"/>
  <c r="F10" i="16"/>
  <c r="F11" i="16"/>
  <c r="F12" i="16"/>
  <c r="F13" i="16"/>
  <c r="F14" i="16"/>
  <c r="F15" i="16"/>
  <c r="F4" i="16"/>
  <c r="N25" i="8" l="1"/>
  <c r="O25" i="8"/>
  <c r="M25" i="8"/>
  <c r="N26" i="8"/>
  <c r="O26" i="8"/>
  <c r="N27" i="8"/>
  <c r="O27" i="8"/>
  <c r="N28" i="8"/>
  <c r="O28" i="8"/>
  <c r="M26" i="8"/>
  <c r="M27" i="8"/>
  <c r="M28" i="8"/>
  <c r="M12" i="8"/>
  <c r="M13" i="8"/>
  <c r="M14" i="8"/>
  <c r="M15" i="8"/>
  <c r="M16" i="8"/>
  <c r="M17" i="8"/>
  <c r="M18" i="8"/>
  <c r="M19" i="8"/>
  <c r="M20" i="8"/>
  <c r="I10" i="11"/>
  <c r="M21" i="8" l="1"/>
  <c r="N11" i="8" l="1"/>
  <c r="N20" i="8"/>
  <c r="N19" i="8"/>
  <c r="N18" i="8"/>
  <c r="N17" i="8"/>
  <c r="N16" i="8"/>
  <c r="N15" i="8"/>
  <c r="N14" i="8"/>
  <c r="N13" i="8"/>
  <c r="N12" i="8"/>
  <c r="N21" i="8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<sst xmlns="http://schemas.openxmlformats.org/spreadsheetml/2006/main" count="29710" uniqueCount="2366">
  <si>
    <t>Q.1.</t>
  </si>
  <si>
    <t>Calculate the Total Expense for each month</t>
  </si>
  <si>
    <t>Q.2.</t>
  </si>
  <si>
    <t>Populate the column of Deduction 1 and Deduction 2 based on the Assumptions Table given at bottom. (Gross pay * Deduction)</t>
  </si>
  <si>
    <t>(Write only one formula then copy that formula for others)</t>
  </si>
  <si>
    <t>Q.3.</t>
  </si>
  <si>
    <t>Calculate the total deduction  (Deduction 1 + Deduction 2)</t>
  </si>
  <si>
    <t>Month</t>
  </si>
  <si>
    <t>Expenses 1</t>
  </si>
  <si>
    <t>Expenses 2</t>
  </si>
  <si>
    <t>Expenses 3</t>
  </si>
  <si>
    <t>Expenses 4</t>
  </si>
  <si>
    <t>Total Expenses</t>
  </si>
  <si>
    <t>Q.4.</t>
  </si>
  <si>
    <t>Find the Net Pay after subtracting the deductions from Gross Pay</t>
  </si>
  <si>
    <t>January</t>
  </si>
  <si>
    <t>February</t>
  </si>
  <si>
    <t>Assumptions</t>
  </si>
  <si>
    <t>Deduction 1</t>
  </si>
  <si>
    <t>Deduction 2</t>
  </si>
  <si>
    <t>March</t>
  </si>
  <si>
    <t>April</t>
  </si>
  <si>
    <t>May</t>
  </si>
  <si>
    <t>Name</t>
  </si>
  <si>
    <t>Gross Pay</t>
  </si>
  <si>
    <t>Total Deductions</t>
  </si>
  <si>
    <t>Net Pay</t>
  </si>
  <si>
    <t>June</t>
  </si>
  <si>
    <t>Aarav</t>
  </si>
  <si>
    <t>July</t>
  </si>
  <si>
    <t>Vihaan</t>
  </si>
  <si>
    <t>August</t>
  </si>
  <si>
    <t>Rohan</t>
  </si>
  <si>
    <t>September</t>
  </si>
  <si>
    <t>Ananya</t>
  </si>
  <si>
    <t>October</t>
  </si>
  <si>
    <t>Ishaan</t>
  </si>
  <si>
    <t>November</t>
  </si>
  <si>
    <t>Sneha</t>
  </si>
  <si>
    <t>December</t>
  </si>
  <si>
    <t>Aditya</t>
  </si>
  <si>
    <t>Meera</t>
  </si>
  <si>
    <t>Rahul</t>
  </si>
  <si>
    <t>Priya</t>
  </si>
  <si>
    <t>Q.5.</t>
  </si>
  <si>
    <t>Populate the below table</t>
  </si>
  <si>
    <t>Note: Expenses for each month is a percentage of the Revenue. The percentage for each Expense is given the in table 'Assumption Table'</t>
  </si>
  <si>
    <t>Assumption Table</t>
  </si>
  <si>
    <t>Jan</t>
  </si>
  <si>
    <t>Feb</t>
  </si>
  <si>
    <t>Mar</t>
  </si>
  <si>
    <t>Apr</t>
  </si>
  <si>
    <t>Question</t>
  </si>
  <si>
    <t>Marks</t>
  </si>
  <si>
    <t>Expense 1</t>
  </si>
  <si>
    <t>Revenue</t>
  </si>
  <si>
    <t>Expense 2</t>
  </si>
  <si>
    <t>Expense 3</t>
  </si>
  <si>
    <t>Expense 4</t>
  </si>
  <si>
    <t>Expense 5</t>
  </si>
  <si>
    <t>Q.6.</t>
  </si>
  <si>
    <t>Net Income</t>
  </si>
  <si>
    <t>NOTE: Write one formula and use Cell reference to polutate value for other</t>
  </si>
  <si>
    <t>Q. 6.</t>
  </si>
  <si>
    <t>Complete the below multiplication table(use cell reference)</t>
  </si>
  <si>
    <t>Random Numbers</t>
  </si>
  <si>
    <t>Max/Min</t>
  </si>
  <si>
    <t>Q.</t>
  </si>
  <si>
    <t xml:space="preserve">Write a IF function in Column B such that the word 'Max' and 'Min' appears in front of the max. and min. number given in the list. </t>
  </si>
  <si>
    <t>For other than 'Min' &amp; 'Max' value, there should be '-' for blank cells</t>
  </si>
  <si>
    <t>Date</t>
  </si>
  <si>
    <t>Column1</t>
  </si>
  <si>
    <t>Region</t>
  </si>
  <si>
    <t>Sales Rep</t>
  </si>
  <si>
    <t>Customer</t>
  </si>
  <si>
    <t>Product</t>
  </si>
  <si>
    <t>COGS</t>
  </si>
  <si>
    <t>Sales</t>
  </si>
  <si>
    <t>Total sales of all Google customers and Costco customers only for NorthEast region</t>
  </si>
  <si>
    <t>NorthEast</t>
  </si>
  <si>
    <t>Jon</t>
  </si>
  <si>
    <t>Google</t>
  </si>
  <si>
    <t>QJV Item</t>
  </si>
  <si>
    <t>Amazon.com</t>
  </si>
  <si>
    <t>ZET Item</t>
  </si>
  <si>
    <t>Ans:</t>
  </si>
  <si>
    <t>SouthEast</t>
  </si>
  <si>
    <t>Chin</t>
  </si>
  <si>
    <t>ZON Item</t>
  </si>
  <si>
    <t>Solar and Wind Inc.</t>
  </si>
  <si>
    <t>JFA Item</t>
  </si>
  <si>
    <t xml:space="preserve"> How many Sales did Chin make to Home Depot?</t>
  </si>
  <si>
    <t>Jeri</t>
  </si>
  <si>
    <t>Costco</t>
  </si>
  <si>
    <t>Home Depot</t>
  </si>
  <si>
    <t>Troung</t>
  </si>
  <si>
    <t>Sherman Williams</t>
  </si>
  <si>
    <t>LZB Item</t>
  </si>
  <si>
    <t>Steven</t>
  </si>
  <si>
    <t>Peet's Coffee</t>
  </si>
  <si>
    <t>EJL Item</t>
  </si>
  <si>
    <t>Sheliadawn</t>
  </si>
  <si>
    <t>QGH Item</t>
  </si>
  <si>
    <t>How many products of ZET Item or RBU Item were sold in the month of May'06?</t>
  </si>
  <si>
    <t>West</t>
  </si>
  <si>
    <t>Nature Company</t>
  </si>
  <si>
    <t>OZR Item</t>
  </si>
  <si>
    <t>North</t>
  </si>
  <si>
    <t>ExcelIsVeryFun.com</t>
  </si>
  <si>
    <t>DQI Item</t>
  </si>
  <si>
    <t>SOC Item</t>
  </si>
  <si>
    <t>RBU Item</t>
  </si>
  <si>
    <t>SKM Item</t>
  </si>
  <si>
    <t>What is the average sales for customer Amazon.com?</t>
  </si>
  <si>
    <t>Luke</t>
  </si>
  <si>
    <t>TEK Item</t>
  </si>
  <si>
    <t>MidWest</t>
  </si>
  <si>
    <t>OSX Item</t>
  </si>
  <si>
    <t>DVC Item</t>
  </si>
  <si>
    <t xml:space="preserve"> How many sales were made greater than $2,000 in Midwest region?</t>
  </si>
  <si>
    <t>Whole Foods</t>
  </si>
  <si>
    <t>EPZ Item</t>
  </si>
  <si>
    <t>Office Depot</t>
  </si>
  <si>
    <t>GNN Item</t>
  </si>
  <si>
    <t>HDP Item</t>
  </si>
  <si>
    <t>KDI Item</t>
  </si>
  <si>
    <t>HFJ Item</t>
  </si>
  <si>
    <t>Rhonda</t>
  </si>
  <si>
    <t>SWQ Item</t>
  </si>
  <si>
    <t>Yahoo</t>
  </si>
  <si>
    <t>VVA Item</t>
  </si>
  <si>
    <t>GWD Item</t>
  </si>
  <si>
    <t>LZH Item</t>
  </si>
  <si>
    <t>CSL Item</t>
  </si>
  <si>
    <t>QDA Item</t>
  </si>
  <si>
    <t>KBF Item</t>
  </si>
  <si>
    <t>MDI Item</t>
  </si>
  <si>
    <t>CAY Item</t>
  </si>
  <si>
    <t>RNI Item</t>
  </si>
  <si>
    <t>XPW Item</t>
  </si>
  <si>
    <t>ALY Item</t>
  </si>
  <si>
    <t>UJZ Item</t>
  </si>
  <si>
    <t>VNM Item</t>
  </si>
  <si>
    <t>BMF Item</t>
  </si>
  <si>
    <t>The Economist</t>
  </si>
  <si>
    <t>DMN Item</t>
  </si>
  <si>
    <t>ARS Item</t>
  </si>
  <si>
    <t>ISP Item</t>
  </si>
  <si>
    <t>ZLR Item</t>
  </si>
  <si>
    <t>FBZ Item</t>
  </si>
  <si>
    <t>EKD Item</t>
  </si>
  <si>
    <t>VWY Item</t>
  </si>
  <si>
    <t>YIP Item</t>
  </si>
  <si>
    <t>JLK Item</t>
  </si>
  <si>
    <t>BSY Item</t>
  </si>
  <si>
    <t>JUE Item</t>
  </si>
  <si>
    <t>BFS Item</t>
  </si>
  <si>
    <t>FXG Item</t>
  </si>
  <si>
    <t>McLendon's Hardware</t>
  </si>
  <si>
    <t>YPW Item</t>
  </si>
  <si>
    <t>TYG Item</t>
  </si>
  <si>
    <t>TYA Item</t>
  </si>
  <si>
    <t>YKZ Item</t>
  </si>
  <si>
    <t>QAG Item</t>
  </si>
  <si>
    <t>RHV Item</t>
  </si>
  <si>
    <t>KTI Item</t>
  </si>
  <si>
    <t>HPF Item</t>
  </si>
  <si>
    <t>HFP Item</t>
  </si>
  <si>
    <t>BXP Item</t>
  </si>
  <si>
    <t>YER Item</t>
  </si>
  <si>
    <t>IVZ Item</t>
  </si>
  <si>
    <t>RTF Item</t>
  </si>
  <si>
    <t>WZQ Item</t>
  </si>
  <si>
    <t>EKO Item</t>
  </si>
  <si>
    <t>BZX Item</t>
  </si>
  <si>
    <t>KXU Item</t>
  </si>
  <si>
    <t>QAI Item</t>
  </si>
  <si>
    <t>PAB Item</t>
  </si>
  <si>
    <t>EIO Item</t>
  </si>
  <si>
    <t>OSP Item</t>
  </si>
  <si>
    <t>IZB Item</t>
  </si>
  <si>
    <t>RLW Item</t>
  </si>
  <si>
    <t>TLJ Item</t>
  </si>
  <si>
    <t>GVD Item</t>
  </si>
  <si>
    <t>TVT Item</t>
  </si>
  <si>
    <t>GFI Item</t>
  </si>
  <si>
    <t>MDD Item</t>
  </si>
  <si>
    <t>FMB Item</t>
  </si>
  <si>
    <t>PGQ Item</t>
  </si>
  <si>
    <t>SUA Item</t>
  </si>
  <si>
    <t>RRT Item</t>
  </si>
  <si>
    <t>WBE Item</t>
  </si>
  <si>
    <t>DIO Item</t>
  </si>
  <si>
    <t>DML Item</t>
  </si>
  <si>
    <t>TUV Item</t>
  </si>
  <si>
    <t>JZS Item</t>
  </si>
  <si>
    <t>UBW Item</t>
  </si>
  <si>
    <t>LGL Item</t>
  </si>
  <si>
    <t>ONY Item</t>
  </si>
  <si>
    <t>YUT Item</t>
  </si>
  <si>
    <t>WXP Item</t>
  </si>
  <si>
    <t>ZNN Item</t>
  </si>
  <si>
    <t>MBI Item</t>
  </si>
  <si>
    <t>FNY Item</t>
  </si>
  <si>
    <t>OAP Item</t>
  </si>
  <si>
    <t>ODT Item</t>
  </si>
  <si>
    <t>RUK Item</t>
  </si>
  <si>
    <t>MEO Item</t>
  </si>
  <si>
    <t>DRO Item</t>
  </si>
  <si>
    <t>MJU Item</t>
  </si>
  <si>
    <t>VYV Item</t>
  </si>
  <si>
    <t>FZS Item</t>
  </si>
  <si>
    <t>IWV Item</t>
  </si>
  <si>
    <t>BPF Item</t>
  </si>
  <si>
    <t>FPN Item</t>
  </si>
  <si>
    <t>NDS Item</t>
  </si>
  <si>
    <t>EKN Item</t>
  </si>
  <si>
    <t>ARF Item</t>
  </si>
  <si>
    <t>BQD Item</t>
  </si>
  <si>
    <t>OXV Item</t>
  </si>
  <si>
    <t>VGC Item</t>
  </si>
  <si>
    <t>YWZ Item</t>
  </si>
  <si>
    <t>JIM Item</t>
  </si>
  <si>
    <t>HSS Item</t>
  </si>
  <si>
    <t>WAJ Item</t>
  </si>
  <si>
    <t>YDC Item</t>
  </si>
  <si>
    <t>RJA Item</t>
  </si>
  <si>
    <t>MTS Item</t>
  </si>
  <si>
    <t>ZAW Item</t>
  </si>
  <si>
    <t>OEH Item</t>
  </si>
  <si>
    <t>GTC Item</t>
  </si>
  <si>
    <t>YRA Item</t>
  </si>
  <si>
    <t>YHW Item</t>
  </si>
  <si>
    <t>GPA Item</t>
  </si>
  <si>
    <t>MHX Item</t>
  </si>
  <si>
    <t>RMZ Item</t>
  </si>
  <si>
    <t>TRJ Item</t>
  </si>
  <si>
    <t>BZR Item</t>
  </si>
  <si>
    <t>KWB Item</t>
  </si>
  <si>
    <t>KKL Item</t>
  </si>
  <si>
    <t>YRP Item</t>
  </si>
  <si>
    <t>KJJ Item</t>
  </si>
  <si>
    <t>DSQ Item</t>
  </si>
  <si>
    <t>XTG Item</t>
  </si>
  <si>
    <t>OLD Item</t>
  </si>
  <si>
    <t>MVT Item</t>
  </si>
  <si>
    <t>HJR Item</t>
  </si>
  <si>
    <t>STH Item</t>
  </si>
  <si>
    <t>QIT Item</t>
  </si>
  <si>
    <t>RPP Item</t>
  </si>
  <si>
    <t>IAJ Item</t>
  </si>
  <si>
    <t>CYN Item</t>
  </si>
  <si>
    <t>JGL Item</t>
  </si>
  <si>
    <t>SUD Item</t>
  </si>
  <si>
    <t>VJO Item</t>
  </si>
  <si>
    <t>GUA Item</t>
  </si>
  <si>
    <t>ZWZ Item</t>
  </si>
  <si>
    <t>EOE Item</t>
  </si>
  <si>
    <t>UPA Item</t>
  </si>
  <si>
    <t>ONV Item</t>
  </si>
  <si>
    <t>WSQ Item</t>
  </si>
  <si>
    <t>SHL Item</t>
  </si>
  <si>
    <t>JXE Item</t>
  </si>
  <si>
    <t>AAA Item</t>
  </si>
  <si>
    <t>UGS Item</t>
  </si>
  <si>
    <t>QMX Item</t>
  </si>
  <si>
    <t>SQZ Item</t>
  </si>
  <si>
    <t>QCV Item</t>
  </si>
  <si>
    <t>CSZ Item</t>
  </si>
  <si>
    <t>ZEQ Item</t>
  </si>
  <si>
    <t>VWP Item</t>
  </si>
  <si>
    <t>ASO Item</t>
  </si>
  <si>
    <t>YXT Item</t>
  </si>
  <si>
    <t>ESO Item</t>
  </si>
  <si>
    <t>XFN Item</t>
  </si>
  <si>
    <t>YDS Item</t>
  </si>
  <si>
    <t>XCF Item</t>
  </si>
  <si>
    <t>WFJ Item</t>
  </si>
  <si>
    <t>XBY Item</t>
  </si>
  <si>
    <t>WLS Item</t>
  </si>
  <si>
    <t>KHK Item</t>
  </si>
  <si>
    <t>WCX Item</t>
  </si>
  <si>
    <t>NXJ Item</t>
  </si>
  <si>
    <t>VFU Item</t>
  </si>
  <si>
    <t>PVI Item</t>
  </si>
  <si>
    <t>EPL Item</t>
  </si>
  <si>
    <t>NXA Item</t>
  </si>
  <si>
    <t>GIJ Item</t>
  </si>
  <si>
    <t>JXI Item</t>
  </si>
  <si>
    <t>PRV Item</t>
  </si>
  <si>
    <t>TNQ Item</t>
  </si>
  <si>
    <t>VDQ Item</t>
  </si>
  <si>
    <t>GXO Item</t>
  </si>
  <si>
    <t>EPK Item</t>
  </si>
  <si>
    <t>PDI Item</t>
  </si>
  <si>
    <t>CCA Item</t>
  </si>
  <si>
    <t>BZU Item</t>
  </si>
  <si>
    <t>ZXT Item</t>
  </si>
  <si>
    <t>WLI Item</t>
  </si>
  <si>
    <t>EKT Item</t>
  </si>
  <si>
    <t>UXD Item</t>
  </si>
  <si>
    <t>JMN Item</t>
  </si>
  <si>
    <t>UJN Item</t>
  </si>
  <si>
    <t>PTC Item</t>
  </si>
  <si>
    <t>PZY Item</t>
  </si>
  <si>
    <t>ASS Item</t>
  </si>
  <si>
    <t>VPY Item</t>
  </si>
  <si>
    <t>AYM Item</t>
  </si>
  <si>
    <t>SHA Item</t>
  </si>
  <si>
    <t>EWX Item</t>
  </si>
  <si>
    <t>ZGL Item</t>
  </si>
  <si>
    <t>FSJ Item</t>
  </si>
  <si>
    <t>FEP Item</t>
  </si>
  <si>
    <t>MFZ Item</t>
  </si>
  <si>
    <t>QMS Item</t>
  </si>
  <si>
    <t>QCL Item</t>
  </si>
  <si>
    <t>KDX Item</t>
  </si>
  <si>
    <t>HRL Item</t>
  </si>
  <si>
    <t>KVA Item</t>
  </si>
  <si>
    <t>SLL Item</t>
  </si>
  <si>
    <t>IYC Item</t>
  </si>
  <si>
    <t>KBV Item</t>
  </si>
  <si>
    <t>CUK Item</t>
  </si>
  <si>
    <t>XSM Item</t>
  </si>
  <si>
    <t>WBN Item</t>
  </si>
  <si>
    <t>GSJ Item</t>
  </si>
  <si>
    <t>DYV Item</t>
  </si>
  <si>
    <t>BRL Item</t>
  </si>
  <si>
    <t>BRJ Item</t>
  </si>
  <si>
    <t>ZEE Item</t>
  </si>
  <si>
    <t>BYN Item</t>
  </si>
  <si>
    <t>MYJ Item</t>
  </si>
  <si>
    <t>NOC Item</t>
  </si>
  <si>
    <t>DPY Item</t>
  </si>
  <si>
    <t>WOD Item</t>
  </si>
  <si>
    <t>BLJ Item</t>
  </si>
  <si>
    <t>IPH Item</t>
  </si>
  <si>
    <t>OEI Item</t>
  </si>
  <si>
    <t>KMU Item</t>
  </si>
  <si>
    <t>KRH Item</t>
  </si>
  <si>
    <t>AVS Item</t>
  </si>
  <si>
    <t>HXH Item</t>
  </si>
  <si>
    <t>ULU Item</t>
  </si>
  <si>
    <t>JGD Item</t>
  </si>
  <si>
    <t>YCD Item</t>
  </si>
  <si>
    <t>HQY Item</t>
  </si>
  <si>
    <t>MCN Item</t>
  </si>
  <si>
    <t>QPC Item</t>
  </si>
  <si>
    <t>BJL Item</t>
  </si>
  <si>
    <t>TSF Item</t>
  </si>
  <si>
    <t>BMX Item</t>
  </si>
  <si>
    <t>DQR Item</t>
  </si>
  <si>
    <t>TPZ Item</t>
  </si>
  <si>
    <t>SNC Item</t>
  </si>
  <si>
    <t>MNS Item</t>
  </si>
  <si>
    <t>JOG Item</t>
  </si>
  <si>
    <t>RDD Item</t>
  </si>
  <si>
    <t>MGO Item</t>
  </si>
  <si>
    <t>QGQ Item</t>
  </si>
  <si>
    <t>MNF Item</t>
  </si>
  <si>
    <t>BVK Item</t>
  </si>
  <si>
    <t>KFB Item</t>
  </si>
  <si>
    <t>FYG Item</t>
  </si>
  <si>
    <t>TZF Item</t>
  </si>
  <si>
    <t>GAY Item</t>
  </si>
  <si>
    <t>MDG Item</t>
  </si>
  <si>
    <t>OCL Item</t>
  </si>
  <si>
    <t>TAA Item</t>
  </si>
  <si>
    <t>APF Item</t>
  </si>
  <si>
    <t>LFO Item</t>
  </si>
  <si>
    <t>UZF Item</t>
  </si>
  <si>
    <t>PMB Item</t>
  </si>
  <si>
    <t>TIH Item</t>
  </si>
  <si>
    <t>BEU Item</t>
  </si>
  <si>
    <t>DXU Item</t>
  </si>
  <si>
    <t>FJH Item</t>
  </si>
  <si>
    <t>SNA Item</t>
  </si>
  <si>
    <t>JMX Item</t>
  </si>
  <si>
    <t>SLB Item</t>
  </si>
  <si>
    <t>WGT Item</t>
  </si>
  <si>
    <t>SZM Item</t>
  </si>
  <si>
    <t>XSQ Item</t>
  </si>
  <si>
    <t>QNH Item</t>
  </si>
  <si>
    <t>PEN Item</t>
  </si>
  <si>
    <t>MMT Item</t>
  </si>
  <si>
    <t>XOS Item</t>
  </si>
  <si>
    <t>FMP Item</t>
  </si>
  <si>
    <t>JMV Item</t>
  </si>
  <si>
    <t>CZU Item</t>
  </si>
  <si>
    <t>CMW Item</t>
  </si>
  <si>
    <t>LOI Item</t>
  </si>
  <si>
    <t>YHJ Item</t>
  </si>
  <si>
    <t>OPC Item</t>
  </si>
  <si>
    <t>EEO Item</t>
  </si>
  <si>
    <t>QXM Item</t>
  </si>
  <si>
    <t>TKB Item</t>
  </si>
  <si>
    <t>OBP Item</t>
  </si>
  <si>
    <t>ZRF Item</t>
  </si>
  <si>
    <t>XTA Item</t>
  </si>
  <si>
    <t>KPO Item</t>
  </si>
  <si>
    <t>WUG Item</t>
  </si>
  <si>
    <t>PUD Item</t>
  </si>
  <si>
    <t>YJU Item</t>
  </si>
  <si>
    <t>HUA Item</t>
  </si>
  <si>
    <t>FOB Item</t>
  </si>
  <si>
    <t>WTJ Item</t>
  </si>
  <si>
    <t>JHA Item</t>
  </si>
  <si>
    <t>YNQ Item</t>
  </si>
  <si>
    <t>STR Item</t>
  </si>
  <si>
    <t>FCV Item</t>
  </si>
  <si>
    <t>MKO Item</t>
  </si>
  <si>
    <t>IME Item</t>
  </si>
  <si>
    <t>FHT Item</t>
  </si>
  <si>
    <t>BQS Item</t>
  </si>
  <si>
    <t>NEN Item</t>
  </si>
  <si>
    <t>TVY Item</t>
  </si>
  <si>
    <t>MDM Item</t>
  </si>
  <si>
    <t>SFA Item</t>
  </si>
  <si>
    <t>AOV Item</t>
  </si>
  <si>
    <t>JHF Item</t>
  </si>
  <si>
    <t>KAP Item</t>
  </si>
  <si>
    <t>URT Item</t>
  </si>
  <si>
    <t>RUH Item</t>
  </si>
  <si>
    <t>MHY Item</t>
  </si>
  <si>
    <t>NFI Item</t>
  </si>
  <si>
    <t>KKR Item</t>
  </si>
  <si>
    <t>QKT Item</t>
  </si>
  <si>
    <t>XAC Item</t>
  </si>
  <si>
    <t>PTK Item</t>
  </si>
  <si>
    <t>LEL Item</t>
  </si>
  <si>
    <t>LJR Item</t>
  </si>
  <si>
    <t>SWY Item</t>
  </si>
  <si>
    <t>MWX Item</t>
  </si>
  <si>
    <t>LMF Item</t>
  </si>
  <si>
    <t>RUR Item</t>
  </si>
  <si>
    <t>SQA Item</t>
  </si>
  <si>
    <t>IWG Item</t>
  </si>
  <si>
    <t>GHH Item</t>
  </si>
  <si>
    <t>SGN Item</t>
  </si>
  <si>
    <t>HUJ Item</t>
  </si>
  <si>
    <t>UHW Item</t>
  </si>
  <si>
    <t>GCY Item</t>
  </si>
  <si>
    <t>DXG Item</t>
  </si>
  <si>
    <t>LRX Item</t>
  </si>
  <si>
    <t>UXT Item</t>
  </si>
  <si>
    <t>TGL Item</t>
  </si>
  <si>
    <t>ULW Item</t>
  </si>
  <si>
    <t>LOP Item</t>
  </si>
  <si>
    <t>XDA Item</t>
  </si>
  <si>
    <t>WSD Item</t>
  </si>
  <si>
    <t>DDC Item</t>
  </si>
  <si>
    <t>JXF Item</t>
  </si>
  <si>
    <t>EXO Item</t>
  </si>
  <si>
    <t>LES Item</t>
  </si>
  <si>
    <t>VJU Item</t>
  </si>
  <si>
    <t>MBS Item</t>
  </si>
  <si>
    <t>IUD Item</t>
  </si>
  <si>
    <t>TYZ Item</t>
  </si>
  <si>
    <t>LYS Item</t>
  </si>
  <si>
    <t>BGP Item</t>
  </si>
  <si>
    <t>WZE Item</t>
  </si>
  <si>
    <t>SYC Item</t>
  </si>
  <si>
    <t>BST Item</t>
  </si>
  <si>
    <t>YBX Item</t>
  </si>
  <si>
    <t>GXR Item</t>
  </si>
  <si>
    <t>BAW Item</t>
  </si>
  <si>
    <t>DPA Item</t>
  </si>
  <si>
    <t>LVU Item</t>
  </si>
  <si>
    <t>TEY Item</t>
  </si>
  <si>
    <t>GLG Item</t>
  </si>
  <si>
    <t>DLN Item</t>
  </si>
  <si>
    <t>QTS Item</t>
  </si>
  <si>
    <t>NFU Item</t>
  </si>
  <si>
    <t>KFE Item</t>
  </si>
  <si>
    <t>OJW Item</t>
  </si>
  <si>
    <t>QKP Item</t>
  </si>
  <si>
    <t>BVN Item</t>
  </si>
  <si>
    <t>TPL Item</t>
  </si>
  <si>
    <t>AIL Item</t>
  </si>
  <si>
    <t>YUO Item</t>
  </si>
  <si>
    <t>RBI Item</t>
  </si>
  <si>
    <t>YKX Item</t>
  </si>
  <si>
    <t>KAE Item</t>
  </si>
  <si>
    <t>BCW Item</t>
  </si>
  <si>
    <t>PED Item</t>
  </si>
  <si>
    <t>BGN Item</t>
  </si>
  <si>
    <t>IUW Item</t>
  </si>
  <si>
    <t>QVI Item</t>
  </si>
  <si>
    <t>HFG Item</t>
  </si>
  <si>
    <t>WPJ Item</t>
  </si>
  <si>
    <t>PSG Item</t>
  </si>
  <si>
    <t>ZCN Item</t>
  </si>
  <si>
    <t>RLP Item</t>
  </si>
  <si>
    <t>ACF Item</t>
  </si>
  <si>
    <t>EDS Item</t>
  </si>
  <si>
    <t>CZM Item</t>
  </si>
  <si>
    <t>MVI Item</t>
  </si>
  <si>
    <t>HPV Item</t>
  </si>
  <si>
    <t>DNN Item</t>
  </si>
  <si>
    <t>DYM Item</t>
  </si>
  <si>
    <t>MFN Item</t>
  </si>
  <si>
    <t>OVI Item</t>
  </si>
  <si>
    <t>CXY Item</t>
  </si>
  <si>
    <t>OZX Item</t>
  </si>
  <si>
    <t>NNA Item</t>
  </si>
  <si>
    <t>BYD Item</t>
  </si>
  <si>
    <t>IZG Item</t>
  </si>
  <si>
    <t>HVV Item</t>
  </si>
  <si>
    <t>KFK Item</t>
  </si>
  <si>
    <t>EQL Item</t>
  </si>
  <si>
    <t>BCY Item</t>
  </si>
  <si>
    <t>ELN Item</t>
  </si>
  <si>
    <t>ZWS Item</t>
  </si>
  <si>
    <t>KAB Item</t>
  </si>
  <si>
    <t>NEE Item</t>
  </si>
  <si>
    <t>EYP Item</t>
  </si>
  <si>
    <t>KFL Item</t>
  </si>
  <si>
    <t>CIH Item</t>
  </si>
  <si>
    <t>FLK Item</t>
  </si>
  <si>
    <t>UVO Item</t>
  </si>
  <si>
    <t>MWR Item</t>
  </si>
  <si>
    <t>GWO Item</t>
  </si>
  <si>
    <t>JQL Item</t>
  </si>
  <si>
    <t>NNJ Item</t>
  </si>
  <si>
    <t>GAK Item</t>
  </si>
  <si>
    <t>ZQG Item</t>
  </si>
  <si>
    <t>VRL Item</t>
  </si>
  <si>
    <t>JUO Item</t>
  </si>
  <si>
    <t>NGX Item</t>
  </si>
  <si>
    <t>WYL Item</t>
  </si>
  <si>
    <t>XPG Item</t>
  </si>
  <si>
    <t>GIV Item</t>
  </si>
  <si>
    <t>BZE Item</t>
  </si>
  <si>
    <t>VBG Item</t>
  </si>
  <si>
    <t>NUB Item</t>
  </si>
  <si>
    <t>GDW Item</t>
  </si>
  <si>
    <t>KLF Item</t>
  </si>
  <si>
    <t>VMA Item</t>
  </si>
  <si>
    <t>PNA Item</t>
  </si>
  <si>
    <t>FFW Item</t>
  </si>
  <si>
    <t>NZX Item</t>
  </si>
  <si>
    <t>CXC Item</t>
  </si>
  <si>
    <t>SNK Item</t>
  </si>
  <si>
    <t>PQV Item</t>
  </si>
  <si>
    <t>XSR Item</t>
  </si>
  <si>
    <t>ADY Item</t>
  </si>
  <si>
    <t>DIP Item</t>
  </si>
  <si>
    <t>ZCZ Item</t>
  </si>
  <si>
    <t>BWK Item</t>
  </si>
  <si>
    <t>MKG Item</t>
  </si>
  <si>
    <t>YWG Item</t>
  </si>
  <si>
    <t>GUS Item</t>
  </si>
  <si>
    <t>LWH Item</t>
  </si>
  <si>
    <t>GNZ Item</t>
  </si>
  <si>
    <t>LVD Item</t>
  </si>
  <si>
    <t>URE Item</t>
  </si>
  <si>
    <t>TQY Item</t>
  </si>
  <si>
    <t>HAC Item</t>
  </si>
  <si>
    <t>PGK Item</t>
  </si>
  <si>
    <t>RBN Item</t>
  </si>
  <si>
    <t>PTM Item</t>
  </si>
  <si>
    <t>RCI Item</t>
  </si>
  <si>
    <t>ETU Item</t>
  </si>
  <si>
    <t>RSL Item</t>
  </si>
  <si>
    <t>EHO Item</t>
  </si>
  <si>
    <t>OTA Item</t>
  </si>
  <si>
    <t>ZDE Item</t>
  </si>
  <si>
    <t>YCJ Item</t>
  </si>
  <si>
    <t>WKS Item</t>
  </si>
  <si>
    <t>YLN Item</t>
  </si>
  <si>
    <t>TTK Item</t>
  </si>
  <si>
    <t>EIS Item</t>
  </si>
  <si>
    <t>KNH Item</t>
  </si>
  <si>
    <t>LEO Item</t>
  </si>
  <si>
    <t>BOQ Item</t>
  </si>
  <si>
    <t>FTW Item</t>
  </si>
  <si>
    <t>NFY Item</t>
  </si>
  <si>
    <t>QJR Item</t>
  </si>
  <si>
    <t>LPY Item</t>
  </si>
  <si>
    <t>SNZ Item</t>
  </si>
  <si>
    <t>NYZ Item</t>
  </si>
  <si>
    <t>HEN Item</t>
  </si>
  <si>
    <t>ICS Item</t>
  </si>
  <si>
    <t>GPB Item</t>
  </si>
  <si>
    <t>DTW Item</t>
  </si>
  <si>
    <t>KCF Item</t>
  </si>
  <si>
    <t>SWI Item</t>
  </si>
  <si>
    <t>SKL Item</t>
  </si>
  <si>
    <t>IYT Item</t>
  </si>
  <si>
    <t>JMU Item</t>
  </si>
  <si>
    <t>EMO Item</t>
  </si>
  <si>
    <t>ZND Item</t>
  </si>
  <si>
    <t>XZK Item</t>
  </si>
  <si>
    <t>TKV Item</t>
  </si>
  <si>
    <t>UVW Item</t>
  </si>
  <si>
    <t>NYC Item</t>
  </si>
  <si>
    <t>CCV Item</t>
  </si>
  <si>
    <t>FWO Item</t>
  </si>
  <si>
    <t>QHG Item</t>
  </si>
  <si>
    <t>TGY Item</t>
  </si>
  <si>
    <t>SRQ Item</t>
  </si>
  <si>
    <t>NXU Item</t>
  </si>
  <si>
    <t>UTS Item</t>
  </si>
  <si>
    <t>CPG Item</t>
  </si>
  <si>
    <t>VQR Item</t>
  </si>
  <si>
    <t>XCX Item</t>
  </si>
  <si>
    <t>EIE Item</t>
  </si>
  <si>
    <t>RLL Item</t>
  </si>
  <si>
    <t>WGF Item</t>
  </si>
  <si>
    <t>XOU Item</t>
  </si>
  <si>
    <t>JRS Item</t>
  </si>
  <si>
    <t>KUX Item</t>
  </si>
  <si>
    <t>YJV Item</t>
  </si>
  <si>
    <t>HSF Item</t>
  </si>
  <si>
    <t>GCU Item</t>
  </si>
  <si>
    <t>XSW Item</t>
  </si>
  <si>
    <t>UOA Item</t>
  </si>
  <si>
    <t>MJE Item</t>
  </si>
  <si>
    <t>ZLU Item</t>
  </si>
  <si>
    <t>YCR Item</t>
  </si>
  <si>
    <t>ZHN Item</t>
  </si>
  <si>
    <t>WWD Item</t>
  </si>
  <si>
    <t>PGS Item</t>
  </si>
  <si>
    <t>QDR Item</t>
  </si>
  <si>
    <t>IHQ Item</t>
  </si>
  <si>
    <t>UNH Item</t>
  </si>
  <si>
    <t>RWH Item</t>
  </si>
  <si>
    <t>AOC Item</t>
  </si>
  <si>
    <t>SVF Item</t>
  </si>
  <si>
    <t>GYO Item</t>
  </si>
  <si>
    <t>CGK Item</t>
  </si>
  <si>
    <t>KHA Item</t>
  </si>
  <si>
    <t>MOB Item</t>
  </si>
  <si>
    <t>BDC Item</t>
  </si>
  <si>
    <t>MQW Item</t>
  </si>
  <si>
    <t>WPD Item</t>
  </si>
  <si>
    <t>XYL Item</t>
  </si>
  <si>
    <t>NAS Item</t>
  </si>
  <si>
    <t>TRT Item</t>
  </si>
  <si>
    <t>YQS Item</t>
  </si>
  <si>
    <t>UAL Item</t>
  </si>
  <si>
    <t>XXB Item</t>
  </si>
  <si>
    <t>AIQ Item</t>
  </si>
  <si>
    <t>LVF Item</t>
  </si>
  <si>
    <t>FPO Item</t>
  </si>
  <si>
    <t>QRB Item</t>
  </si>
  <si>
    <t>SSU Item</t>
  </si>
  <si>
    <t>OLK Item</t>
  </si>
  <si>
    <t>RRO Item</t>
  </si>
  <si>
    <t>TXF Item</t>
  </si>
  <si>
    <t>NRT Item</t>
  </si>
  <si>
    <t>ICM Item</t>
  </si>
  <si>
    <t>DKL Item</t>
  </si>
  <si>
    <t>XCQ Item</t>
  </si>
  <si>
    <t>XDV Item</t>
  </si>
  <si>
    <t>YYC Item</t>
  </si>
  <si>
    <t>CUM Item</t>
  </si>
  <si>
    <t>VSH Item</t>
  </si>
  <si>
    <t>TQR Item</t>
  </si>
  <si>
    <t>PWQ Item</t>
  </si>
  <si>
    <t>DYD Item</t>
  </si>
  <si>
    <t>GVC Item</t>
  </si>
  <si>
    <t>UJD Item</t>
  </si>
  <si>
    <t>EKI Item</t>
  </si>
  <si>
    <t>FPA Item</t>
  </si>
  <si>
    <t>SHE Item</t>
  </si>
  <si>
    <t>KCB Item</t>
  </si>
  <si>
    <t>PHE Item</t>
  </si>
  <si>
    <t>MTA Item</t>
  </si>
  <si>
    <t>TQM Item</t>
  </si>
  <si>
    <t>HKX Item</t>
  </si>
  <si>
    <t>CPL Item</t>
  </si>
  <si>
    <t>WBX Item</t>
  </si>
  <si>
    <t>TAG Item</t>
  </si>
  <si>
    <t>QQJ Item</t>
  </si>
  <si>
    <t>PFD Item</t>
  </si>
  <si>
    <t>KNN Item</t>
  </si>
  <si>
    <t>SXM Item</t>
  </si>
  <si>
    <t>HOW Item</t>
  </si>
  <si>
    <t>JKP Item</t>
  </si>
  <si>
    <t>VOT Item</t>
  </si>
  <si>
    <t>NWT Item</t>
  </si>
  <si>
    <t>LHW Item</t>
  </si>
  <si>
    <t>EUZ Item</t>
  </si>
  <si>
    <t>NCM Item</t>
  </si>
  <si>
    <t>XZF Item</t>
  </si>
  <si>
    <t>FEK Item</t>
  </si>
  <si>
    <t>ZIT Item</t>
  </si>
  <si>
    <t>AKY Item</t>
  </si>
  <si>
    <t>IWZ Item</t>
  </si>
  <si>
    <t>HFB Item</t>
  </si>
  <si>
    <t>RGD Item</t>
  </si>
  <si>
    <t>FNL Item</t>
  </si>
  <si>
    <t>EMI Item</t>
  </si>
  <si>
    <t>ULZ Item</t>
  </si>
  <si>
    <t>EKY Item</t>
  </si>
  <si>
    <t>PYA Item</t>
  </si>
  <si>
    <t>ILH Item</t>
  </si>
  <si>
    <t>GGY Item</t>
  </si>
  <si>
    <t>MBQ Item</t>
  </si>
  <si>
    <t>UHF Item</t>
  </si>
  <si>
    <t>OUO Item</t>
  </si>
  <si>
    <t>KNX Item</t>
  </si>
  <si>
    <t>UOP Item</t>
  </si>
  <si>
    <t>OSL Item</t>
  </si>
  <si>
    <t>UCB Item</t>
  </si>
  <si>
    <t>ZNE Item</t>
  </si>
  <si>
    <t>FCI Item</t>
  </si>
  <si>
    <t>ZPU Item</t>
  </si>
  <si>
    <t>ROR Item</t>
  </si>
  <si>
    <t>TTM Item</t>
  </si>
  <si>
    <t>WXM Item</t>
  </si>
  <si>
    <t>VQK Item</t>
  </si>
  <si>
    <t>INO Item</t>
  </si>
  <si>
    <t>XZA Item</t>
  </si>
  <si>
    <t>NVK Item</t>
  </si>
  <si>
    <t>HWP Item</t>
  </si>
  <si>
    <t>IKP Item</t>
  </si>
  <si>
    <t>DWD Item</t>
  </si>
  <si>
    <t>FTH Item</t>
  </si>
  <si>
    <t>XIM Item</t>
  </si>
  <si>
    <t>RFP Item</t>
  </si>
  <si>
    <t>QZD Item</t>
  </si>
  <si>
    <t>KQA Item</t>
  </si>
  <si>
    <t>KQH Item</t>
  </si>
  <si>
    <t>RZX Item</t>
  </si>
  <si>
    <t>PXY Item</t>
  </si>
  <si>
    <t>NIV Item</t>
  </si>
  <si>
    <t>KQJ Item</t>
  </si>
  <si>
    <t>KAI Item</t>
  </si>
  <si>
    <t>ULX Item</t>
  </si>
  <si>
    <t>PVM Item</t>
  </si>
  <si>
    <t>UPK Item</t>
  </si>
  <si>
    <t>ZGA Item</t>
  </si>
  <si>
    <t>FIO Item</t>
  </si>
  <si>
    <t>VXX Item</t>
  </si>
  <si>
    <t>TFM Item</t>
  </si>
  <si>
    <t>KEH Item</t>
  </si>
  <si>
    <t>RAR Item</t>
  </si>
  <si>
    <t>JQH Item</t>
  </si>
  <si>
    <t>VMC Item</t>
  </si>
  <si>
    <t>WXR Item</t>
  </si>
  <si>
    <t>FRX Item</t>
  </si>
  <si>
    <t>DNA Item</t>
  </si>
  <si>
    <t>IOP Item</t>
  </si>
  <si>
    <t>ETO Item</t>
  </si>
  <si>
    <t>UHX Item</t>
  </si>
  <si>
    <t>PKE Item</t>
  </si>
  <si>
    <t>YFR Item</t>
  </si>
  <si>
    <t>MON Item</t>
  </si>
  <si>
    <t>XLF Item</t>
  </si>
  <si>
    <t>NLA Item</t>
  </si>
  <si>
    <t>RRI Item</t>
  </si>
  <si>
    <t>WLY Item</t>
  </si>
  <si>
    <t>FDU Item</t>
  </si>
  <si>
    <t>WKL Item</t>
  </si>
  <si>
    <t>YSZ Item</t>
  </si>
  <si>
    <t>XHJ Item</t>
  </si>
  <si>
    <t>CZE Item</t>
  </si>
  <si>
    <t>ZPB Item</t>
  </si>
  <si>
    <t>CLN Item</t>
  </si>
  <si>
    <t>ZLG Item</t>
  </si>
  <si>
    <t>PDH Item</t>
  </si>
  <si>
    <t>GRM Item</t>
  </si>
  <si>
    <t>QPN Item</t>
  </si>
  <si>
    <t>ZAP Item</t>
  </si>
  <si>
    <t>NYN Item</t>
  </si>
  <si>
    <t>KAJ Item</t>
  </si>
  <si>
    <t>YIT Item</t>
  </si>
  <si>
    <t>AOG Item</t>
  </si>
  <si>
    <t>IMG Item</t>
  </si>
  <si>
    <t>UON Item</t>
  </si>
  <si>
    <t>ZMT Item</t>
  </si>
  <si>
    <t>WIL Item</t>
  </si>
  <si>
    <t>XWY Item</t>
  </si>
  <si>
    <t>MVK Item</t>
  </si>
  <si>
    <t>XMY Item</t>
  </si>
  <si>
    <t>MJG Item</t>
  </si>
  <si>
    <t>UBV Item</t>
  </si>
  <si>
    <t>HJX Item</t>
  </si>
  <si>
    <t>UJM Item</t>
  </si>
  <si>
    <t>TLP Item</t>
  </si>
  <si>
    <t>DRL Item</t>
  </si>
  <si>
    <t>APP Item</t>
  </si>
  <si>
    <t>WIZ Item</t>
  </si>
  <si>
    <t>TBL Item</t>
  </si>
  <si>
    <t>XAS Item</t>
  </si>
  <si>
    <t>JQC Item</t>
  </si>
  <si>
    <t>TYR Item</t>
  </si>
  <si>
    <t>NZZ Item</t>
  </si>
  <si>
    <t>CIA Item</t>
  </si>
  <si>
    <t>XQV Item</t>
  </si>
  <si>
    <t>DJT Item</t>
  </si>
  <si>
    <t>XNB Item</t>
  </si>
  <si>
    <t>AIM Item</t>
  </si>
  <si>
    <t>VBB Item</t>
  </si>
  <si>
    <t>NPT Item</t>
  </si>
  <si>
    <t>RGS Item</t>
  </si>
  <si>
    <t>MDC Item</t>
  </si>
  <si>
    <t>ULS Item</t>
  </si>
  <si>
    <t>VFX Item</t>
  </si>
  <si>
    <t>LPZ Item</t>
  </si>
  <si>
    <t>EVO Item</t>
  </si>
  <si>
    <t>BHN Item</t>
  </si>
  <si>
    <t>SVY Item</t>
  </si>
  <si>
    <t>ILS Item</t>
  </si>
  <si>
    <t>NXT Item</t>
  </si>
  <si>
    <t>KNW Item</t>
  </si>
  <si>
    <t>XYR Item</t>
  </si>
  <si>
    <t>NBK Item</t>
  </si>
  <si>
    <t>YUZ Item</t>
  </si>
  <si>
    <t>BFX Item</t>
  </si>
  <si>
    <t>XCZ Item</t>
  </si>
  <si>
    <t>AIZ Item</t>
  </si>
  <si>
    <t>XXH Item</t>
  </si>
  <si>
    <t>HHN Item</t>
  </si>
  <si>
    <t>HGF Item</t>
  </si>
  <si>
    <t>SGF Item</t>
  </si>
  <si>
    <t>UNF Item</t>
  </si>
  <si>
    <t>DCC Item</t>
  </si>
  <si>
    <t>GMO Item</t>
  </si>
  <si>
    <t>JTV Item</t>
  </si>
  <si>
    <t>BYJ Item</t>
  </si>
  <si>
    <t>GWY Item</t>
  </si>
  <si>
    <t>VPL Item</t>
  </si>
  <si>
    <t>TAC Item</t>
  </si>
  <si>
    <t>UGN Item</t>
  </si>
  <si>
    <t>AVV Item</t>
  </si>
  <si>
    <t>TIB Item</t>
  </si>
  <si>
    <t>NWF Item</t>
  </si>
  <si>
    <t>NMO Item</t>
  </si>
  <si>
    <t>GYH Item</t>
  </si>
  <si>
    <t>GWW Item</t>
  </si>
  <si>
    <t>WMB Item</t>
  </si>
  <si>
    <t>THP Item</t>
  </si>
  <si>
    <t>DSF Item</t>
  </si>
  <si>
    <t>FBX Item</t>
  </si>
  <si>
    <t>YEW Item</t>
  </si>
  <si>
    <t>KQN Item</t>
  </si>
  <si>
    <t>FXK Item</t>
  </si>
  <si>
    <t>LIP Item</t>
  </si>
  <si>
    <t>ZUL Item</t>
  </si>
  <si>
    <t>MKP Item</t>
  </si>
  <si>
    <t>QOJ Item</t>
  </si>
  <si>
    <t>TUL Item</t>
  </si>
  <si>
    <t>TMF Item</t>
  </si>
  <si>
    <t>GHF Item</t>
  </si>
  <si>
    <t>MUR Item</t>
  </si>
  <si>
    <t>EWM Item</t>
  </si>
  <si>
    <t>LXR Item</t>
  </si>
  <si>
    <t>ATD Item</t>
  </si>
  <si>
    <t>ZMF Item</t>
  </si>
  <si>
    <t>UYM Item</t>
  </si>
  <si>
    <t>VVT Item</t>
  </si>
  <si>
    <t>QYU Item</t>
  </si>
  <si>
    <t>HUO Item</t>
  </si>
  <si>
    <t>STG Item</t>
  </si>
  <si>
    <t>BVP Item</t>
  </si>
  <si>
    <t>DUJ Item</t>
  </si>
  <si>
    <t>XAX Item</t>
  </si>
  <si>
    <t>RKL Item</t>
  </si>
  <si>
    <t>XUE Item</t>
  </si>
  <si>
    <t>EWS Item</t>
  </si>
  <si>
    <t>LLG Item</t>
  </si>
  <si>
    <t>GIE Item</t>
  </si>
  <si>
    <t>JLN Item</t>
  </si>
  <si>
    <t>XTI Item</t>
  </si>
  <si>
    <t>XOB Item</t>
  </si>
  <si>
    <t>JCS Item</t>
  </si>
  <si>
    <t>HDE Item</t>
  </si>
  <si>
    <t>PZG Item</t>
  </si>
  <si>
    <t>VFB Item</t>
  </si>
  <si>
    <t>EEH Item</t>
  </si>
  <si>
    <t>RHM Item</t>
  </si>
  <si>
    <t>OEX Item</t>
  </si>
  <si>
    <t>LXP Item</t>
  </si>
  <si>
    <t>HMK Item</t>
  </si>
  <si>
    <t>HEB Item</t>
  </si>
  <si>
    <t>SHW Item</t>
  </si>
  <si>
    <t>MQK Item</t>
  </si>
  <si>
    <t>VCN Item</t>
  </si>
  <si>
    <t>ALH Item</t>
  </si>
  <si>
    <t>AEB Item</t>
  </si>
  <si>
    <t>CGS Item</t>
  </si>
  <si>
    <t>FSZ Item</t>
  </si>
  <si>
    <t>SYU Item</t>
  </si>
  <si>
    <t>GOB Item</t>
  </si>
  <si>
    <t>WOP Item</t>
  </si>
  <si>
    <t>CNN Item</t>
  </si>
  <si>
    <t>LPL Item</t>
  </si>
  <si>
    <t>PXE Item</t>
  </si>
  <si>
    <t>SGX Item</t>
  </si>
  <si>
    <t>HYO Item</t>
  </si>
  <si>
    <t>FXL Item</t>
  </si>
  <si>
    <t>QTZ Item</t>
  </si>
  <si>
    <t>OIW Item</t>
  </si>
  <si>
    <t>VIM Item</t>
  </si>
  <si>
    <t>UXS Item</t>
  </si>
  <si>
    <t>GUM Item</t>
  </si>
  <si>
    <t>HUM Item</t>
  </si>
  <si>
    <t>WEW Item</t>
  </si>
  <si>
    <t>PBC Item</t>
  </si>
  <si>
    <t>III Item</t>
  </si>
  <si>
    <t>JZR Item</t>
  </si>
  <si>
    <t>VTL Item</t>
  </si>
  <si>
    <t>YUS Item</t>
  </si>
  <si>
    <t>DYU Item</t>
  </si>
  <si>
    <t>BUZ Item</t>
  </si>
  <si>
    <t>HGT Item</t>
  </si>
  <si>
    <t>WJP Item</t>
  </si>
  <si>
    <t>PUA Item</t>
  </si>
  <si>
    <t>IFT Item</t>
  </si>
  <si>
    <t>PCZ Item</t>
  </si>
  <si>
    <t>LHG Item</t>
  </si>
  <si>
    <t>LMK Item</t>
  </si>
  <si>
    <t>KVV Item</t>
  </si>
  <si>
    <t>MRD Item</t>
  </si>
  <si>
    <t>YTX Item</t>
  </si>
  <si>
    <t>RFT Item</t>
  </si>
  <si>
    <t>CLP Item</t>
  </si>
  <si>
    <t>EEE Item</t>
  </si>
  <si>
    <t>MCX Item</t>
  </si>
  <si>
    <t>GPH Item</t>
  </si>
  <si>
    <t>RWZ Item</t>
  </si>
  <si>
    <t>YNW Item</t>
  </si>
  <si>
    <t>UGE Item</t>
  </si>
  <si>
    <t>FXJ Item</t>
  </si>
  <si>
    <t>KOC Item</t>
  </si>
  <si>
    <t>EUH Item</t>
  </si>
  <si>
    <t>XZI Item</t>
  </si>
  <si>
    <t>IQG Item</t>
  </si>
  <si>
    <t>QOF Item</t>
  </si>
  <si>
    <t>POX Item</t>
  </si>
  <si>
    <t>BII Item</t>
  </si>
  <si>
    <t>VOJ Item</t>
  </si>
  <si>
    <t>XZZ Item</t>
  </si>
  <si>
    <t>MKI Item</t>
  </si>
  <si>
    <t>OLP Item</t>
  </si>
  <si>
    <t>DXS Item</t>
  </si>
  <si>
    <t>PTJ Item</t>
  </si>
  <si>
    <t>QUZ Item</t>
  </si>
  <si>
    <t>UWC Item</t>
  </si>
  <si>
    <t>QPM Item</t>
  </si>
  <si>
    <t>BYU Item</t>
  </si>
  <si>
    <t>YQZ Item</t>
  </si>
  <si>
    <t>WNV Item</t>
  </si>
  <si>
    <t>RNE Item</t>
  </si>
  <si>
    <t>AQJ Item</t>
  </si>
  <si>
    <t>UZP Item</t>
  </si>
  <si>
    <t>RBW Item</t>
  </si>
  <si>
    <t>GTP Item</t>
  </si>
  <si>
    <t>TLW Item</t>
  </si>
  <si>
    <t>JFK Item</t>
  </si>
  <si>
    <t>BDX Item</t>
  </si>
  <si>
    <t>SCW Item</t>
  </si>
  <si>
    <t>IKX Item</t>
  </si>
  <si>
    <t>KOB Item</t>
  </si>
  <si>
    <t>GPQ Item</t>
  </si>
  <si>
    <t>ITY Item</t>
  </si>
  <si>
    <t>DMU Item</t>
  </si>
  <si>
    <t>EZU Item</t>
  </si>
  <si>
    <t>CJN Item</t>
  </si>
  <si>
    <t>VZK Item</t>
  </si>
  <si>
    <t>AEX Item</t>
  </si>
  <si>
    <t>BAN Item</t>
  </si>
  <si>
    <t>HKD Item</t>
  </si>
  <si>
    <t>UER Item</t>
  </si>
  <si>
    <t>MEL Item</t>
  </si>
  <si>
    <t>UKJ Item</t>
  </si>
  <si>
    <t>EAP Item</t>
  </si>
  <si>
    <t>MBM Item</t>
  </si>
  <si>
    <t>QNF Item</t>
  </si>
  <si>
    <t>YVJ Item</t>
  </si>
  <si>
    <t>PAE Item</t>
  </si>
  <si>
    <t>DEG Item</t>
  </si>
  <si>
    <t>XCL Item</t>
  </si>
  <si>
    <t>IEX Item</t>
  </si>
  <si>
    <t>SYW Item</t>
  </si>
  <si>
    <t>JUB Item</t>
  </si>
  <si>
    <t>QJC Item</t>
  </si>
  <si>
    <t>DFR Item</t>
  </si>
  <si>
    <t>NUV Item</t>
  </si>
  <si>
    <t>YCO Item</t>
  </si>
  <si>
    <t>OFG Item</t>
  </si>
  <si>
    <t>LHL Item</t>
  </si>
  <si>
    <t>DFQ Item</t>
  </si>
  <si>
    <t>UIT Item</t>
  </si>
  <si>
    <t>GLY Item</t>
  </si>
  <si>
    <t>IBV Item</t>
  </si>
  <si>
    <t>UTT Item</t>
  </si>
  <si>
    <t>GZB Item</t>
  </si>
  <si>
    <t>IZV Item</t>
  </si>
  <si>
    <t>ADC Item</t>
  </si>
  <si>
    <t>KNK Item</t>
  </si>
  <si>
    <t>LBH Item</t>
  </si>
  <si>
    <t>QRR Item</t>
  </si>
  <si>
    <t>DSU Item</t>
  </si>
  <si>
    <t>KRU Item</t>
  </si>
  <si>
    <t>UTR Item</t>
  </si>
  <si>
    <t>ZMY Item</t>
  </si>
  <si>
    <t>OQC Item</t>
  </si>
  <si>
    <t>JRV Item</t>
  </si>
  <si>
    <t>GVW Item</t>
  </si>
  <si>
    <t>CYD Item</t>
  </si>
  <si>
    <t>RUQ Item</t>
  </si>
  <si>
    <t>QHO Item</t>
  </si>
  <si>
    <t>ELV Item</t>
  </si>
  <si>
    <t>BQA Item</t>
  </si>
  <si>
    <t>HTK Item</t>
  </si>
  <si>
    <t>YPR Item</t>
  </si>
  <si>
    <t>YUV Item</t>
  </si>
  <si>
    <t>BTR Item</t>
  </si>
  <si>
    <t>CVY Item</t>
  </si>
  <si>
    <t>WSG Item</t>
  </si>
  <si>
    <t>HQQ Item</t>
  </si>
  <si>
    <t>IDZ Item</t>
  </si>
  <si>
    <t>WRA Item</t>
  </si>
  <si>
    <t>BRS Item</t>
  </si>
  <si>
    <t>RWD Item</t>
  </si>
  <si>
    <t>AHZ Item</t>
  </si>
  <si>
    <t>RLQ Item</t>
  </si>
  <si>
    <t>JIA Item</t>
  </si>
  <si>
    <t>OTZ Item</t>
  </si>
  <si>
    <t>NDJ Item</t>
  </si>
  <si>
    <t>IAF Item</t>
  </si>
  <si>
    <t>XDL Item</t>
  </si>
  <si>
    <t>GQT Item</t>
  </si>
  <si>
    <t>VIT Item</t>
  </si>
  <si>
    <t>XBF Item</t>
  </si>
  <si>
    <t>OBM Item</t>
  </si>
  <si>
    <t>RJB Item</t>
  </si>
  <si>
    <t>KZK Item</t>
  </si>
  <si>
    <t>UJE Item</t>
  </si>
  <si>
    <t>JUR Item</t>
  </si>
  <si>
    <t>ATV Item</t>
  </si>
  <si>
    <t>UNV Item</t>
  </si>
  <si>
    <t>QXS Item</t>
  </si>
  <si>
    <t>JNF Item</t>
  </si>
  <si>
    <t>JGS Item</t>
  </si>
  <si>
    <t>QZK Item</t>
  </si>
  <si>
    <t>FPF Item</t>
  </si>
  <si>
    <t>ZST Item</t>
  </si>
  <si>
    <t>XID Item</t>
  </si>
  <si>
    <t>PZX Item</t>
  </si>
  <si>
    <t>SKY Item</t>
  </si>
  <si>
    <t>MTL Item</t>
  </si>
  <si>
    <t>MDH Item</t>
  </si>
  <si>
    <t>NCT Item</t>
  </si>
  <si>
    <t>NNC Item</t>
  </si>
  <si>
    <t>WNZ Item</t>
  </si>
  <si>
    <t>PTX Item</t>
  </si>
  <si>
    <t>WZJ Item</t>
  </si>
  <si>
    <t>OWD Item</t>
  </si>
  <si>
    <t>ZJD Item</t>
  </si>
  <si>
    <t>VJY Item</t>
  </si>
  <si>
    <t>ULJ Item</t>
  </si>
  <si>
    <t>VFI Item</t>
  </si>
  <si>
    <t>OVE Item</t>
  </si>
  <si>
    <t>EPQ Item</t>
  </si>
  <si>
    <t>YOU Item</t>
  </si>
  <si>
    <t>PMU Item</t>
  </si>
  <si>
    <t>STL Item</t>
  </si>
  <si>
    <t>CMU Item</t>
  </si>
  <si>
    <t>TOE Item</t>
  </si>
  <si>
    <t>NZW Item</t>
  </si>
  <si>
    <t>UDS Item</t>
  </si>
  <si>
    <t>WTP Item</t>
  </si>
  <si>
    <t>LCU Item</t>
  </si>
  <si>
    <t>MZQ Item</t>
  </si>
  <si>
    <t>RFR Item</t>
  </si>
  <si>
    <t>GVY Item</t>
  </si>
  <si>
    <t>NGB Item</t>
  </si>
  <si>
    <t>NCN Item</t>
  </si>
  <si>
    <t>YVZ Item</t>
  </si>
  <si>
    <t>SYE Item</t>
  </si>
  <si>
    <t>XJT Item</t>
  </si>
  <si>
    <t>HVH Item</t>
  </si>
  <si>
    <t>RLH Item</t>
  </si>
  <si>
    <t>EJG Item</t>
  </si>
  <si>
    <t>MPS Item</t>
  </si>
  <si>
    <t>RYL Item</t>
  </si>
  <si>
    <t>DIV Item</t>
  </si>
  <si>
    <t>REH Item</t>
  </si>
  <si>
    <t>LXW Item</t>
  </si>
  <si>
    <t>BTK Item</t>
  </si>
  <si>
    <t>SBX Item</t>
  </si>
  <si>
    <t>PBQ Item</t>
  </si>
  <si>
    <t>HZK Item</t>
  </si>
  <si>
    <t>MDV Item</t>
  </si>
  <si>
    <t>NMK Item</t>
  </si>
  <si>
    <t>YSR Item</t>
  </si>
  <si>
    <t>DMA Item</t>
  </si>
  <si>
    <t>OVC Item</t>
  </si>
  <si>
    <t>YOY Item</t>
  </si>
  <si>
    <t>BLZ Item</t>
  </si>
  <si>
    <t>IKV Item</t>
  </si>
  <si>
    <t>ZJL Item</t>
  </si>
  <si>
    <t>FKX Item</t>
  </si>
  <si>
    <t>PZI Item</t>
  </si>
  <si>
    <t>GFC Item</t>
  </si>
  <si>
    <t>JFV Item</t>
  </si>
  <si>
    <t>QGM Item</t>
  </si>
  <si>
    <t>ENW Item</t>
  </si>
  <si>
    <t>UHK Item</t>
  </si>
  <si>
    <t>VTW Item</t>
  </si>
  <si>
    <t>UBQ Item</t>
  </si>
  <si>
    <t>VAD Item</t>
  </si>
  <si>
    <t>IWN Item</t>
  </si>
  <si>
    <t>HGY Item</t>
  </si>
  <si>
    <t>ZKE Item</t>
  </si>
  <si>
    <t>YKF Item</t>
  </si>
  <si>
    <t>KEI Item</t>
  </si>
  <si>
    <t>YFZ Item</t>
  </si>
  <si>
    <t>BSI Item</t>
  </si>
  <si>
    <t>BNY Item</t>
  </si>
  <si>
    <t>EED Item</t>
  </si>
  <si>
    <t>UOH Item</t>
  </si>
  <si>
    <t>BJH Item</t>
  </si>
  <si>
    <t>RCC Item</t>
  </si>
  <si>
    <t>IAY Item</t>
  </si>
  <si>
    <t>SUK Item</t>
  </si>
  <si>
    <t>ZZU Item</t>
  </si>
  <si>
    <t>FGA Item</t>
  </si>
  <si>
    <t>UWT Item</t>
  </si>
  <si>
    <t>JZZ Item</t>
  </si>
  <si>
    <t>JQN Item</t>
  </si>
  <si>
    <t>KYJ Item</t>
  </si>
  <si>
    <t>DWQ Item</t>
  </si>
  <si>
    <t>UOE Item</t>
  </si>
  <si>
    <t>MVG Item</t>
  </si>
  <si>
    <t>FAJ Item</t>
  </si>
  <si>
    <t>HNW Item</t>
  </si>
  <si>
    <t>HAK Item</t>
  </si>
  <si>
    <t>ZEK Item</t>
  </si>
  <si>
    <t>FAX Item</t>
  </si>
  <si>
    <t>HPU Item</t>
  </si>
  <si>
    <t>FII Item</t>
  </si>
  <si>
    <t>BMC Item</t>
  </si>
  <si>
    <t>EGL Item</t>
  </si>
  <si>
    <t>EHF Item</t>
  </si>
  <si>
    <t>CAI Item</t>
  </si>
  <si>
    <t>RLN Item</t>
  </si>
  <si>
    <t>ZPR Item</t>
  </si>
  <si>
    <t>SIW Item</t>
  </si>
  <si>
    <t>EBJ Item</t>
  </si>
  <si>
    <t>OGH Item</t>
  </si>
  <si>
    <t>IXD Item</t>
  </si>
  <si>
    <t>KBP Item</t>
  </si>
  <si>
    <t>NUH Item</t>
  </si>
  <si>
    <t>OQM Item</t>
  </si>
  <si>
    <t>YXD Item</t>
  </si>
  <si>
    <t>GFK Item</t>
  </si>
  <si>
    <t>SMI Item</t>
  </si>
  <si>
    <t>AAK Item</t>
  </si>
  <si>
    <t>GAW Item</t>
  </si>
  <si>
    <t>CQC Item</t>
  </si>
  <si>
    <t>VGY Item</t>
  </si>
  <si>
    <t>MSL Item</t>
  </si>
  <si>
    <t>MQT Item</t>
  </si>
  <si>
    <t>WCE Item</t>
  </si>
  <si>
    <t>VQG Item</t>
  </si>
  <si>
    <t>QLL Item</t>
  </si>
  <si>
    <t>POE Item</t>
  </si>
  <si>
    <t>IKM Item</t>
  </si>
  <si>
    <t>PAY Item</t>
  </si>
  <si>
    <t>HSH Item</t>
  </si>
  <si>
    <t>CZL Item</t>
  </si>
  <si>
    <t>YJD Item</t>
  </si>
  <si>
    <t>PQY Item</t>
  </si>
  <si>
    <t>HXF Item</t>
  </si>
  <si>
    <t>HLE Item</t>
  </si>
  <si>
    <t>WJE Item</t>
  </si>
  <si>
    <t>VTR Item</t>
  </si>
  <si>
    <t>MXO Item</t>
  </si>
  <si>
    <t>YYW Item</t>
  </si>
  <si>
    <t>BTJ Item</t>
  </si>
  <si>
    <t>NVY Item</t>
  </si>
  <si>
    <t>FPU Item</t>
  </si>
  <si>
    <t>XNK Item</t>
  </si>
  <si>
    <t>RVY Item</t>
  </si>
  <si>
    <t>RJQ Item</t>
  </si>
  <si>
    <t>TOB Item</t>
  </si>
  <si>
    <t>SYY Item</t>
  </si>
  <si>
    <t>DBA Item</t>
  </si>
  <si>
    <t>UHI Item</t>
  </si>
  <si>
    <t>LDF Item</t>
  </si>
  <si>
    <t>STV Item</t>
  </si>
  <si>
    <t>DQS Item</t>
  </si>
  <si>
    <t>NEJ Item</t>
  </si>
  <si>
    <t>EXM Item</t>
  </si>
  <si>
    <t>PYI Item</t>
  </si>
  <si>
    <t>ZYF Item</t>
  </si>
  <si>
    <t>RUJ Item</t>
  </si>
  <si>
    <t>LII Item</t>
  </si>
  <si>
    <t>WVD Item</t>
  </si>
  <si>
    <t>NLI Item</t>
  </si>
  <si>
    <t>XFG Item</t>
  </si>
  <si>
    <t>IIH Item</t>
  </si>
  <si>
    <t>EAR Item</t>
  </si>
  <si>
    <t>SWB Item</t>
  </si>
  <si>
    <t>FVX Item</t>
  </si>
  <si>
    <t>LBC Item</t>
  </si>
  <si>
    <t>MSH Item</t>
  </si>
  <si>
    <t>VNR Item</t>
  </si>
  <si>
    <t>NAE Item</t>
  </si>
  <si>
    <t>QIL Item</t>
  </si>
  <si>
    <t>WPF Item</t>
  </si>
  <si>
    <t>HJD Item</t>
  </si>
  <si>
    <t>BVD Item</t>
  </si>
  <si>
    <t>SYA Item</t>
  </si>
  <si>
    <t>GKA Item</t>
  </si>
  <si>
    <t>QKB Item</t>
  </si>
  <si>
    <t>NBV Item</t>
  </si>
  <si>
    <t>VPC Item</t>
  </si>
  <si>
    <t>URX Item</t>
  </si>
  <si>
    <t>ATZ Item</t>
  </si>
  <si>
    <t>ICQ Item</t>
  </si>
  <si>
    <t>BLF Item</t>
  </si>
  <si>
    <t>IBH Item</t>
  </si>
  <si>
    <t>OPN Item</t>
  </si>
  <si>
    <t>QLC Item</t>
  </si>
  <si>
    <t>EWC Item</t>
  </si>
  <si>
    <t>SRN Item</t>
  </si>
  <si>
    <t>QVT Item</t>
  </si>
  <si>
    <t>BQO Item</t>
  </si>
  <si>
    <t>SFH Item</t>
  </si>
  <si>
    <t>UQW Item</t>
  </si>
  <si>
    <t>ZQR Item</t>
  </si>
  <si>
    <t>XQQ Item</t>
  </si>
  <si>
    <t>TOD Item</t>
  </si>
  <si>
    <t>WYF Item</t>
  </si>
  <si>
    <t>XRC Item</t>
  </si>
  <si>
    <t>PLO Item</t>
  </si>
  <si>
    <t>CSJ Item</t>
  </si>
  <si>
    <t>TBQ Item</t>
  </si>
  <si>
    <t>KXJ Item</t>
  </si>
  <si>
    <t>EFD Item</t>
  </si>
  <si>
    <t>WBL Item</t>
  </si>
  <si>
    <t>QVZ Item</t>
  </si>
  <si>
    <t>ESQ Item</t>
  </si>
  <si>
    <t>STS Item</t>
  </si>
  <si>
    <t>YCM Item</t>
  </si>
  <si>
    <t>OBJ Item</t>
  </si>
  <si>
    <t>FDS Item</t>
  </si>
  <si>
    <t>VZO Item</t>
  </si>
  <si>
    <t>HEF Item</t>
  </si>
  <si>
    <t>UAH Item</t>
  </si>
  <si>
    <t>MQP Item</t>
  </si>
  <si>
    <t>NLB Item</t>
  </si>
  <si>
    <t>KLB Item</t>
  </si>
  <si>
    <t>DVP Item</t>
  </si>
  <si>
    <t>DLX Item</t>
  </si>
  <si>
    <t>JQB Item</t>
  </si>
  <si>
    <t>TVX Item</t>
  </si>
  <si>
    <t>WWR Item</t>
  </si>
  <si>
    <t>UTU Item</t>
  </si>
  <si>
    <t>IFX Item</t>
  </si>
  <si>
    <t>VRK Item</t>
  </si>
  <si>
    <t>SAK Item</t>
  </si>
  <si>
    <t>RUD Item</t>
  </si>
  <si>
    <t>FLA Item</t>
  </si>
  <si>
    <t>VCV Item</t>
  </si>
  <si>
    <t>HLL Item</t>
  </si>
  <si>
    <t>OLS Item</t>
  </si>
  <si>
    <t>QZW Item</t>
  </si>
  <si>
    <t>EYG Item</t>
  </si>
  <si>
    <t>WVS Item</t>
  </si>
  <si>
    <t>OWA Item</t>
  </si>
  <si>
    <t>MFB Item</t>
  </si>
  <si>
    <t>WJT Item</t>
  </si>
  <si>
    <t>QSA Item</t>
  </si>
  <si>
    <t>SQN Item</t>
  </si>
  <si>
    <t>VDA Item</t>
  </si>
  <si>
    <t>VUJ Item</t>
  </si>
  <si>
    <t>ILR Item</t>
  </si>
  <si>
    <t>RCE Item</t>
  </si>
  <si>
    <t>QGI Item</t>
  </si>
  <si>
    <t>UMR Item</t>
  </si>
  <si>
    <t>WMW Item</t>
  </si>
  <si>
    <t>OAA Item</t>
  </si>
  <si>
    <t>PPV Item</t>
  </si>
  <si>
    <t>WLP Item</t>
  </si>
  <si>
    <t>LVK Item</t>
  </si>
  <si>
    <t>TML Item</t>
  </si>
  <si>
    <t>ECG Item</t>
  </si>
  <si>
    <t>GRX Item</t>
  </si>
  <si>
    <t>IEW Item</t>
  </si>
  <si>
    <t>GQY Item</t>
  </si>
  <si>
    <t>WAS Item</t>
  </si>
  <si>
    <t>SMG Item</t>
  </si>
  <si>
    <t>ZHY Item</t>
  </si>
  <si>
    <t>ZCV Item</t>
  </si>
  <si>
    <t>DKD Item</t>
  </si>
  <si>
    <t>OZO Item</t>
  </si>
  <si>
    <t>MKA Item</t>
  </si>
  <si>
    <t>SOJ Item</t>
  </si>
  <si>
    <t>BBM Item</t>
  </si>
  <si>
    <t>OOC Item</t>
  </si>
  <si>
    <t>ZUU Item</t>
  </si>
  <si>
    <t>IYR Item</t>
  </si>
  <si>
    <t>BQX Item</t>
  </si>
  <si>
    <t>BFH Item</t>
  </si>
  <si>
    <t>HXL Item</t>
  </si>
  <si>
    <t>ELH Item</t>
  </si>
  <si>
    <t>AAY Item</t>
  </si>
  <si>
    <t>QIE Item</t>
  </si>
  <si>
    <t>WOU Item</t>
  </si>
  <si>
    <t>HGQ Item</t>
  </si>
  <si>
    <t>WOW Item</t>
  </si>
  <si>
    <t>YWP Item</t>
  </si>
  <si>
    <t>MZV Item</t>
  </si>
  <si>
    <t>RYS Item</t>
  </si>
  <si>
    <t>ICN Item</t>
  </si>
  <si>
    <t>ABM Item</t>
  </si>
  <si>
    <t>ARY Item</t>
  </si>
  <si>
    <t>BSX Item</t>
  </si>
  <si>
    <t>KMV Item</t>
  </si>
  <si>
    <t>XRP Item</t>
  </si>
  <si>
    <t>QDF Item</t>
  </si>
  <si>
    <t>AHM Item</t>
  </si>
  <si>
    <t>DJY Item</t>
  </si>
  <si>
    <t>INI Item</t>
  </si>
  <si>
    <t>ZGF Item</t>
  </si>
  <si>
    <t>ABB Item</t>
  </si>
  <si>
    <t>QRF Item</t>
  </si>
  <si>
    <t>FNS Item</t>
  </si>
  <si>
    <t>HNS Item</t>
  </si>
  <si>
    <t>UKX Item</t>
  </si>
  <si>
    <t>OTS Item</t>
  </si>
  <si>
    <t>CNH Item</t>
  </si>
  <si>
    <t>ATJ Item</t>
  </si>
  <si>
    <t>OOD Item</t>
  </si>
  <si>
    <t>BXK Item</t>
  </si>
  <si>
    <t>NLV Item</t>
  </si>
  <si>
    <t>BHM Item</t>
  </si>
  <si>
    <t>VZT Item</t>
  </si>
  <si>
    <t>VTQ Item</t>
  </si>
  <si>
    <t>RHE Item</t>
  </si>
  <si>
    <t>ENM Item</t>
  </si>
  <si>
    <t>XWP Item</t>
  </si>
  <si>
    <t>HMD Item</t>
  </si>
  <si>
    <t>QSQ Item</t>
  </si>
  <si>
    <t>YAK Item</t>
  </si>
  <si>
    <t>VBS Item</t>
  </si>
  <si>
    <t>NPP Item</t>
  </si>
  <si>
    <t>AUW Item</t>
  </si>
  <si>
    <t>DNC Item</t>
  </si>
  <si>
    <t>KHQ Item</t>
  </si>
  <si>
    <t>DEW Item</t>
  </si>
  <si>
    <t>HDR Item</t>
  </si>
  <si>
    <t>DFX Item</t>
  </si>
  <si>
    <t>NFX Item</t>
  </si>
  <si>
    <t>JUV Item</t>
  </si>
  <si>
    <t>ASI Item</t>
  </si>
  <si>
    <t>YLV Item</t>
  </si>
  <si>
    <t>HTD Item</t>
  </si>
  <si>
    <t>TMU Item</t>
  </si>
  <si>
    <t>RPR Item</t>
  </si>
  <si>
    <t>UJX Item</t>
  </si>
  <si>
    <t>FLZ Item</t>
  </si>
  <si>
    <t>JNE Item</t>
  </si>
  <si>
    <t>SPG Item</t>
  </si>
  <si>
    <t>CPS Item</t>
  </si>
  <si>
    <t>QIX Item</t>
  </si>
  <si>
    <t>KMR Item</t>
  </si>
  <si>
    <t>NUQ Item</t>
  </si>
  <si>
    <t>QVL Item</t>
  </si>
  <si>
    <t>JVF Item</t>
  </si>
  <si>
    <t>GXP Item</t>
  </si>
  <si>
    <t>BQW Item</t>
  </si>
  <si>
    <t>GRK Item</t>
  </si>
  <si>
    <t>UJQ Item</t>
  </si>
  <si>
    <t>AOJ Item</t>
  </si>
  <si>
    <t>TRK Item</t>
  </si>
  <si>
    <t>QKE Item</t>
  </si>
  <si>
    <t>VRS Item</t>
  </si>
  <si>
    <t>FKD Item</t>
  </si>
  <si>
    <t>UCC Item</t>
  </si>
  <si>
    <t>DRK Item</t>
  </si>
  <si>
    <t>AOB Item</t>
  </si>
  <si>
    <t>QHL Item</t>
  </si>
  <si>
    <t>LVN Item</t>
  </si>
  <si>
    <t>JLY Item</t>
  </si>
  <si>
    <t>JZO Item</t>
  </si>
  <si>
    <t>BSV Item</t>
  </si>
  <si>
    <t>XHR Item</t>
  </si>
  <si>
    <t>BAR Item</t>
  </si>
  <si>
    <t>CHU Item</t>
  </si>
  <si>
    <t>QOX Item</t>
  </si>
  <si>
    <t>JGN Item</t>
  </si>
  <si>
    <t>QFM Item</t>
  </si>
  <si>
    <t>PJS Item</t>
  </si>
  <si>
    <t>QLF Item</t>
  </si>
  <si>
    <t>FSD Item</t>
  </si>
  <si>
    <t>KYK Item</t>
  </si>
  <si>
    <t>ISU Item</t>
  </si>
  <si>
    <t>OQV Item</t>
  </si>
  <si>
    <t>LOC Item</t>
  </si>
  <si>
    <t>VKZ Item</t>
  </si>
  <si>
    <t>FCJ Item</t>
  </si>
  <si>
    <t>TEG Item</t>
  </si>
  <si>
    <t>IGI Item</t>
  </si>
  <si>
    <t>QDO Item</t>
  </si>
  <si>
    <t>WWB Item</t>
  </si>
  <si>
    <t>IWJ Item</t>
  </si>
  <si>
    <t>BSR Item</t>
  </si>
  <si>
    <t>MUF Item</t>
  </si>
  <si>
    <t>ISE Item</t>
  </si>
  <si>
    <t>HJZ Item</t>
  </si>
  <si>
    <t>TLQ Item</t>
  </si>
  <si>
    <t>XTY Item</t>
  </si>
  <si>
    <t>GBI Item</t>
  </si>
  <si>
    <t>WHF Item</t>
  </si>
  <si>
    <t>QBL Item</t>
  </si>
  <si>
    <t>KJV Item</t>
  </si>
  <si>
    <t>WPY Item</t>
  </si>
  <si>
    <t>FPK Item</t>
  </si>
  <si>
    <t>WPR Item</t>
  </si>
  <si>
    <t>ZPP Item</t>
  </si>
  <si>
    <t>DBT Item</t>
  </si>
  <si>
    <t>LJN Item</t>
  </si>
  <si>
    <t>SXT Item</t>
  </si>
  <si>
    <t>CSI Item</t>
  </si>
  <si>
    <t>XFU Item</t>
  </si>
  <si>
    <t>TSR Item</t>
  </si>
  <si>
    <t>SMX Item</t>
  </si>
  <si>
    <t>KMH Item</t>
  </si>
  <si>
    <t>RVI Item</t>
  </si>
  <si>
    <t>LTK Item</t>
  </si>
  <si>
    <t>IUJ Item</t>
  </si>
  <si>
    <t>VPP Item</t>
  </si>
  <si>
    <t>MUA Item</t>
  </si>
  <si>
    <t>WOC Item</t>
  </si>
  <si>
    <t>YIV Item</t>
  </si>
  <si>
    <t>ZVM Item</t>
  </si>
  <si>
    <t>ZJS Item</t>
  </si>
  <si>
    <t>BPZ Item</t>
  </si>
  <si>
    <t>YFM Item</t>
  </si>
  <si>
    <t>CTB Item</t>
  </si>
  <si>
    <t>FZY Item</t>
  </si>
  <si>
    <t>AZL Item</t>
  </si>
  <si>
    <t>MEH Item</t>
  </si>
  <si>
    <t>ENN Item</t>
  </si>
  <si>
    <t>SQM Item</t>
  </si>
  <si>
    <t>SHF Item</t>
  </si>
  <si>
    <t>IND Item</t>
  </si>
  <si>
    <t>ZXI Item</t>
  </si>
  <si>
    <t>DAJ Item</t>
  </si>
  <si>
    <t>CNG Item</t>
  </si>
  <si>
    <t>BKQ Item</t>
  </si>
  <si>
    <t>NSN Item</t>
  </si>
  <si>
    <t>KGB Item</t>
  </si>
  <si>
    <t>CRR Item</t>
  </si>
  <si>
    <t>NSA Item</t>
  </si>
  <si>
    <t>FKF Item</t>
  </si>
  <si>
    <t>KZG Item</t>
  </si>
  <si>
    <t>CLJ Item</t>
  </si>
  <si>
    <t>TQL Item</t>
  </si>
  <si>
    <t>AYF Item</t>
  </si>
  <si>
    <t>NLD Item</t>
  </si>
  <si>
    <t>DIS Item</t>
  </si>
  <si>
    <t>VXT Item</t>
  </si>
  <si>
    <t>QML Item</t>
  </si>
  <si>
    <t>SXF Item</t>
  </si>
  <si>
    <t>WCB Item</t>
  </si>
  <si>
    <t>MKX Item</t>
  </si>
  <si>
    <t>GQC Item</t>
  </si>
  <si>
    <t>LXS Item</t>
  </si>
  <si>
    <t>XNY Item</t>
  </si>
  <si>
    <t>TYX Item</t>
  </si>
  <si>
    <t>QRV Item</t>
  </si>
  <si>
    <t>LQV Item</t>
  </si>
  <si>
    <t>KHM Item</t>
  </si>
  <si>
    <t>ACE Item</t>
  </si>
  <si>
    <t>PRI Item</t>
  </si>
  <si>
    <t>UDH Item</t>
  </si>
  <si>
    <t>YHR Item</t>
  </si>
  <si>
    <t>KOQ Item</t>
  </si>
  <si>
    <t>ONK Item</t>
  </si>
  <si>
    <t>AMO Item</t>
  </si>
  <si>
    <t>OTD Item</t>
  </si>
  <si>
    <t>XHT Item</t>
  </si>
  <si>
    <t>PBH Item</t>
  </si>
  <si>
    <t>VJK Item</t>
  </si>
  <si>
    <t>HEU Item</t>
  </si>
  <si>
    <t>NBH Item</t>
  </si>
  <si>
    <t>ZBP Item</t>
  </si>
  <si>
    <t>MYE Item</t>
  </si>
  <si>
    <t>WHT Item</t>
  </si>
  <si>
    <t>ACM Item</t>
  </si>
  <si>
    <t>ORF Item</t>
  </si>
  <si>
    <t>MUQ Item</t>
  </si>
  <si>
    <t>JEC Item</t>
  </si>
  <si>
    <t>ZBJ Item</t>
  </si>
  <si>
    <t>UGW Item</t>
  </si>
  <si>
    <t>CIU Item</t>
  </si>
  <si>
    <t>TZE Item</t>
  </si>
  <si>
    <t>THD Item</t>
  </si>
  <si>
    <t>NGZ Item</t>
  </si>
  <si>
    <t>QIF Item</t>
  </si>
  <si>
    <t>CKU Item</t>
  </si>
  <si>
    <t>MQU Item</t>
  </si>
  <si>
    <t>BKL Item</t>
  </si>
  <si>
    <t>PBJ Item</t>
  </si>
  <si>
    <t>DVU Item</t>
  </si>
  <si>
    <t>XGE Item</t>
  </si>
  <si>
    <t>SIV Item</t>
  </si>
  <si>
    <t>AKB Item</t>
  </si>
  <si>
    <t>TZM Item</t>
  </si>
  <si>
    <t>XSP Item</t>
  </si>
  <si>
    <t>XYT Item</t>
  </si>
  <si>
    <t>OJA Item</t>
  </si>
  <si>
    <t>TRD Item</t>
  </si>
  <si>
    <t>GHE Item</t>
  </si>
  <si>
    <t>PTH Item</t>
  </si>
  <si>
    <t>YAE Item</t>
  </si>
  <si>
    <t>WPE Item</t>
  </si>
  <si>
    <t>DBH Item</t>
  </si>
  <si>
    <t>ACP Item</t>
  </si>
  <si>
    <t>PVA Item</t>
  </si>
  <si>
    <t>FYV Item</t>
  </si>
  <si>
    <t>FVR Item</t>
  </si>
  <si>
    <t>YNA Item</t>
  </si>
  <si>
    <t>PUZ Item</t>
  </si>
  <si>
    <t>ZCO Item</t>
  </si>
  <si>
    <t>JXK Item</t>
  </si>
  <si>
    <t>ZFB Item</t>
  </si>
  <si>
    <t>KWJ Item</t>
  </si>
  <si>
    <t>JLP Item</t>
  </si>
  <si>
    <t>CCB Item</t>
  </si>
  <si>
    <t>HVF Item</t>
  </si>
  <si>
    <t>XTZ Item</t>
  </si>
  <si>
    <t>FLS Item</t>
  </si>
  <si>
    <t>KKF Item</t>
  </si>
  <si>
    <t>RTZ Item</t>
  </si>
  <si>
    <t>IJX Item</t>
  </si>
  <si>
    <t>BFQ Item</t>
  </si>
  <si>
    <t>DES Item</t>
  </si>
  <si>
    <t>LGZ Item</t>
  </si>
  <si>
    <t>LOR Item</t>
  </si>
  <si>
    <t>MBR Item</t>
  </si>
  <si>
    <t>QKI Item</t>
  </si>
  <si>
    <t>DKT Item</t>
  </si>
  <si>
    <t>EXU Item</t>
  </si>
  <si>
    <t>HQD Item</t>
  </si>
  <si>
    <t>WSA Item</t>
  </si>
  <si>
    <t>VIN Item</t>
  </si>
  <si>
    <t>TOG Item</t>
  </si>
  <si>
    <t>NNT Item</t>
  </si>
  <si>
    <t>MCE Item</t>
  </si>
  <si>
    <t>QZJ Item</t>
  </si>
  <si>
    <t>XQE Item</t>
  </si>
  <si>
    <t>NBZ Item</t>
  </si>
  <si>
    <t>CUV Item</t>
  </si>
  <si>
    <t>YHA Item</t>
  </si>
  <si>
    <t>ICX Item</t>
  </si>
  <si>
    <t>WIP Item</t>
  </si>
  <si>
    <t>UAD Item</t>
  </si>
  <si>
    <t>FZK Item</t>
  </si>
  <si>
    <t>CDR Item</t>
  </si>
  <si>
    <t>KST Item</t>
  </si>
  <si>
    <t>LDK Item</t>
  </si>
  <si>
    <t>CNK Item</t>
  </si>
  <si>
    <t>YTL Item</t>
  </si>
  <si>
    <t>FXF Item</t>
  </si>
  <si>
    <t>NCF Item</t>
  </si>
  <si>
    <t>HOQ Item</t>
  </si>
  <si>
    <t>ZHH Item</t>
  </si>
  <si>
    <t>PZB Item</t>
  </si>
  <si>
    <t>JSK Item</t>
  </si>
  <si>
    <t>YDO Item</t>
  </si>
  <si>
    <t>LFD Item</t>
  </si>
  <si>
    <t>DXO Item</t>
  </si>
  <si>
    <t>NEU Item</t>
  </si>
  <si>
    <t>WWU Item</t>
  </si>
  <si>
    <t>VQN Item</t>
  </si>
  <si>
    <t>SZW Item</t>
  </si>
  <si>
    <t>KBY Item</t>
  </si>
  <si>
    <t>BDM Item</t>
  </si>
  <si>
    <t>KVL Item</t>
  </si>
  <si>
    <t>EOP Item</t>
  </si>
  <si>
    <t>NJY Item</t>
  </si>
  <si>
    <t>KTU Item</t>
  </si>
  <si>
    <t>AIU Item</t>
  </si>
  <si>
    <t>JGF Item</t>
  </si>
  <si>
    <t>GIH Item</t>
  </si>
  <si>
    <t>YGD Item</t>
  </si>
  <si>
    <t>ZBH Item</t>
  </si>
  <si>
    <t>HAI Item</t>
  </si>
  <si>
    <t>VMX Item</t>
  </si>
  <si>
    <t>YEK Item</t>
  </si>
  <si>
    <t>VSC Item</t>
  </si>
  <si>
    <t>VHG Item</t>
  </si>
  <si>
    <t>PQN Item</t>
  </si>
  <si>
    <t>YGP Item</t>
  </si>
  <si>
    <t>IUU Item</t>
  </si>
  <si>
    <t>CJK Item</t>
  </si>
  <si>
    <t>BPJ Item</t>
  </si>
  <si>
    <t>AEW Item</t>
  </si>
  <si>
    <t>GMP Item</t>
  </si>
  <si>
    <t>UMJ Item</t>
  </si>
  <si>
    <t>HQT Item</t>
  </si>
  <si>
    <t>XAQ Item</t>
  </si>
  <si>
    <t>TGO Item</t>
  </si>
  <si>
    <t>ECX Item</t>
  </si>
  <si>
    <t>ODY Item</t>
  </si>
  <si>
    <t>ALA Item</t>
  </si>
  <si>
    <t>PAR Item</t>
  </si>
  <si>
    <t>MIP Item</t>
  </si>
  <si>
    <t>YZG Item</t>
  </si>
  <si>
    <t>YJF Item</t>
  </si>
  <si>
    <t>HVN Item</t>
  </si>
  <si>
    <t>HYT Item</t>
  </si>
  <si>
    <t>KGM Item</t>
  </si>
  <si>
    <t>PJA Item</t>
  </si>
  <si>
    <t>FFT Item</t>
  </si>
  <si>
    <t>PIM Item</t>
  </si>
  <si>
    <t>NDX Item</t>
  </si>
  <si>
    <t>OXF Item</t>
  </si>
  <si>
    <t>PVQ Item</t>
  </si>
  <si>
    <t>ONA Item</t>
  </si>
  <si>
    <t>TQB Item</t>
  </si>
  <si>
    <t>HBN Item</t>
  </si>
  <si>
    <t>CRF Item</t>
  </si>
  <si>
    <t>USD Item</t>
  </si>
  <si>
    <t>UGR Item</t>
  </si>
  <si>
    <t>TZJ Item</t>
  </si>
  <si>
    <t>BDN Item</t>
  </si>
  <si>
    <t>TWG Item</t>
  </si>
  <si>
    <t>PET Item</t>
  </si>
  <si>
    <t>NPJ Item</t>
  </si>
  <si>
    <t>EUY Item</t>
  </si>
  <si>
    <t>XWK Item</t>
  </si>
  <si>
    <t>MUU Item</t>
  </si>
  <si>
    <t>QVV Item</t>
  </si>
  <si>
    <t>IGA Item</t>
  </si>
  <si>
    <t>MEE Item</t>
  </si>
  <si>
    <t>OET Item</t>
  </si>
  <si>
    <t>PUJ Item</t>
  </si>
  <si>
    <t>OMP Item</t>
  </si>
  <si>
    <t>BCD Item</t>
  </si>
  <si>
    <t>VBF Item</t>
  </si>
  <si>
    <t>ZRS Item</t>
  </si>
  <si>
    <t>ZMB Item</t>
  </si>
  <si>
    <t>WVO Item</t>
  </si>
  <si>
    <t>LUR Item</t>
  </si>
  <si>
    <t>ACD Item</t>
  </si>
  <si>
    <t>EAJ Item</t>
  </si>
  <si>
    <t>XIA Item</t>
  </si>
  <si>
    <t>ZCL Item</t>
  </si>
  <si>
    <t>YZE Item</t>
  </si>
  <si>
    <t>OJK Item</t>
  </si>
  <si>
    <t>MXH Item</t>
  </si>
  <si>
    <t>UFK Item</t>
  </si>
  <si>
    <t>LJY Item</t>
  </si>
  <si>
    <t>WEH Item</t>
  </si>
  <si>
    <t>BDA Item</t>
  </si>
  <si>
    <t>YOD Item</t>
  </si>
  <si>
    <t>TJA Item</t>
  </si>
  <si>
    <t>UYR Item</t>
  </si>
  <si>
    <t>ZAH Item</t>
  </si>
  <si>
    <t>HMW Item</t>
  </si>
  <si>
    <t>RPV Item</t>
  </si>
  <si>
    <t>OGB Item</t>
  </si>
  <si>
    <t>QDB Item</t>
  </si>
  <si>
    <t>SZD Item</t>
  </si>
  <si>
    <t>GHZ Item</t>
  </si>
  <si>
    <t>WKC Item</t>
  </si>
  <si>
    <t>JDL Item</t>
  </si>
  <si>
    <t>XKA Item</t>
  </si>
  <si>
    <t>VLP Item</t>
  </si>
  <si>
    <t>GPC Item</t>
  </si>
  <si>
    <t>AUC Item</t>
  </si>
  <si>
    <t>ECV Item</t>
  </si>
  <si>
    <t>MZS Item</t>
  </si>
  <si>
    <t>MNG Item</t>
  </si>
  <si>
    <t>MOG Item</t>
  </si>
  <si>
    <t>GSK Item</t>
  </si>
  <si>
    <t>OBL Item</t>
  </si>
  <si>
    <t>XVI Item</t>
  </si>
  <si>
    <t>LWK Item</t>
  </si>
  <si>
    <t>SNP Item</t>
  </si>
  <si>
    <t>YPH Item</t>
  </si>
  <si>
    <t>AWH Item</t>
  </si>
  <si>
    <t>TIN Item</t>
  </si>
  <si>
    <t>ITT Item</t>
  </si>
  <si>
    <t>SYO Item</t>
  </si>
  <si>
    <t>GJP Item</t>
  </si>
  <si>
    <t>OHC Item</t>
  </si>
  <si>
    <t>FWK Item</t>
  </si>
  <si>
    <t>CHE Item</t>
  </si>
  <si>
    <t>GOC Item</t>
  </si>
  <si>
    <t>OTU Item</t>
  </si>
  <si>
    <t>LSP Item</t>
  </si>
  <si>
    <t>JUQ Item</t>
  </si>
  <si>
    <t>AWF Item</t>
  </si>
  <si>
    <t>NCR Item</t>
  </si>
  <si>
    <t>KTV Item</t>
  </si>
  <si>
    <t>BVR Item</t>
  </si>
  <si>
    <t>DKM Item</t>
  </si>
  <si>
    <t>GPJ Item</t>
  </si>
  <si>
    <t>NVR Item</t>
  </si>
  <si>
    <t>GJM Item</t>
  </si>
  <si>
    <t>SNB Item</t>
  </si>
  <si>
    <t>NSZ Item</t>
  </si>
  <si>
    <t>HVG Item</t>
  </si>
  <si>
    <t>AMV Item</t>
  </si>
  <si>
    <t>XLN Item</t>
  </si>
  <si>
    <t>FFF Item</t>
  </si>
  <si>
    <t>LVG Item</t>
  </si>
  <si>
    <t>DFI Item</t>
  </si>
  <si>
    <t>JPT Item</t>
  </si>
  <si>
    <t>PFM Item</t>
  </si>
  <si>
    <t>VLI Item</t>
  </si>
  <si>
    <t>DSW Item</t>
  </si>
  <si>
    <t>RHG Item</t>
  </si>
  <si>
    <t>KXK Item</t>
  </si>
  <si>
    <t>TZG Item</t>
  </si>
  <si>
    <t>NRZ Item</t>
  </si>
  <si>
    <t>RRN Item</t>
  </si>
  <si>
    <t>CLS Item</t>
  </si>
  <si>
    <t>EVM Item</t>
  </si>
  <si>
    <t>APM Item</t>
  </si>
  <si>
    <t>XVA Item</t>
  </si>
  <si>
    <t>EWJ Item</t>
  </si>
  <si>
    <t>GFQ Item</t>
  </si>
  <si>
    <t>FZM Item</t>
  </si>
  <si>
    <t>KYB Item</t>
  </si>
  <si>
    <t>RUW Item</t>
  </si>
  <si>
    <t>ZYT Item</t>
  </si>
  <si>
    <t>RIX Item</t>
  </si>
  <si>
    <t>AYR Item</t>
  </si>
  <si>
    <t>LRH Item</t>
  </si>
  <si>
    <t>CBL Item</t>
  </si>
  <si>
    <t>NMF Item</t>
  </si>
  <si>
    <t>SBM Item</t>
  </si>
  <si>
    <t>RKM Item</t>
  </si>
  <si>
    <t>AJA Item</t>
  </si>
  <si>
    <t>NRS Item</t>
  </si>
  <si>
    <t>ARL Item</t>
  </si>
  <si>
    <t>JRG Item</t>
  </si>
  <si>
    <t>WDM Item</t>
  </si>
  <si>
    <t>RYV Item</t>
  </si>
  <si>
    <t>ILP Item</t>
  </si>
  <si>
    <t>MNC Item</t>
  </si>
  <si>
    <t>UCA Item</t>
  </si>
  <si>
    <t>DEJ Item</t>
  </si>
  <si>
    <t>IDK Item</t>
  </si>
  <si>
    <t>PEB Item</t>
  </si>
  <si>
    <t>RZH Item</t>
  </si>
  <si>
    <t>VGB Item</t>
  </si>
  <si>
    <t>JKT Item</t>
  </si>
  <si>
    <t>BVV Item</t>
  </si>
  <si>
    <t>VTX Item</t>
  </si>
  <si>
    <t>MBX Item</t>
  </si>
  <si>
    <t>ECP Item</t>
  </si>
  <si>
    <t>ZLA Item</t>
  </si>
  <si>
    <t>DWZ Item</t>
  </si>
  <si>
    <t>FZD Item</t>
  </si>
  <si>
    <t>AHW Item</t>
  </si>
  <si>
    <t>PPK Item</t>
  </si>
  <si>
    <t>FIL Item</t>
  </si>
  <si>
    <t>SSJ Item</t>
  </si>
  <si>
    <t>NRF Item</t>
  </si>
  <si>
    <t>GGW Item</t>
  </si>
  <si>
    <t>IUY Item</t>
  </si>
  <si>
    <t>GTR Item</t>
  </si>
  <si>
    <t>XBK Item</t>
  </si>
  <si>
    <t>EPP Item</t>
  </si>
  <si>
    <t>SZX Item</t>
  </si>
  <si>
    <t>MIY Item</t>
  </si>
  <si>
    <t>TNX Item</t>
  </si>
  <si>
    <t>GOZ Item</t>
  </si>
  <si>
    <t>LJF Item</t>
  </si>
  <si>
    <t>VRD Item</t>
  </si>
  <si>
    <t>PTZ Item</t>
  </si>
  <si>
    <t>IYF Item</t>
  </si>
  <si>
    <t>NLH Item</t>
  </si>
  <si>
    <t>RUN Item</t>
  </si>
  <si>
    <t>KLA Item</t>
  </si>
  <si>
    <t>ALR Item</t>
  </si>
  <si>
    <t>UMN Item</t>
  </si>
  <si>
    <t>PHH Item</t>
  </si>
  <si>
    <t>KBG Item</t>
  </si>
  <si>
    <t>VOO Item</t>
  </si>
  <si>
    <t>RMU Item</t>
  </si>
  <si>
    <t>CVM Item</t>
  </si>
  <si>
    <t>YLH Item</t>
  </si>
  <si>
    <t>NCH Item</t>
  </si>
  <si>
    <t>MDN Item</t>
  </si>
  <si>
    <t>GYK Item</t>
  </si>
  <si>
    <t>XGP Item</t>
  </si>
  <si>
    <t>EGR Item</t>
  </si>
  <si>
    <t>XKP Item</t>
  </si>
  <si>
    <t>NXM Item</t>
  </si>
  <si>
    <t>ZDZ Item</t>
  </si>
  <si>
    <t>WXN Item</t>
  </si>
  <si>
    <t>OXX Item</t>
  </si>
  <si>
    <t>ERF Item</t>
  </si>
  <si>
    <t>VHD Item</t>
  </si>
  <si>
    <t>CKX Item</t>
  </si>
  <si>
    <t>IAG Item</t>
  </si>
  <si>
    <t>MLA Item</t>
  </si>
  <si>
    <t>KKV Item</t>
  </si>
  <si>
    <t>BNH Item</t>
  </si>
  <si>
    <t>YLF Item</t>
  </si>
  <si>
    <t>YRV Item</t>
  </si>
  <si>
    <t>JJX Item</t>
  </si>
  <si>
    <t>NOD Item</t>
  </si>
  <si>
    <t>GDC Item</t>
  </si>
  <si>
    <t>PSW Item</t>
  </si>
  <si>
    <t>GBM Item</t>
  </si>
  <si>
    <t>JYF Item</t>
  </si>
  <si>
    <t>BYE Item</t>
  </si>
  <si>
    <t>CHZ Item</t>
  </si>
  <si>
    <t>RLA Item</t>
  </si>
  <si>
    <t>GZM Item</t>
  </si>
  <si>
    <t>VDD Item</t>
  </si>
  <si>
    <t>YFB Item</t>
  </si>
  <si>
    <t>PXA Item</t>
  </si>
  <si>
    <t>ZKF Item</t>
  </si>
  <si>
    <t>JZM Item</t>
  </si>
  <si>
    <t>EHE Item</t>
  </si>
  <si>
    <t>EBS Item</t>
  </si>
  <si>
    <t>MEJ Item</t>
  </si>
  <si>
    <t>THO Item</t>
  </si>
  <si>
    <t>RHL Item</t>
  </si>
  <si>
    <t>EBN Item</t>
  </si>
  <si>
    <t>BWQ Item</t>
  </si>
  <si>
    <t>ZQH Item</t>
  </si>
  <si>
    <t>OLN Item</t>
  </si>
  <si>
    <t>IQK Item</t>
  </si>
  <si>
    <t>VNQ Item</t>
  </si>
  <si>
    <t>FVF Item</t>
  </si>
  <si>
    <t>KVH Item</t>
  </si>
  <si>
    <t>QFG Item</t>
  </si>
  <si>
    <t>YVD Item</t>
  </si>
  <si>
    <t>HTZ Item</t>
  </si>
  <si>
    <t>CVS Item</t>
  </si>
  <si>
    <t>KLP Item</t>
  </si>
  <si>
    <t>RDW Item</t>
  </si>
  <si>
    <t>ZQU Item</t>
  </si>
  <si>
    <t>VYM Item</t>
  </si>
  <si>
    <t>OIK Item</t>
  </si>
  <si>
    <t>PCQ Item</t>
  </si>
  <si>
    <t>YHI Item</t>
  </si>
  <si>
    <t>CTU Item</t>
  </si>
  <si>
    <t>FWM Item</t>
  </si>
  <si>
    <t>NNF Item</t>
  </si>
  <si>
    <t>DOR Item</t>
  </si>
  <si>
    <t>VVQ Item</t>
  </si>
  <si>
    <t>CUN Item</t>
  </si>
  <si>
    <t>SAR Item</t>
  </si>
  <si>
    <t>KPY Item</t>
  </si>
  <si>
    <t>WYM Item</t>
  </si>
  <si>
    <t>GWT Item</t>
  </si>
  <si>
    <t>HMO Item</t>
  </si>
  <si>
    <t>SHZ Item</t>
  </si>
  <si>
    <t>UDT Item</t>
  </si>
  <si>
    <t>WSV Item</t>
  </si>
  <si>
    <t>LMR Item</t>
  </si>
  <si>
    <t>YQI Item</t>
  </si>
  <si>
    <t>BAM Item</t>
  </si>
  <si>
    <t>WWQ Item</t>
  </si>
  <si>
    <t>XWX Item</t>
  </si>
  <si>
    <t>ZEI Item</t>
  </si>
  <si>
    <t>ZEB Item</t>
  </si>
  <si>
    <t>SPK Item</t>
  </si>
  <si>
    <t>QNJ Item</t>
  </si>
  <si>
    <t>VMO Item</t>
  </si>
  <si>
    <t>UZM Item</t>
  </si>
  <si>
    <t>QYE Item</t>
  </si>
  <si>
    <t>STZ Item</t>
  </si>
  <si>
    <t>SGA Item</t>
  </si>
  <si>
    <t>MMS Item</t>
  </si>
  <si>
    <t>VKR Item</t>
  </si>
  <si>
    <t>FBG Item</t>
  </si>
  <si>
    <t>MME Item</t>
  </si>
  <si>
    <t>UAE Item</t>
  </si>
  <si>
    <t>ZHW Item</t>
  </si>
  <si>
    <t>MOQ Item</t>
  </si>
  <si>
    <t>JFF Item</t>
  </si>
  <si>
    <t>FQM Item</t>
  </si>
  <si>
    <t>AXW Item</t>
  </si>
  <si>
    <t>KJR Item</t>
  </si>
  <si>
    <t>EHC Item</t>
  </si>
  <si>
    <t>VGO Item</t>
  </si>
  <si>
    <t>GFM Item</t>
  </si>
  <si>
    <t>TPW Item</t>
  </si>
  <si>
    <t>DMQ Item</t>
  </si>
  <si>
    <t>MIR Item</t>
  </si>
  <si>
    <t>IRA Item</t>
  </si>
  <si>
    <t>DQA Item</t>
  </si>
  <si>
    <t>MZC Item</t>
  </si>
  <si>
    <t>OPA Item</t>
  </si>
  <si>
    <t>MXD Item</t>
  </si>
  <si>
    <t>HGB Item</t>
  </si>
  <si>
    <t>MYN Item</t>
  </si>
  <si>
    <t>CVQ Item</t>
  </si>
  <si>
    <t>YTG Item</t>
  </si>
  <si>
    <t>XZQ Item</t>
  </si>
  <si>
    <t>RAP Item</t>
  </si>
  <si>
    <t>TAK Item</t>
  </si>
  <si>
    <t>LFI Item</t>
  </si>
  <si>
    <t>IIA Item</t>
  </si>
  <si>
    <t>ANU Item</t>
  </si>
  <si>
    <t>FOI Item</t>
  </si>
  <si>
    <t>SAG Item</t>
  </si>
  <si>
    <t>XIW Item</t>
  </si>
  <si>
    <t>PNU Item</t>
  </si>
  <si>
    <t>QNN Item</t>
  </si>
  <si>
    <t>KSG Item</t>
  </si>
  <si>
    <t>QRA Item</t>
  </si>
  <si>
    <t>KYW Item</t>
  </si>
  <si>
    <t>JDA Item</t>
  </si>
  <si>
    <t>DSK Item</t>
  </si>
  <si>
    <t>YMA Item</t>
  </si>
  <si>
    <t>NOS Item</t>
  </si>
  <si>
    <t>WCT Item</t>
  </si>
  <si>
    <t>UXE Item</t>
  </si>
  <si>
    <t>BDO Item</t>
  </si>
  <si>
    <t>GLH Item</t>
  </si>
  <si>
    <t>ESJ Item</t>
  </si>
  <si>
    <t>HYH Item</t>
  </si>
  <si>
    <t>DMP Item</t>
  </si>
  <si>
    <t>UXX Item</t>
  </si>
  <si>
    <t>WGY Item</t>
  </si>
  <si>
    <t>QYZ Item</t>
  </si>
  <si>
    <t>YID Item</t>
  </si>
  <si>
    <t>FYP Item</t>
  </si>
  <si>
    <t>FJF Item</t>
  </si>
  <si>
    <t>EUL Item</t>
  </si>
  <si>
    <t>SYS Item</t>
  </si>
  <si>
    <t>RCA Item</t>
  </si>
  <si>
    <t>MGK Item</t>
  </si>
  <si>
    <t>JUX Item</t>
  </si>
  <si>
    <t>FWA Item</t>
  </si>
  <si>
    <t>UZJ Item</t>
  </si>
  <si>
    <t>XKR Item</t>
  </si>
  <si>
    <t>DCR Item</t>
  </si>
  <si>
    <t>UKS Item</t>
  </si>
  <si>
    <t>RWW Item</t>
  </si>
  <si>
    <t>ERC Item</t>
  </si>
  <si>
    <t>GDN Item</t>
  </si>
  <si>
    <t>LWM Item</t>
  </si>
  <si>
    <t>UTE Item</t>
  </si>
  <si>
    <t>RAB Item</t>
  </si>
  <si>
    <t>HFM Item</t>
  </si>
  <si>
    <t>KIC Item</t>
  </si>
  <si>
    <t>UOZ Item</t>
  </si>
  <si>
    <t>OYO Item</t>
  </si>
  <si>
    <t>UTO Item</t>
  </si>
  <si>
    <t>BJI Item</t>
  </si>
  <si>
    <t>MHN Item</t>
  </si>
  <si>
    <t>NQA Item</t>
  </si>
  <si>
    <t>TYL Item</t>
  </si>
  <si>
    <t>FMA Item</t>
  </si>
  <si>
    <t>VNZ Item</t>
  </si>
  <si>
    <t>VGE Item</t>
  </si>
  <si>
    <t>DWS Item</t>
  </si>
  <si>
    <t>AHN Item</t>
  </si>
  <si>
    <t>BRH Item</t>
  </si>
  <si>
    <t>BJA Item</t>
  </si>
  <si>
    <t>CTT Item</t>
  </si>
  <si>
    <t>ANS Item</t>
  </si>
  <si>
    <t>ULM Item</t>
  </si>
  <si>
    <t>HFA Item</t>
  </si>
  <si>
    <t>TMT Item</t>
  </si>
  <si>
    <t>ZTU Item</t>
  </si>
  <si>
    <t>JFE Item</t>
  </si>
  <si>
    <t>PQT Item</t>
  </si>
  <si>
    <t>TBS Item</t>
  </si>
  <si>
    <t>ZBQ Item</t>
  </si>
  <si>
    <t>VYP Item</t>
  </si>
  <si>
    <t>CJE Item</t>
  </si>
  <si>
    <t>QAL Item</t>
  </si>
  <si>
    <t>UYS Item</t>
  </si>
  <si>
    <t>BHL Item</t>
  </si>
  <si>
    <t>WNE Item</t>
  </si>
  <si>
    <t>WEZ Item</t>
  </si>
  <si>
    <t>IRH Item</t>
  </si>
  <si>
    <t>QVQ Item</t>
  </si>
  <si>
    <t>ZRG Item</t>
  </si>
  <si>
    <t>PRP Item</t>
  </si>
  <si>
    <t>SQC Item</t>
  </si>
  <si>
    <t>KVM Item</t>
  </si>
  <si>
    <t>MWN Item</t>
  </si>
  <si>
    <t>MBP Item</t>
  </si>
  <si>
    <t>HES Item</t>
  </si>
  <si>
    <t>XHX Item</t>
  </si>
  <si>
    <t>UBU Item</t>
  </si>
  <si>
    <t>TPR Item</t>
  </si>
  <si>
    <t>UQS Item</t>
  </si>
  <si>
    <t>Order Number</t>
  </si>
  <si>
    <t>Amount</t>
  </si>
  <si>
    <t>Receipt Date</t>
  </si>
  <si>
    <t>Payment Date</t>
  </si>
  <si>
    <t>Overdue (days)</t>
  </si>
  <si>
    <t>Penalty</t>
  </si>
  <si>
    <t xml:space="preserve"> In column E cells, determine the number of days bywhich the payment exceeds the due date. </t>
  </si>
  <si>
    <t>22-001</t>
  </si>
  <si>
    <t>A payment is classified as overdue if it is paid after 4 days of receipt date.</t>
  </si>
  <si>
    <t>22-002</t>
  </si>
  <si>
    <t>22-003</t>
  </si>
  <si>
    <t>In column F cells, compute the penalty amount - which is equal to 3% of the order amount - for every day the payment is delayed.</t>
  </si>
  <si>
    <t>22-004</t>
  </si>
  <si>
    <t>22-005</t>
  </si>
  <si>
    <t>Calculate the total number of payment is overdue.</t>
  </si>
  <si>
    <t>22-006</t>
  </si>
  <si>
    <t>Ans.</t>
  </si>
  <si>
    <t>22-007</t>
  </si>
  <si>
    <t>22-008</t>
  </si>
  <si>
    <t>Calculate the total fine amount.</t>
  </si>
  <si>
    <t>22-009</t>
  </si>
  <si>
    <t>22-010</t>
  </si>
  <si>
    <t>22-011</t>
  </si>
  <si>
    <t>22-012</t>
  </si>
  <si>
    <t>22-013</t>
  </si>
  <si>
    <t>22-014</t>
  </si>
  <si>
    <t>22-015</t>
  </si>
  <si>
    <t>22-016</t>
  </si>
  <si>
    <t>22-017</t>
  </si>
  <si>
    <t>22-022</t>
  </si>
  <si>
    <t>22-019</t>
  </si>
  <si>
    <t>22-020</t>
  </si>
  <si>
    <t>22-021</t>
  </si>
  <si>
    <t>22-023</t>
  </si>
  <si>
    <t>22-024</t>
  </si>
  <si>
    <t>22-025</t>
  </si>
  <si>
    <t>22-026</t>
  </si>
  <si>
    <t>22-027</t>
  </si>
  <si>
    <t>22-028</t>
  </si>
  <si>
    <t>22-029</t>
  </si>
  <si>
    <t>22-030</t>
  </si>
  <si>
    <t>22-031</t>
  </si>
  <si>
    <t>22-032</t>
  </si>
  <si>
    <t>22-033</t>
  </si>
  <si>
    <t>22-034</t>
  </si>
  <si>
    <t>Item</t>
  </si>
  <si>
    <t>Style</t>
  </si>
  <si>
    <t>Color</t>
  </si>
  <si>
    <t>Size</t>
  </si>
  <si>
    <t>100's:200-65L</t>
  </si>
  <si>
    <t>In the 'Style' column, extract the style code from the Item code (e.g., if the Item code is "100's:200-65L", the style code is 200).</t>
  </si>
  <si>
    <t>100's:100-65XL</t>
  </si>
  <si>
    <t>100's:100-65XXL</t>
  </si>
  <si>
    <t>In the 'Color' column, extract the color code from the Item code (e.g., if the Item code is "100's:200-65L", the color code is 65).</t>
  </si>
  <si>
    <t>100's:500-06M</t>
  </si>
  <si>
    <t>100's:800-06L</t>
  </si>
  <si>
    <t>In the 'Size' column, extract the size code from the Item code (e.g., if the Item code is "100's:200-65L", the size code is L).</t>
  </si>
  <si>
    <t>100's:1000-06XL</t>
  </si>
  <si>
    <t>100's:100-06XXL</t>
  </si>
  <si>
    <t>100's:1200-05M</t>
  </si>
  <si>
    <t>100's:300-05L</t>
  </si>
  <si>
    <t>100's:600-05XL</t>
  </si>
  <si>
    <t>100's:800-05XXL</t>
  </si>
  <si>
    <t>100's:300-04S</t>
  </si>
  <si>
    <t>100's:1500-04M</t>
  </si>
  <si>
    <t>100's:1300-04L</t>
  </si>
  <si>
    <t>100's:700-04XL</t>
  </si>
  <si>
    <t>100's:200-04XXL</t>
  </si>
  <si>
    <t>100's:750-02S</t>
  </si>
  <si>
    <t>100's:400-02M</t>
  </si>
  <si>
    <t>100's:700-02L</t>
  </si>
  <si>
    <t>100's:1000-02XL</t>
  </si>
  <si>
    <t>100's:900-02XXL</t>
  </si>
  <si>
    <t>100's:350-01S</t>
  </si>
  <si>
    <t>100's:2000-01M</t>
  </si>
  <si>
    <t>100's:1350-01L</t>
  </si>
  <si>
    <t>100's:100-01XL</t>
  </si>
  <si>
    <t>100's:500-01XXL</t>
  </si>
  <si>
    <t>100's:800-25M</t>
  </si>
  <si>
    <t>100's:300-25L</t>
  </si>
  <si>
    <t>100's:700-25XL</t>
  </si>
  <si>
    <t>100's:1200-25XXL</t>
  </si>
  <si>
    <t>Trans Number</t>
  </si>
  <si>
    <t>Year</t>
  </si>
  <si>
    <t>Units</t>
  </si>
  <si>
    <t>Dollars</t>
  </si>
  <si>
    <t>Location</t>
  </si>
  <si>
    <t>Betsy</t>
  </si>
  <si>
    <t>lip gloss</t>
  </si>
  <si>
    <t>south</t>
  </si>
  <si>
    <t>Q.1.Show  Number of sales transactions for each salesperson using Pivot table</t>
  </si>
  <si>
    <t>Hallagan</t>
  </si>
  <si>
    <t>foundation</t>
  </si>
  <si>
    <t>midwest</t>
  </si>
  <si>
    <t>Ashley</t>
  </si>
  <si>
    <t>lipstick</t>
  </si>
  <si>
    <t>Q.2. For each salesperson, the total revenue by products - Using Pivot table</t>
  </si>
  <si>
    <t>west</t>
  </si>
  <si>
    <t>Zaret</t>
  </si>
  <si>
    <t>Q.3. Total revenue by salesperson and year</t>
  </si>
  <si>
    <t>Colleen</t>
  </si>
  <si>
    <t>eye liner</t>
  </si>
  <si>
    <t>Cristina</t>
  </si>
  <si>
    <t>east</t>
  </si>
  <si>
    <t>mascara</t>
  </si>
  <si>
    <t>Emilee</t>
  </si>
  <si>
    <t>Jen</t>
  </si>
  <si>
    <t>Cici</t>
  </si>
  <si>
    <t xml:space="preserve"> Salesperson </t>
  </si>
  <si>
    <t>Count of Trans Number</t>
  </si>
  <si>
    <t>Total Revenue</t>
  </si>
  <si>
    <t>Salesperson</t>
  </si>
  <si>
    <t>Grand Total</t>
  </si>
  <si>
    <t xml:space="preserve"> Total Revenue </t>
  </si>
  <si>
    <t>City</t>
  </si>
  <si>
    <t>Sales Representative</t>
  </si>
  <si>
    <t>Category</t>
  </si>
  <si>
    <t>Sub-category</t>
  </si>
  <si>
    <t>Profit</t>
  </si>
  <si>
    <t>What is the percentage distribution of Sales provided by each Sales Representative</t>
  </si>
  <si>
    <t>South</t>
  </si>
  <si>
    <t>Ahmedabad</t>
  </si>
  <si>
    <t>Amit Singh</t>
  </si>
  <si>
    <t>Grocery</t>
  </si>
  <si>
    <t>Snacks</t>
  </si>
  <si>
    <t>Chandigarh</t>
  </si>
  <si>
    <t>Rani Gupta</t>
  </si>
  <si>
    <t>Electronics</t>
  </si>
  <si>
    <t>Laptops</t>
  </si>
  <si>
    <t>Show Year on Year change the sales for each Region</t>
  </si>
  <si>
    <t>Priya Mehta</t>
  </si>
  <si>
    <t>Furniture</t>
  </si>
  <si>
    <t>Tables</t>
  </si>
  <si>
    <t>Lucknow</t>
  </si>
  <si>
    <t>Fruits</t>
  </si>
  <si>
    <t>Chennai</t>
  </si>
  <si>
    <t>Vikram Rao</t>
  </si>
  <si>
    <t>Sofas</t>
  </si>
  <si>
    <t>Delhi</t>
  </si>
  <si>
    <t>Cameras</t>
  </si>
  <si>
    <t>Mobiles</t>
  </si>
  <si>
    <t>Anil Kumar</t>
  </si>
  <si>
    <t>Pune</t>
  </si>
  <si>
    <t>Pooja Agarwal</t>
  </si>
  <si>
    <t>% Distribution</t>
  </si>
  <si>
    <t>Clothing</t>
  </si>
  <si>
    <t>Shirts</t>
  </si>
  <si>
    <t>Chairs</t>
  </si>
  <si>
    <t>East</t>
  </si>
  <si>
    <t>Mumbai</t>
  </si>
  <si>
    <t>Neha Verma</t>
  </si>
  <si>
    <t>Aakash Kumar</t>
  </si>
  <si>
    <t>Rahul Sharma</t>
  </si>
  <si>
    <t>Pants</t>
  </si>
  <si>
    <t>Total Sales</t>
  </si>
  <si>
    <t>Hyderabad</t>
  </si>
  <si>
    <t>Jackets</t>
  </si>
  <si>
    <t>Year/Region</t>
  </si>
  <si>
    <t>Sita Reddy</t>
  </si>
  <si>
    <t>Kolkata</t>
  </si>
  <si>
    <t>Bangalore</t>
  </si>
  <si>
    <t>Vegetables</t>
  </si>
  <si>
    <t>Table 1</t>
  </si>
  <si>
    <t>Table 2</t>
  </si>
  <si>
    <t>Table 3</t>
  </si>
  <si>
    <t>Description</t>
  </si>
  <si>
    <t>Product Code</t>
  </si>
  <si>
    <t>Price in 2021</t>
  </si>
  <si>
    <t>Price in 2022</t>
  </si>
  <si>
    <t>Skirt</t>
  </si>
  <si>
    <t>Cap</t>
  </si>
  <si>
    <t>Sneakers</t>
  </si>
  <si>
    <t>Tie</t>
  </si>
  <si>
    <t>Sweatchirt</t>
  </si>
  <si>
    <t>Jacket</t>
  </si>
  <si>
    <t>Jeans</t>
  </si>
  <si>
    <t>Hoodie</t>
  </si>
  <si>
    <t>Suit</t>
  </si>
  <si>
    <t>Challenge:</t>
  </si>
  <si>
    <t>Price Changes</t>
  </si>
  <si>
    <t>Price Changes in %</t>
  </si>
  <si>
    <t>Find the Product Code for every item based on the information provided in table 1.</t>
  </si>
  <si>
    <t>Compute the Price Change  for each item by comparing the 2022 data from table 3 with the previous year's (2021) data from table 2.(Price in 2022-Price in 2021)</t>
  </si>
  <si>
    <t>Compute price change in % using the below formula.</t>
  </si>
  <si>
    <t>(Price in 2022-Price in 2021)/Price in 2021</t>
  </si>
  <si>
    <t>Id</t>
  </si>
  <si>
    <t>Employee</t>
  </si>
  <si>
    <t>Date of Birth</t>
  </si>
  <si>
    <t>Location (City)</t>
  </si>
  <si>
    <t>Department</t>
  </si>
  <si>
    <t>Salary, $</t>
  </si>
  <si>
    <t>Bonus</t>
  </si>
  <si>
    <t>Factor</t>
  </si>
  <si>
    <t>Benjamin Smith</t>
  </si>
  <si>
    <t>Ankara</t>
  </si>
  <si>
    <t>HR</t>
  </si>
  <si>
    <t>Production</t>
  </si>
  <si>
    <t>Olivia Johnson</t>
  </si>
  <si>
    <t>Istanbul</t>
  </si>
  <si>
    <t>R&amp;D</t>
  </si>
  <si>
    <t>Ethan Williams</t>
  </si>
  <si>
    <t>Baku</t>
  </si>
  <si>
    <t>Finance</t>
  </si>
  <si>
    <t>IT</t>
  </si>
  <si>
    <t>Ava Davis</t>
  </si>
  <si>
    <t>Supply Chain</t>
  </si>
  <si>
    <t>Noah Thompson</t>
  </si>
  <si>
    <t>Chicago</t>
  </si>
  <si>
    <t>-</t>
  </si>
  <si>
    <t>Emma Anderson</t>
  </si>
  <si>
    <t>Liam Wilson</t>
  </si>
  <si>
    <t>Toronto</t>
  </si>
  <si>
    <t>Sophia Martinez</t>
  </si>
  <si>
    <t xml:space="preserve">Calculate the bonuses for employees based on their salaries and their respective department factors. </t>
  </si>
  <si>
    <t>Mason Clark</t>
  </si>
  <si>
    <t>Use IFERROR function to handling error</t>
  </si>
  <si>
    <t>Isabella Rodriguez</t>
  </si>
  <si>
    <t>James Taylor</t>
  </si>
  <si>
    <t>Mia Scott</t>
  </si>
  <si>
    <t>Samuel Lewis</t>
  </si>
  <si>
    <t>Charlotte Walker</t>
  </si>
  <si>
    <t>Alexander Green</t>
  </si>
  <si>
    <t>Amelia Hall</t>
  </si>
  <si>
    <t>Henry Adams</t>
  </si>
  <si>
    <t>Harper Wright</t>
  </si>
  <si>
    <t>Daniel Baker</t>
  </si>
  <si>
    <t>Grace Turner</t>
  </si>
  <si>
    <t>William Mitchell</t>
  </si>
  <si>
    <t>Abigail White</t>
  </si>
  <si>
    <t>Michael Young</t>
  </si>
  <si>
    <t>Emily Harris</t>
  </si>
  <si>
    <t>Joseph Martin</t>
  </si>
  <si>
    <t>What is amount payable after quantity discount?</t>
  </si>
  <si>
    <t>Discount Table</t>
  </si>
  <si>
    <t>Per Unit Price</t>
  </si>
  <si>
    <t>Qty. Bought</t>
  </si>
  <si>
    <t>Amount Payable</t>
  </si>
  <si>
    <t>Quantity Bought (upto)</t>
  </si>
  <si>
    <t>% Discount</t>
  </si>
  <si>
    <t>Joseph</t>
  </si>
  <si>
    <t>John</t>
  </si>
  <si>
    <t>Josh</t>
  </si>
  <si>
    <t>Jamie</t>
  </si>
  <si>
    <t>Jackie</t>
  </si>
  <si>
    <t>Johnson</t>
  </si>
  <si>
    <t>Jonathan</t>
  </si>
  <si>
    <t>Jagjit</t>
  </si>
  <si>
    <t>Jairam</t>
  </si>
  <si>
    <t>Jessy</t>
  </si>
  <si>
    <t>Javed</t>
  </si>
  <si>
    <t>Jimmy</t>
  </si>
  <si>
    <t>Juno</t>
  </si>
  <si>
    <t>The table below shows the distance between two cities.</t>
  </si>
  <si>
    <t>Jaipur</t>
  </si>
  <si>
    <t>Kanpur</t>
  </si>
  <si>
    <t>Nagpur</t>
  </si>
  <si>
    <t>Visakhapatnam</t>
  </si>
  <si>
    <t>Indore</t>
  </si>
  <si>
    <t>Thane</t>
  </si>
  <si>
    <t>Bhopal</t>
  </si>
  <si>
    <t>Patna</t>
  </si>
  <si>
    <t>Vadodara</t>
  </si>
  <si>
    <t>Ghaziabad</t>
  </si>
  <si>
    <t>Ludhiana</t>
  </si>
  <si>
    <t>Agra</t>
  </si>
  <si>
    <t>City 1</t>
  </si>
  <si>
    <t>1. Create drop-down list in cell B27 and B28 such that one can pick cities mentioned in the first column and first row, respectively, of the table given below.</t>
  </si>
  <si>
    <t>City2</t>
  </si>
  <si>
    <t>2. Get distance between any choice of cities in cells B27 and B28 in cell B29 &amp; B30</t>
  </si>
  <si>
    <t>Distance (using Index)</t>
  </si>
  <si>
    <t>Distance (using Vlookup)</t>
  </si>
  <si>
    <t>Degree</t>
  </si>
  <si>
    <t>Subject 1</t>
  </si>
  <si>
    <t>Subject 2</t>
  </si>
  <si>
    <t>Subject 3</t>
  </si>
  <si>
    <t>Subject 4</t>
  </si>
  <si>
    <t>Subject 5</t>
  </si>
  <si>
    <t>Subject 6</t>
  </si>
  <si>
    <t>Subject 7</t>
  </si>
  <si>
    <t>Subject 8</t>
  </si>
  <si>
    <t>B.Sc.</t>
  </si>
  <si>
    <t>Statistics</t>
  </si>
  <si>
    <t>Mathematics</t>
  </si>
  <si>
    <t>Physics</t>
  </si>
  <si>
    <t>Chemistry</t>
  </si>
  <si>
    <t>Computer Science</t>
  </si>
  <si>
    <t>Botany</t>
  </si>
  <si>
    <t>Zoology</t>
  </si>
  <si>
    <t>Microbiology</t>
  </si>
  <si>
    <t>B.A.</t>
  </si>
  <si>
    <t>History</t>
  </si>
  <si>
    <t>Geography</t>
  </si>
  <si>
    <t>Political Science</t>
  </si>
  <si>
    <t>Philosophy</t>
  </si>
  <si>
    <t>English Literature</t>
  </si>
  <si>
    <t>Bengali Literature</t>
  </si>
  <si>
    <t>Sociology</t>
  </si>
  <si>
    <t>Sanskrit</t>
  </si>
  <si>
    <t>B.Com.</t>
  </si>
  <si>
    <t>Economics</t>
  </si>
  <si>
    <t>Business Statistics</t>
  </si>
  <si>
    <t>Financial Accounting</t>
  </si>
  <si>
    <t>Business Law</t>
  </si>
  <si>
    <t>Auditing</t>
  </si>
  <si>
    <t>BCA</t>
  </si>
  <si>
    <t>Web Development</t>
  </si>
  <si>
    <t>Operating Systems</t>
  </si>
  <si>
    <t>Computer Networks</t>
  </si>
  <si>
    <t>Data Science</t>
  </si>
  <si>
    <t>BBA</t>
  </si>
  <si>
    <t>Business Economics</t>
  </si>
  <si>
    <t>Principles of Management</t>
  </si>
  <si>
    <t>Marketing Management</t>
  </si>
  <si>
    <t>Human Resource Management</t>
  </si>
  <si>
    <t>Financial Management</t>
  </si>
  <si>
    <t>As a Data Analyst, your task is to create an Excel sheet for a college to record student information. Apply data validation to each column to ensure only accurate and relevant data is entered, preventing incorrect or invalid inputs.</t>
  </si>
  <si>
    <t>DOB</t>
  </si>
  <si>
    <t>Age</t>
  </si>
  <si>
    <t>Ph No.</t>
  </si>
  <si>
    <t>Email Id</t>
  </si>
  <si>
    <t>Subject</t>
  </si>
  <si>
    <t>Arjun Sharma</t>
  </si>
  <si>
    <r>
      <t>DOB:</t>
    </r>
    <r>
      <rPr>
        <sz val="11"/>
        <color rgb="FFFF0000"/>
        <rFont val="Calibri"/>
        <family val="2"/>
        <scheme val="minor"/>
      </rPr>
      <t xml:space="preserve"> Only date values can be entered and date should be greater than equals to 01/01/2000</t>
    </r>
  </si>
  <si>
    <t>Priya Iyer</t>
  </si>
  <si>
    <r>
      <t>Age:</t>
    </r>
    <r>
      <rPr>
        <sz val="11"/>
        <color rgb="FFFF0000"/>
        <rFont val="Calibri"/>
        <family val="2"/>
        <scheme val="minor"/>
      </rPr>
      <t xml:space="preserve"> Only integer numbers can be entered. Age should not be grater than 25</t>
    </r>
  </si>
  <si>
    <t>Rohan Mehta</t>
  </si>
  <si>
    <r>
      <t>Phone Number:</t>
    </r>
    <r>
      <rPr>
        <sz val="11"/>
        <color rgb="FFFF0000"/>
        <rFont val="Calibri"/>
        <family val="2"/>
        <scheme val="minor"/>
      </rPr>
      <t xml:space="preserve"> Only a 10-digit mobile number can be entered.</t>
    </r>
  </si>
  <si>
    <t>Kavita Rao</t>
  </si>
  <si>
    <r>
      <t>Email ID:</t>
    </r>
    <r>
      <rPr>
        <sz val="11"/>
        <color rgb="FFFF0000"/>
        <rFont val="Calibri"/>
        <family val="2"/>
        <scheme val="minor"/>
      </rPr>
      <t xml:space="preserve"> Only a valid email address with the "@gmail.com" domain can be entered.</t>
    </r>
  </si>
  <si>
    <t>Vijay Patil</t>
  </si>
  <si>
    <r>
      <t>Degree:</t>
    </r>
    <r>
      <rPr>
        <sz val="11"/>
        <color rgb="FFFF0000"/>
        <rFont val="Calibri"/>
        <family val="2"/>
        <scheme val="minor"/>
      </rPr>
      <t xml:space="preserve"> Create a dropdown list to allow selection of only the available degrees offered by the college.</t>
    </r>
  </si>
  <si>
    <t>Ananya Das</t>
  </si>
  <si>
    <r>
      <t>Subject:</t>
    </r>
    <r>
      <rPr>
        <sz val="11"/>
        <color rgb="FFFF0000"/>
        <rFont val="Calibri"/>
        <family val="2"/>
        <scheme val="minor"/>
      </rPr>
      <t xml:space="preserve"> Create a dropdown list to allow selection of subjects corresponding to the chosen degree in column F.</t>
    </r>
  </si>
  <si>
    <t>Neha Kapoor</t>
  </si>
  <si>
    <t>Rahul Verma</t>
  </si>
  <si>
    <t>Sneha Nair</t>
  </si>
  <si>
    <t>Sandeep Kar</t>
  </si>
  <si>
    <t>Pooja Joshi</t>
  </si>
  <si>
    <t>Amit Tiwari</t>
  </si>
  <si>
    <t>Rina Srivastava</t>
  </si>
  <si>
    <t>Sunita Agarwal</t>
  </si>
  <si>
    <t>Vikram Saxena</t>
  </si>
  <si>
    <t>Deepak Reddy</t>
  </si>
  <si>
    <t>Meera Banerjee</t>
  </si>
  <si>
    <t>Shweta Kulkarni</t>
  </si>
  <si>
    <t>Karthik Menon</t>
  </si>
  <si>
    <t>InvoiceNo</t>
  </si>
  <si>
    <t>SalesRep</t>
  </si>
  <si>
    <t>Price</t>
  </si>
  <si>
    <t>Joe</t>
  </si>
  <si>
    <t>Majestic</t>
  </si>
  <si>
    <t>Highight the rows where SalesRep Moe did a Sales greater than $500.</t>
  </si>
  <si>
    <t>Moe</t>
  </si>
  <si>
    <t>Quad</t>
  </si>
  <si>
    <t>Alpine</t>
  </si>
  <si>
    <t>Carlota</t>
  </si>
  <si>
    <t>Bellen</t>
  </si>
  <si>
    <t>Products</t>
  </si>
  <si>
    <t>Quantity</t>
  </si>
  <si>
    <t>Price, €</t>
  </si>
  <si>
    <t>Sales, €</t>
  </si>
  <si>
    <t>Sales, $</t>
  </si>
  <si>
    <t>Sales, ₼</t>
  </si>
  <si>
    <t>Start Date:</t>
  </si>
  <si>
    <t>Carretera</t>
  </si>
  <si>
    <t>End Date:</t>
  </si>
  <si>
    <t>Montana</t>
  </si>
  <si>
    <t>Paseo</t>
  </si>
  <si>
    <t>Velo</t>
  </si>
  <si>
    <t>Apply a two-color scale in the 'Sales, ₼' column (Column G), where sales 500and above are highlighted in green and sales below 500 in red.</t>
  </si>
  <si>
    <t>Apply a data bar in the Quantity column to visually represent values.</t>
  </si>
  <si>
    <t>Highlight records that fall between the start date and end date.</t>
  </si>
  <si>
    <t>Amarilla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</si>
</sst>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_);[Red]\(&quot;$&quot;#,##0.00\)"/>
    <numFmt numFmtId="165" formatCode="_(&quot;$&quot;* #,##0.00_);_(&quot;$&quot;* \(#,##0.00\);_(&quot;$&quot;* &quot;-&quot;??_);_(@_)"/>
    <numFmt numFmtId="166" formatCode="[$-409]d/mmm/yy;@"/>
    <numFmt numFmtId="167" formatCode="_(&quot;$&quot;* #,##0_);_(&quot;$&quot;* \(#,##0\);_(&quot;$&quot;* &quot;-&quot;??_);_(@_)"/>
    <numFmt numFmtId="168" formatCode="_-[$$-409]* #,##0.00_ ;_-[$$-409]* \-#,##0.00\ ;_-[$$-409]* &quot;-&quot;??_ ;_-@_ 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indexed="8"/>
      <name val="Arial"/>
      <family val="2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0" fontId="5" fillId="0" borderId="0"/>
    <xf numFmtId="9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110">
    <xf numFmtId="0" fontId="0" fillId="0" borderId="0" xfId="0"/>
    <xf numFmtId="0" fontId="1" fillId="0" borderId="4" xfId="2" applyBorder="1" applyAlignment="1">
      <alignment horizontal="center" vertical="center"/>
    </xf>
    <xf numFmtId="0" fontId="1" fillId="0" borderId="5" xfId="2" applyBorder="1" applyAlignment="1">
      <alignment horizontal="center" vertical="center"/>
    </xf>
    <xf numFmtId="14" fontId="1" fillId="0" borderId="5" xfId="2" applyNumberFormat="1" applyBorder="1" applyAlignment="1">
      <alignment horizontal="center" vertical="center"/>
    </xf>
    <xf numFmtId="1" fontId="1" fillId="0" borderId="5" xfId="2" applyNumberFormat="1" applyBorder="1" applyAlignment="1">
      <alignment horizontal="center" vertical="center"/>
    </xf>
    <xf numFmtId="165" fontId="1" fillId="0" borderId="5" xfId="1" applyFont="1" applyBorder="1" applyAlignment="1">
      <alignment horizontal="center" vertical="center"/>
    </xf>
    <xf numFmtId="0" fontId="1" fillId="0" borderId="6" xfId="2" applyBorder="1" applyAlignment="1">
      <alignment horizontal="center" vertical="center"/>
    </xf>
    <xf numFmtId="0" fontId="1" fillId="0" borderId="7" xfId="2" applyBorder="1" applyAlignment="1">
      <alignment horizontal="center" vertical="center"/>
    </xf>
    <xf numFmtId="0" fontId="1" fillId="0" borderId="8" xfId="2" applyBorder="1" applyAlignment="1">
      <alignment horizontal="center" vertical="center"/>
    </xf>
    <xf numFmtId="14" fontId="1" fillId="0" borderId="8" xfId="2" applyNumberFormat="1" applyBorder="1" applyAlignment="1">
      <alignment horizontal="center" vertical="center"/>
    </xf>
    <xf numFmtId="1" fontId="1" fillId="0" borderId="8" xfId="2" applyNumberFormat="1" applyBorder="1" applyAlignment="1">
      <alignment horizontal="center" vertical="center"/>
    </xf>
    <xf numFmtId="165" fontId="1" fillId="0" borderId="8" xfId="1" applyFont="1" applyBorder="1" applyAlignment="1">
      <alignment horizontal="center" vertical="center"/>
    </xf>
    <xf numFmtId="0" fontId="1" fillId="0" borderId="9" xfId="2" applyBorder="1" applyAlignment="1">
      <alignment horizontal="center" vertical="center"/>
    </xf>
    <xf numFmtId="14" fontId="0" fillId="0" borderId="5" xfId="0" applyNumberFormat="1" applyBorder="1"/>
    <xf numFmtId="164" fontId="0" fillId="0" borderId="5" xfId="0" applyNumberFormat="1" applyBorder="1"/>
    <xf numFmtId="0" fontId="0" fillId="0" borderId="5" xfId="0" applyBorder="1"/>
    <xf numFmtId="0" fontId="5" fillId="0" borderId="5" xfId="3" applyBorder="1"/>
    <xf numFmtId="1" fontId="5" fillId="0" borderId="5" xfId="3" applyNumberFormat="1" applyBorder="1"/>
    <xf numFmtId="0" fontId="0" fillId="0" borderId="5" xfId="0" applyBorder="1" applyAlignment="1">
      <alignment horizontal="center"/>
    </xf>
    <xf numFmtId="1" fontId="5" fillId="3" borderId="5" xfId="3" applyNumberFormat="1" applyFill="1" applyBorder="1"/>
    <xf numFmtId="0" fontId="3" fillId="2" borderId="5" xfId="0" applyFont="1" applyFill="1" applyBorder="1"/>
    <xf numFmtId="2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/>
    <xf numFmtId="0" fontId="7" fillId="0" borderId="0" xfId="0" applyFont="1"/>
    <xf numFmtId="0" fontId="7" fillId="0" borderId="5" xfId="0" applyFont="1" applyBorder="1"/>
    <xf numFmtId="0" fontId="8" fillId="0" borderId="0" xfId="0" applyFont="1"/>
    <xf numFmtId="2" fontId="7" fillId="0" borderId="5" xfId="0" applyNumberFormat="1" applyFont="1" applyBorder="1"/>
    <xf numFmtId="0" fontId="7" fillId="2" borderId="5" xfId="0" applyFont="1" applyFill="1" applyBorder="1"/>
    <xf numFmtId="2" fontId="7" fillId="2" borderId="5" xfId="0" applyNumberFormat="1" applyFont="1" applyFill="1" applyBorder="1"/>
    <xf numFmtId="9" fontId="7" fillId="2" borderId="5" xfId="4" applyFont="1" applyFill="1" applyBorder="1"/>
    <xf numFmtId="0" fontId="3" fillId="0" borderId="5" xfId="0" applyFont="1" applyBorder="1"/>
    <xf numFmtId="0" fontId="0" fillId="2" borderId="5" xfId="0" applyFill="1" applyBorder="1"/>
    <xf numFmtId="2" fontId="0" fillId="0" borderId="5" xfId="0" applyNumberFormat="1" applyBorder="1"/>
    <xf numFmtId="2" fontId="0" fillId="2" borderId="5" xfId="0" applyNumberFormat="1" applyFill="1" applyBorder="1"/>
    <xf numFmtId="166" fontId="0" fillId="0" borderId="5" xfId="0" applyNumberFormat="1" applyBorder="1"/>
    <xf numFmtId="0" fontId="3" fillId="0" borderId="0" xfId="0" applyFont="1"/>
    <xf numFmtId="9" fontId="0" fillId="0" borderId="5" xfId="4" applyFont="1" applyBorder="1"/>
    <xf numFmtId="167" fontId="0" fillId="0" borderId="5" xfId="1" applyNumberFormat="1" applyFont="1" applyBorder="1"/>
    <xf numFmtId="167" fontId="0" fillId="2" borderId="5" xfId="0" applyNumberFormat="1" applyFill="1" applyBorder="1"/>
    <xf numFmtId="10" fontId="0" fillId="0" borderId="0" xfId="0" applyNumberFormat="1"/>
    <xf numFmtId="14" fontId="0" fillId="0" borderId="0" xfId="0" applyNumberFormat="1" applyAlignment="1">
      <alignment horizontal="left"/>
    </xf>
    <xf numFmtId="14" fontId="6" fillId="4" borderId="5" xfId="0" applyNumberFormat="1" applyFont="1" applyFill="1" applyBorder="1" applyAlignment="1">
      <alignment horizontal="center" vertical="top"/>
    </xf>
    <xf numFmtId="0" fontId="0" fillId="2" borderId="5" xfId="0" applyFill="1" applyBorder="1" applyAlignment="1">
      <alignment horizontal="center"/>
    </xf>
    <xf numFmtId="14" fontId="0" fillId="0" borderId="5" xfId="0" applyNumberFormat="1" applyBorder="1" applyAlignment="1">
      <alignment vertical="center"/>
    </xf>
    <xf numFmtId="4" fontId="0" fillId="0" borderId="5" xfId="0" applyNumberFormat="1" applyBorder="1"/>
    <xf numFmtId="10" fontId="0" fillId="0" borderId="5" xfId="0" applyNumberFormat="1" applyBorder="1"/>
    <xf numFmtId="0" fontId="3" fillId="5" borderId="5" xfId="0" applyFont="1" applyFill="1" applyBorder="1"/>
    <xf numFmtId="0" fontId="10" fillId="0" borderId="0" xfId="0" applyFont="1"/>
    <xf numFmtId="0" fontId="10" fillId="0" borderId="0" xfId="0" applyFont="1" applyAlignment="1">
      <alignment horizontal="center" vertical="center"/>
    </xf>
    <xf numFmtId="49" fontId="11" fillId="0" borderId="5" xfId="0" applyNumberFormat="1" applyFont="1" applyBorder="1"/>
    <xf numFmtId="0" fontId="0" fillId="0" borderId="9" xfId="0" applyBorder="1"/>
    <xf numFmtId="0" fontId="4" fillId="6" borderId="9" xfId="0" applyFont="1" applyFill="1" applyBorder="1"/>
    <xf numFmtId="0" fontId="4" fillId="6" borderId="8" xfId="0" applyFont="1" applyFill="1" applyBorder="1"/>
    <xf numFmtId="0" fontId="10" fillId="0" borderId="0" xfId="0" applyFont="1" applyAlignment="1">
      <alignment horizontal="center"/>
    </xf>
    <xf numFmtId="0" fontId="1" fillId="0" borderId="0" xfId="2"/>
    <xf numFmtId="0" fontId="4" fillId="6" borderId="5" xfId="3" applyFont="1" applyFill="1" applyBorder="1"/>
    <xf numFmtId="0" fontId="2" fillId="6" borderId="5" xfId="0" applyFont="1" applyFill="1" applyBorder="1" applyAlignment="1">
      <alignment horizontal="center"/>
    </xf>
    <xf numFmtId="0" fontId="12" fillId="6" borderId="5" xfId="0" applyFont="1" applyFill="1" applyBorder="1"/>
    <xf numFmtId="49" fontId="2" fillId="6" borderId="5" xfId="0" applyNumberFormat="1" applyFont="1" applyFill="1" applyBorder="1" applyAlignment="1">
      <alignment horizontal="center"/>
    </xf>
    <xf numFmtId="0" fontId="2" fillId="6" borderId="5" xfId="0" applyFont="1" applyFill="1" applyBorder="1"/>
    <xf numFmtId="0" fontId="1" fillId="6" borderId="1" xfId="2" applyFill="1" applyBorder="1" applyAlignment="1">
      <alignment horizontal="center" vertical="center"/>
    </xf>
    <xf numFmtId="0" fontId="1" fillId="6" borderId="2" xfId="2" applyFill="1" applyBorder="1" applyAlignment="1">
      <alignment horizontal="center" vertical="center"/>
    </xf>
    <xf numFmtId="0" fontId="1" fillId="6" borderId="3" xfId="2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top"/>
    </xf>
    <xf numFmtId="0" fontId="2" fillId="10" borderId="5" xfId="0" applyFont="1" applyFill="1" applyBorder="1"/>
    <xf numFmtId="0" fontId="2" fillId="9" borderId="5" xfId="0" applyFont="1" applyFill="1" applyBorder="1"/>
    <xf numFmtId="0" fontId="2" fillId="8" borderId="5" xfId="0" applyFont="1" applyFill="1" applyBorder="1"/>
    <xf numFmtId="0" fontId="3" fillId="11" borderId="5" xfId="0" applyFont="1" applyFill="1" applyBorder="1"/>
    <xf numFmtId="0" fontId="2" fillId="7" borderId="5" xfId="0" applyFont="1" applyFill="1" applyBorder="1"/>
    <xf numFmtId="0" fontId="4" fillId="8" borderId="5" xfId="3" applyFont="1" applyFill="1" applyBorder="1"/>
    <xf numFmtId="0" fontId="2" fillId="6" borderId="5" xfId="0" applyFont="1" applyFill="1" applyBorder="1" applyAlignment="1">
      <alignment horizontal="center" vertical="center"/>
    </xf>
    <xf numFmtId="9" fontId="0" fillId="0" borderId="5" xfId="0" applyNumberFormat="1" applyBorder="1"/>
    <xf numFmtId="0" fontId="10" fillId="0" borderId="0" xfId="0" applyFont="1" applyAlignment="1">
      <alignment horizontal="left"/>
    </xf>
    <xf numFmtId="0" fontId="4" fillId="6" borderId="5" xfId="3" applyFont="1" applyFill="1" applyBorder="1" applyAlignment="1">
      <alignment textRotation="90"/>
    </xf>
    <xf numFmtId="0" fontId="1" fillId="0" borderId="5" xfId="2" applyBorder="1"/>
    <xf numFmtId="4" fontId="0" fillId="2" borderId="5" xfId="0" applyNumberFormat="1" applyFill="1" applyBorder="1"/>
    <xf numFmtId="2" fontId="0" fillId="5" borderId="5" xfId="0" applyNumberFormat="1" applyFill="1" applyBorder="1"/>
    <xf numFmtId="0" fontId="0" fillId="0" borderId="0" xfId="0" applyNumberFormat="1"/>
    <xf numFmtId="0" fontId="0" fillId="0" borderId="0" xfId="0" pivotButton="1"/>
    <xf numFmtId="165" fontId="0" fillId="0" borderId="0" xfId="0" applyNumberFormat="1"/>
    <xf numFmtId="168" fontId="0" fillId="0" borderId="0" xfId="0" pivotButton="1" applyNumberFormat="1"/>
    <xf numFmtId="168" fontId="0" fillId="0" borderId="0" xfId="0" applyNumberFormat="1"/>
    <xf numFmtId="1" fontId="0" fillId="0" borderId="0" xfId="0" applyNumberFormat="1"/>
    <xf numFmtId="0" fontId="0" fillId="0" borderId="10" xfId="0" applyBorder="1" applyAlignment="1">
      <alignment horizontal="left"/>
    </xf>
    <xf numFmtId="1" fontId="0" fillId="0" borderId="10" xfId="0" applyNumberFormat="1" applyBorder="1"/>
    <xf numFmtId="10" fontId="0" fillId="0" borderId="10" xfId="0" applyNumberFormat="1" applyBorder="1"/>
    <xf numFmtId="0" fontId="0" fillId="0" borderId="10" xfId="0" applyBorder="1"/>
    <xf numFmtId="0" fontId="13" fillId="6" borderId="8" xfId="0" applyFont="1" applyFill="1" applyBorder="1" applyAlignment="1">
      <alignment horizontal="center" vertical="top"/>
    </xf>
    <xf numFmtId="0" fontId="13" fillId="6" borderId="2" xfId="0" applyFont="1" applyFill="1" applyBorder="1" applyAlignment="1">
      <alignment horizontal="center" vertical="top"/>
    </xf>
    <xf numFmtId="1" fontId="13" fillId="6" borderId="2" xfId="0" applyNumberFormat="1" applyFont="1" applyFill="1" applyBorder="1" applyAlignment="1">
      <alignment horizontal="center" vertical="top"/>
    </xf>
    <xf numFmtId="1" fontId="0" fillId="0" borderId="5" xfId="0" applyNumberFormat="1" applyBorder="1"/>
    <xf numFmtId="1" fontId="0" fillId="0" borderId="10" xfId="0" applyNumberFormat="1" applyBorder="1" applyAlignment="1">
      <alignment horizontal="left"/>
    </xf>
    <xf numFmtId="0" fontId="13" fillId="6" borderId="3" xfId="0" applyFont="1" applyFill="1" applyBorder="1" applyAlignment="1">
      <alignment horizontal="center" vertical="top"/>
    </xf>
    <xf numFmtId="0" fontId="13" fillId="6" borderId="11" xfId="0" applyFont="1" applyFill="1" applyBorder="1" applyAlignment="1">
      <alignment horizontal="center" vertical="top"/>
    </xf>
    <xf numFmtId="167" fontId="0" fillId="0" borderId="0" xfId="0" applyNumberFormat="1"/>
    <xf numFmtId="0" fontId="14" fillId="0" borderId="5" xfId="5" applyBorder="1"/>
    <xf numFmtId="14" fontId="0" fillId="12" borderId="9" xfId="0" applyNumberFormat="1" applyFont="1" applyFill="1" applyBorder="1"/>
    <xf numFmtId="2" fontId="0" fillId="12" borderId="9" xfId="0" applyNumberFormat="1" applyFont="1" applyFill="1" applyBorder="1"/>
    <xf numFmtId="0" fontId="0" fillId="12" borderId="9" xfId="0" applyFont="1" applyFill="1" applyBorder="1"/>
    <xf numFmtId="164" fontId="0" fillId="12" borderId="9" xfId="0" applyNumberFormat="1" applyFont="1" applyFill="1" applyBorder="1"/>
    <xf numFmtId="2" fontId="0" fillId="12" borderId="8" xfId="0" applyNumberFormat="1" applyFont="1" applyFill="1" applyBorder="1"/>
    <xf numFmtId="14" fontId="0" fillId="0" borderId="9" xfId="0" applyNumberFormat="1" applyFont="1" applyBorder="1"/>
    <xf numFmtId="0" fontId="0" fillId="0" borderId="9" xfId="0" applyFont="1" applyBorder="1"/>
    <xf numFmtId="164" fontId="0" fillId="0" borderId="9" xfId="0" applyNumberFormat="1" applyFont="1" applyBorder="1"/>
    <xf numFmtId="2" fontId="0" fillId="0" borderId="8" xfId="0" applyNumberFormat="1" applyFont="1" applyBorder="1"/>
    <xf numFmtId="14" fontId="0" fillId="12" borderId="6" xfId="0" applyNumberFormat="1" applyFont="1" applyFill="1" applyBorder="1"/>
    <xf numFmtId="0" fontId="0" fillId="12" borderId="6" xfId="0" applyFont="1" applyFill="1" applyBorder="1"/>
    <xf numFmtId="164" fontId="0" fillId="12" borderId="6" xfId="0" applyNumberFormat="1" applyFont="1" applyFill="1" applyBorder="1"/>
    <xf numFmtId="2" fontId="0" fillId="12" borderId="5" xfId="0" applyNumberFormat="1" applyFont="1" applyFill="1" applyBorder="1"/>
  </cellXfs>
  <cellStyles count="6">
    <cellStyle name="Currency" xfId="1" builtinId="4"/>
    <cellStyle name="Hyperlink" xfId="5" builtinId="8"/>
    <cellStyle name="Normal" xfId="0" builtinId="0"/>
    <cellStyle name="Normal 2" xfId="2" xr:uid="{00000000-0005-0000-0000-000002000000}"/>
    <cellStyle name="Normal 2 2" xfId="3" xr:uid="{00000000-0005-0000-0000-000003000000}"/>
    <cellStyle name="Per cent" xfId="4" builtinId="5"/>
  </cellStyles>
  <dxfs count="25">
    <dxf>
      <font>
        <color theme="1"/>
      </font>
      <fill>
        <patternFill patternType="solid">
          <bgColor theme="4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E63946"/>
      </font>
    </dxf>
    <dxf>
      <font>
        <color theme="0"/>
      </font>
      <fill>
        <patternFill patternType="solid">
          <bgColor rgb="FFFF0000"/>
        </patternFill>
      </fill>
    </dxf>
    <dxf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dd/mm/yy"/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relative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-0.499984740745262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 tint="-0.24994659260841701"/>
        </patternFill>
      </fill>
    </dxf>
    <dxf>
      <numFmt numFmtId="168" formatCode="_-[$$-409]* #,##0.00_ ;_-[$$-409]* \-#,##0.00\ ;_-[$$-409]* &quot;-&quot;??_ ;_-@_ "/>
    </dxf>
    <dxf>
      <numFmt numFmtId="168" formatCode="_-[$$-409]* #,##0.00_ ;_-[$$-409]* \-#,##0.00\ ;_-[$$-409]* &quot;-&quot;??_ ;_-@_ "/>
    </dxf>
    <dxf>
      <numFmt numFmtId="168" formatCode="_-[$$-409]* #,##0.00_ ;_-[$$-409]* \-#,##0.00\ ;_-[$$-409]* &quot;-&quot;??_ ;_-@_ "/>
    </dxf>
    <dxf>
      <numFmt numFmtId="168" formatCode="_-[$$-409]* #,##0.00_ ;_-[$$-409]* \-#,##0.00\ ;_-[$$-409]* &quot;-&quot;??_ ;_-@_ "/>
    </dxf>
    <dxf>
      <numFmt numFmtId="168" formatCode="_-[$$-409]* #,##0.00_ ;_-[$$-409]* \-#,##0.00\ ;_-[$$-409]* &quot;-&quot;??_ ;_-@_ "/>
    </dxf>
    <dxf>
      <numFmt numFmtId="168" formatCode="_-[$$-409]* #,##0.00_ ;_-[$$-409]* \-#,##0.00\ ;_-[$$-409]* &quot;-&quot;??_ ;_-@_ "/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0.600462499999" createdVersion="8" refreshedVersion="8" minRefreshableVersion="3" recordCount="1891" xr:uid="{455108C8-06B2-48B4-BD69-28F5DD395B28}">
  <cacheSource type="worksheet">
    <worksheetSource name="Table1"/>
  </cacheSource>
  <cacheFields count="8">
    <cacheField name="Trans Number" numFmtId="0">
      <sharedItems containsSemiMixedTypes="0" containsString="0" containsNumber="1" containsInteger="1" minValue="1" maxValue="1900"/>
    </cacheField>
    <cacheField name="Name" numFmtId="0">
      <sharedItems count="9">
        <s v="Betsy"/>
        <s v="Hallagan"/>
        <s v="Ashley"/>
        <s v="Zaret"/>
        <s v="Colleen"/>
        <s v="Cristina"/>
        <s v="Emilee"/>
        <s v="Jen"/>
        <s v="Cici"/>
      </sharedItems>
    </cacheField>
    <cacheField name="Date" numFmtId="14">
      <sharedItems containsSemiMixedTypes="0" containsNonDate="0" containsDate="1" containsString="0" minDate="2004-01-04T00:00:00" maxDate="2006-12-29T00:00:00" count="100">
        <d v="2004-04-01T00:00:00"/>
        <d v="2004-03-10T00:00:00"/>
        <d v="2005-02-25T00:00:00"/>
        <d v="2006-05-22T00:00:00"/>
        <d v="2004-06-17T00:00:00"/>
        <d v="2005-11-27T00:00:00"/>
        <d v="2004-03-21T00:00:00"/>
        <d v="2006-12-17T00:00:00"/>
        <d v="2006-07-05T00:00:00"/>
        <d v="2006-08-07T00:00:00"/>
        <d v="2004-11-29T00:00:00"/>
        <d v="2004-11-18T00:00:00"/>
        <d v="2005-08-31T00:00:00"/>
        <d v="2005-01-01T00:00:00"/>
        <d v="2006-09-20T00:00:00"/>
        <d v="2004-04-12T00:00:00"/>
        <d v="2006-04-30T00:00:00"/>
        <d v="2004-10-27T00:00:00"/>
        <d v="2006-06-02T00:00:00"/>
        <d v="2004-09-24T00:00:00"/>
        <d v="2006-02-01T00:00:00"/>
        <d v="2006-12-06T00:00:00"/>
        <d v="2005-09-22T00:00:00"/>
        <d v="2006-03-28T00:00:00"/>
        <d v="2006-09-09T00:00:00"/>
        <d v="2006-02-23T00:00:00"/>
        <d v="2006-06-24T00:00:00"/>
        <d v="2004-02-06T00:00:00"/>
        <d v="2005-04-10T00:00:00"/>
        <d v="2004-06-06T00:00:00"/>
        <d v="2005-08-09T00:00:00"/>
        <d v="2005-05-24T00:00:00"/>
        <d v="2005-06-15T00:00:00"/>
        <d v="2004-01-04T00:00:00"/>
        <d v="2005-07-07T00:00:00"/>
        <d v="2004-06-28T00:00:00"/>
        <d v="2005-12-08T00:00:00"/>
        <d v="2005-11-16T00:00:00"/>
        <d v="2004-08-11T00:00:00"/>
        <d v="2006-05-11T00:00:00"/>
        <d v="2005-11-05T00:00:00"/>
        <d v="2006-07-16T00:00:00"/>
        <d v="2005-01-23T00:00:00"/>
        <d v="2004-12-21T00:00:00"/>
        <d v="2005-06-26T00:00:00"/>
        <d v="2006-03-06T00:00:00"/>
        <d v="2004-01-15T00:00:00"/>
        <d v="2005-02-14T00:00:00"/>
        <d v="2005-03-30T00:00:00"/>
        <d v="2006-01-10T00:00:00"/>
        <d v="2005-07-29T00:00:00"/>
        <d v="2004-11-07T00:00:00"/>
        <d v="2006-10-01T00:00:00"/>
        <d v="2004-02-17T00:00:00"/>
        <d v="2005-12-19T00:00:00"/>
        <d v="2005-03-19T00:00:00"/>
        <d v="2006-06-13T00:00:00"/>
        <d v="2006-08-18T00:00:00"/>
        <d v="2004-05-26T00:00:00"/>
        <d v="2005-08-20T00:00:00"/>
        <d v="2006-11-25T00:00:00"/>
        <d v="2006-01-21T00:00:00"/>
        <d v="2005-10-03T00:00:00"/>
        <d v="2005-05-13T00:00:00"/>
        <d v="2006-03-17T00:00:00"/>
        <d v="2004-09-13T00:00:00"/>
        <d v="2005-03-08T00:00:00"/>
        <d v="2004-10-05T00:00:00"/>
        <d v="2005-10-25T00:00:00"/>
        <d v="2006-07-27T00:00:00"/>
        <d v="2004-04-23T00:00:00"/>
        <d v="2006-02-12T00:00:00"/>
        <d v="2006-11-14T00:00:00"/>
        <d v="2004-07-09T00:00:00"/>
        <d v="2006-12-28T00:00:00"/>
        <d v="2005-02-03T00:00:00"/>
        <d v="2006-10-23T00:00:00"/>
        <d v="2006-11-03T00:00:00"/>
        <d v="2004-09-02T00:00:00"/>
        <d v="2004-10-16T00:00:00"/>
        <d v="2005-12-30T00:00:00"/>
        <d v="2005-09-11T00:00:00"/>
        <d v="2004-05-15T00:00:00"/>
        <d v="2006-10-12T00:00:00"/>
        <d v="2005-10-14T00:00:00"/>
        <d v="2004-02-28T00:00:00"/>
        <d v="2004-07-20T00:00:00"/>
        <d v="2004-05-04T00:00:00"/>
        <d v="2004-08-22T00:00:00"/>
        <d v="2004-12-10T00:00:00"/>
        <d v="2006-04-19T00:00:00"/>
        <d v="2005-05-02T00:00:00"/>
        <d v="2005-04-21T00:00:00"/>
        <d v="2006-08-29T00:00:00"/>
        <d v="2005-01-12T00:00:00"/>
        <d v="2005-07-18T00:00:00"/>
        <d v="2004-07-31T00:00:00"/>
        <d v="2004-01-26T00:00:00"/>
        <d v="2005-06-04T00:00:00"/>
        <d v="2006-04-08T00:00:00"/>
      </sharedItems>
    </cacheField>
    <cacheField name="Year" numFmtId="1">
      <sharedItems containsSemiMixedTypes="0" containsString="0" containsNumber="1" containsInteger="1" minValue="2004" maxValue="2006" count="3">
        <n v="2004"/>
        <n v="2005"/>
        <n v="2006"/>
      </sharedItems>
    </cacheField>
    <cacheField name="Product" numFmtId="0">
      <sharedItems count="5">
        <s v="lip gloss"/>
        <s v="foundation"/>
        <s v="lipstick"/>
        <s v="eye liner"/>
        <s v="mascara"/>
      </sharedItems>
    </cacheField>
    <cacheField name="Units" numFmtId="1">
      <sharedItems containsSemiMixedTypes="0" containsString="0" containsNumber="1" containsInteger="1" minValue="0" maxValue="95"/>
    </cacheField>
    <cacheField name="Dollars" numFmtId="165">
      <sharedItems containsSemiMixedTypes="0" containsString="0" containsNumber="1" minValue="0.12859943512322669" maxValue="287.79738255613682"/>
    </cacheField>
    <cacheField name="Location" numFmtId="0">
      <sharedItems/>
    </cacheField>
  </cacheFields>
  <extLst>
    <ext xmlns:x14="http://schemas.microsoft.com/office/spreadsheetml/2009/9/main" uri="{725AE2AE-9491-48be-B2B4-4EB974FC3084}">
      <x14:pivotCacheDefinition pivotCacheId="23079170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1">
  <r>
    <n v="1"/>
    <x v="0"/>
    <x v="0"/>
    <x v="0"/>
    <x v="0"/>
    <n v="45"/>
    <n v="137.20455832336393"/>
    <s v="south"/>
  </r>
  <r>
    <n v="2"/>
    <x v="1"/>
    <x v="1"/>
    <x v="0"/>
    <x v="1"/>
    <n v="50"/>
    <n v="152.00730307485438"/>
    <s v="midwest"/>
  </r>
  <r>
    <n v="3"/>
    <x v="2"/>
    <x v="2"/>
    <x v="1"/>
    <x v="2"/>
    <n v="9"/>
    <n v="28.719483117139745"/>
    <s v="midwest"/>
  </r>
  <r>
    <n v="4"/>
    <x v="1"/>
    <x v="3"/>
    <x v="2"/>
    <x v="0"/>
    <n v="55"/>
    <n v="167.07532251655616"/>
    <s v="west"/>
  </r>
  <r>
    <n v="5"/>
    <x v="3"/>
    <x v="4"/>
    <x v="0"/>
    <x v="0"/>
    <n v="43"/>
    <n v="130.60287243901442"/>
    <s v="midwest"/>
  </r>
  <r>
    <n v="6"/>
    <x v="4"/>
    <x v="5"/>
    <x v="1"/>
    <x v="3"/>
    <n v="58"/>
    <n v="175.99097407072162"/>
    <s v="midwest"/>
  </r>
  <r>
    <n v="7"/>
    <x v="5"/>
    <x v="6"/>
    <x v="0"/>
    <x v="3"/>
    <n v="8"/>
    <n v="25.800692176216739"/>
    <s v="midwest"/>
  </r>
  <r>
    <n v="8"/>
    <x v="4"/>
    <x v="7"/>
    <x v="2"/>
    <x v="0"/>
    <n v="72"/>
    <n v="217.83965386113226"/>
    <s v="midwest"/>
  </r>
  <r>
    <n v="9"/>
    <x v="2"/>
    <x v="8"/>
    <x v="2"/>
    <x v="3"/>
    <n v="75"/>
    <n v="226.64232685518837"/>
    <s v="south"/>
  </r>
  <r>
    <n v="10"/>
    <x v="0"/>
    <x v="9"/>
    <x v="2"/>
    <x v="0"/>
    <n v="24"/>
    <n v="73.502342173405509"/>
    <s v="east"/>
  </r>
  <r>
    <n v="11"/>
    <x v="2"/>
    <x v="10"/>
    <x v="0"/>
    <x v="4"/>
    <n v="43"/>
    <n v="130.83536844241408"/>
    <s v="east"/>
  </r>
  <r>
    <n v="12"/>
    <x v="2"/>
    <x v="11"/>
    <x v="0"/>
    <x v="0"/>
    <n v="23"/>
    <n v="71.034367691096961"/>
    <s v="west"/>
  </r>
  <r>
    <n v="13"/>
    <x v="6"/>
    <x v="12"/>
    <x v="1"/>
    <x v="0"/>
    <n v="49"/>
    <n v="149.59279694174981"/>
    <s v="west"/>
  </r>
  <r>
    <n v="14"/>
    <x v="1"/>
    <x v="13"/>
    <x v="1"/>
    <x v="3"/>
    <n v="18"/>
    <n v="56.471999230139573"/>
    <s v="south"/>
  </r>
  <r>
    <n v="15"/>
    <x v="3"/>
    <x v="14"/>
    <x v="2"/>
    <x v="1"/>
    <n v="8"/>
    <n v="21.99"/>
    <s v="east"/>
  </r>
  <r>
    <n v="16"/>
    <x v="6"/>
    <x v="15"/>
    <x v="0"/>
    <x v="4"/>
    <n v="45"/>
    <n v="137.39037590916232"/>
    <s v="east"/>
  </r>
  <r>
    <n v="17"/>
    <x v="4"/>
    <x v="16"/>
    <x v="2"/>
    <x v="4"/>
    <n v="66"/>
    <n v="199.65433473774931"/>
    <s v="south"/>
  </r>
  <r>
    <n v="18"/>
    <x v="7"/>
    <x v="12"/>
    <x v="1"/>
    <x v="0"/>
    <n v="88"/>
    <n v="265.18755145539586"/>
    <s v="midwest"/>
  </r>
  <r>
    <n v="19"/>
    <x v="7"/>
    <x v="17"/>
    <x v="0"/>
    <x v="3"/>
    <n v="78"/>
    <n v="236.14697789113248"/>
    <s v="south"/>
  </r>
  <r>
    <n v="20"/>
    <x v="3"/>
    <x v="5"/>
    <x v="1"/>
    <x v="0"/>
    <n v="57"/>
    <n v="173.11529461915569"/>
    <s v="midwest"/>
  </r>
  <r>
    <n v="21"/>
    <x v="3"/>
    <x v="18"/>
    <x v="2"/>
    <x v="4"/>
    <n v="12"/>
    <n v="38.081435709433634"/>
    <s v="west"/>
  </r>
  <r>
    <n v="22"/>
    <x v="0"/>
    <x v="19"/>
    <x v="0"/>
    <x v="3"/>
    <n v="28"/>
    <n v="86.512775700642493"/>
    <s v="midwest"/>
  </r>
  <r>
    <n v="23"/>
    <x v="4"/>
    <x v="20"/>
    <x v="2"/>
    <x v="4"/>
    <n v="25"/>
    <n v="77.307151643363554"/>
    <s v="midwest"/>
  </r>
  <r>
    <n v="26"/>
    <x v="6"/>
    <x v="21"/>
    <x v="2"/>
    <x v="0"/>
    <n v="24"/>
    <n v="74.622434460070465"/>
    <s v="west"/>
  </r>
  <r>
    <n v="27"/>
    <x v="7"/>
    <x v="15"/>
    <x v="0"/>
    <x v="2"/>
    <n v="38"/>
    <n v="115.98517718889856"/>
    <s v="midwest"/>
  </r>
  <r>
    <n v="28"/>
    <x v="5"/>
    <x v="22"/>
    <x v="1"/>
    <x v="1"/>
    <n v="77"/>
    <n v="233.05438870487612"/>
    <s v="midwest"/>
  </r>
  <r>
    <n v="32"/>
    <x v="5"/>
    <x v="23"/>
    <x v="2"/>
    <x v="0"/>
    <n v="53"/>
    <n v="161.46395235499537"/>
    <s v="midwest"/>
  </r>
  <r>
    <n v="33"/>
    <x v="8"/>
    <x v="4"/>
    <x v="0"/>
    <x v="4"/>
    <n v="41"/>
    <n v="125.2697558819725"/>
    <s v="west"/>
  </r>
  <r>
    <n v="34"/>
    <x v="3"/>
    <x v="24"/>
    <x v="2"/>
    <x v="4"/>
    <n v="19"/>
    <n v="59.153898700773034"/>
    <s v="west"/>
  </r>
  <r>
    <n v="39"/>
    <x v="8"/>
    <x v="25"/>
    <x v="2"/>
    <x v="1"/>
    <n v="9"/>
    <n v="24.625751249139931"/>
    <s v="west"/>
  </r>
  <r>
    <n v="40"/>
    <x v="1"/>
    <x v="26"/>
    <x v="2"/>
    <x v="1"/>
    <n v="38"/>
    <n v="115.58433775100286"/>
    <s v="south"/>
  </r>
  <r>
    <n v="41"/>
    <x v="6"/>
    <x v="27"/>
    <x v="0"/>
    <x v="3"/>
    <n v="25"/>
    <n v="76.562095842195291"/>
    <s v="south"/>
  </r>
  <r>
    <n v="42"/>
    <x v="6"/>
    <x v="28"/>
    <x v="1"/>
    <x v="4"/>
    <n v="19"/>
    <n v="59.382749361194016"/>
    <s v="midwest"/>
  </r>
  <r>
    <n v="43"/>
    <x v="0"/>
    <x v="0"/>
    <x v="0"/>
    <x v="1"/>
    <n v="86"/>
    <n v="259.85996934004856"/>
    <s v="west"/>
  </r>
  <r>
    <n v="44"/>
    <x v="4"/>
    <x v="29"/>
    <x v="0"/>
    <x v="0"/>
    <n v="55"/>
    <n v="167.11761356978838"/>
    <s v="midwest"/>
  </r>
  <r>
    <n v="45"/>
    <x v="6"/>
    <x v="14"/>
    <x v="2"/>
    <x v="0"/>
    <n v="2"/>
    <n v="7.8483600384211831"/>
    <s v="east"/>
  </r>
  <r>
    <n v="46"/>
    <x v="2"/>
    <x v="30"/>
    <x v="1"/>
    <x v="4"/>
    <n v="93"/>
    <n v="280.68747862762837"/>
    <s v="east"/>
  </r>
  <r>
    <n v="47"/>
    <x v="3"/>
    <x v="19"/>
    <x v="0"/>
    <x v="3"/>
    <n v="14"/>
    <n v="43.931553656204748"/>
    <s v="west"/>
  </r>
  <r>
    <n v="48"/>
    <x v="6"/>
    <x v="31"/>
    <x v="1"/>
    <x v="3"/>
    <n v="37"/>
    <n v="113.03491000904664"/>
    <s v="south"/>
  </r>
  <r>
    <n v="49"/>
    <x v="0"/>
    <x v="11"/>
    <x v="0"/>
    <x v="1"/>
    <n v="63"/>
    <n v="190.69511057123685"/>
    <s v="west"/>
  </r>
  <r>
    <n v="50"/>
    <x v="3"/>
    <x v="11"/>
    <x v="0"/>
    <x v="0"/>
    <n v="1"/>
    <n v="5.599704779498877"/>
    <s v="west"/>
  </r>
  <r>
    <n v="51"/>
    <x v="3"/>
    <x v="32"/>
    <x v="1"/>
    <x v="3"/>
    <n v="24"/>
    <n v="73.599272692165783"/>
    <s v="midwest"/>
  </r>
  <r>
    <n v="52"/>
    <x v="1"/>
    <x v="33"/>
    <x v="0"/>
    <x v="3"/>
    <n v="83"/>
    <n v="250.33273832124888"/>
    <s v="midwest"/>
  </r>
  <r>
    <n v="53"/>
    <x v="8"/>
    <x v="34"/>
    <x v="1"/>
    <x v="3"/>
    <n v="49"/>
    <n v="148.50659729480034"/>
    <s v="midwest"/>
  </r>
  <r>
    <n v="54"/>
    <x v="5"/>
    <x v="28"/>
    <x v="1"/>
    <x v="0"/>
    <n v="26"/>
    <n v="80.197912185633001"/>
    <s v="west"/>
  </r>
  <r>
    <n v="55"/>
    <x v="7"/>
    <x v="3"/>
    <x v="2"/>
    <x v="0"/>
    <n v="35"/>
    <n v="107.99264815962536"/>
    <s v="west"/>
  </r>
  <r>
    <n v="56"/>
    <x v="5"/>
    <x v="15"/>
    <x v="0"/>
    <x v="0"/>
    <n v="8"/>
    <n v="26.909399775034267"/>
    <s v="south"/>
  </r>
  <r>
    <n v="57"/>
    <x v="8"/>
    <x v="35"/>
    <x v="0"/>
    <x v="4"/>
    <n v="49"/>
    <n v="148.777847479907"/>
    <s v="midwest"/>
  </r>
  <r>
    <n v="58"/>
    <x v="5"/>
    <x v="15"/>
    <x v="0"/>
    <x v="1"/>
    <n v="34"/>
    <n v="104.09375694795658"/>
    <s v="east"/>
  </r>
  <r>
    <n v="59"/>
    <x v="5"/>
    <x v="36"/>
    <x v="1"/>
    <x v="0"/>
    <n v="8"/>
    <n v="26.236564211223342"/>
    <s v="midwest"/>
  </r>
  <r>
    <n v="60"/>
    <x v="7"/>
    <x v="17"/>
    <x v="0"/>
    <x v="4"/>
    <n v="89"/>
    <n v="269.09085017901094"/>
    <s v="east"/>
  </r>
  <r>
    <n v="61"/>
    <x v="4"/>
    <x v="37"/>
    <x v="1"/>
    <x v="1"/>
    <n v="62"/>
    <n v="189.25415891346557"/>
    <s v="midwest"/>
  </r>
  <r>
    <n v="62"/>
    <x v="6"/>
    <x v="38"/>
    <x v="0"/>
    <x v="1"/>
    <n v="23"/>
    <n v="71.313211840267556"/>
    <s v="south"/>
  </r>
  <r>
    <n v="63"/>
    <x v="8"/>
    <x v="4"/>
    <x v="0"/>
    <x v="3"/>
    <n v="95"/>
    <n v="287.76081692141696"/>
    <s v="midwest"/>
  </r>
  <r>
    <n v="64"/>
    <x v="6"/>
    <x v="39"/>
    <x v="2"/>
    <x v="3"/>
    <n v="41"/>
    <n v="125.00018840758105"/>
    <s v="south"/>
  </r>
  <r>
    <n v="65"/>
    <x v="2"/>
    <x v="28"/>
    <x v="1"/>
    <x v="0"/>
    <n v="6"/>
    <n v="15.942861162173479"/>
    <s v="midwest"/>
  </r>
  <r>
    <n v="66"/>
    <x v="0"/>
    <x v="13"/>
    <x v="1"/>
    <x v="4"/>
    <n v="84"/>
    <n v="253.99061782802139"/>
    <s v="south"/>
  </r>
  <r>
    <n v="67"/>
    <x v="1"/>
    <x v="40"/>
    <x v="1"/>
    <x v="1"/>
    <n v="63"/>
    <n v="191.36713896782123"/>
    <s v="south"/>
  </r>
  <r>
    <n v="68"/>
    <x v="3"/>
    <x v="41"/>
    <x v="2"/>
    <x v="0"/>
    <n v="0"/>
    <n v="2.3682330895483967"/>
    <s v="west"/>
  </r>
  <r>
    <n v="69"/>
    <x v="5"/>
    <x v="42"/>
    <x v="1"/>
    <x v="3"/>
    <n v="73"/>
    <n v="221.4068752836437"/>
    <s v="east"/>
  </r>
  <r>
    <n v="70"/>
    <x v="6"/>
    <x v="43"/>
    <x v="0"/>
    <x v="3"/>
    <n v="95"/>
    <n v="287.05320060576679"/>
    <s v="midwest"/>
  </r>
  <r>
    <n v="71"/>
    <x v="2"/>
    <x v="37"/>
    <x v="1"/>
    <x v="2"/>
    <n v="93"/>
    <n v="280.76798505156279"/>
    <s v="west"/>
  </r>
  <r>
    <n v="72"/>
    <x v="3"/>
    <x v="4"/>
    <x v="0"/>
    <x v="2"/>
    <n v="54"/>
    <n v="163.86605406277587"/>
    <s v="south"/>
  </r>
  <r>
    <n v="73"/>
    <x v="5"/>
    <x v="44"/>
    <x v="1"/>
    <x v="1"/>
    <n v="33"/>
    <n v="101.36706423848841"/>
    <s v="south"/>
  </r>
  <r>
    <n v="74"/>
    <x v="2"/>
    <x v="15"/>
    <x v="0"/>
    <x v="4"/>
    <n v="48"/>
    <n v="145.83607322448287"/>
    <s v="west"/>
  </r>
  <r>
    <n v="75"/>
    <x v="7"/>
    <x v="42"/>
    <x v="1"/>
    <x v="3"/>
    <n v="7"/>
    <n v="18.531454427544542"/>
    <s v="midwest"/>
  </r>
  <r>
    <n v="76"/>
    <x v="4"/>
    <x v="45"/>
    <x v="2"/>
    <x v="1"/>
    <n v="2"/>
    <n v="3.941491558920891"/>
    <s v="west"/>
  </r>
  <r>
    <n v="77"/>
    <x v="5"/>
    <x v="46"/>
    <x v="0"/>
    <x v="4"/>
    <n v="27"/>
    <n v="83.29090970219859"/>
    <s v="east"/>
  </r>
  <r>
    <n v="78"/>
    <x v="6"/>
    <x v="7"/>
    <x v="2"/>
    <x v="1"/>
    <n v="56"/>
    <n v="170.23780299763459"/>
    <s v="south"/>
  </r>
  <r>
    <n v="79"/>
    <x v="5"/>
    <x v="47"/>
    <x v="1"/>
    <x v="4"/>
    <n v="70"/>
    <n v="212.29242314468692"/>
    <s v="south"/>
  </r>
  <r>
    <n v="80"/>
    <x v="7"/>
    <x v="48"/>
    <x v="1"/>
    <x v="4"/>
    <n v="16"/>
    <n v="49.457645878335306"/>
    <s v="west"/>
  </r>
  <r>
    <n v="81"/>
    <x v="7"/>
    <x v="49"/>
    <x v="2"/>
    <x v="0"/>
    <n v="69"/>
    <n v="208.68512958069783"/>
    <s v="east"/>
  </r>
  <r>
    <n v="82"/>
    <x v="4"/>
    <x v="50"/>
    <x v="1"/>
    <x v="1"/>
    <n v="67"/>
    <n v="203.01428430380912"/>
    <s v="midwest"/>
  </r>
  <r>
    <n v="83"/>
    <x v="8"/>
    <x v="51"/>
    <x v="0"/>
    <x v="1"/>
    <n v="82"/>
    <n v="248.09860782564255"/>
    <s v="west"/>
  </r>
  <r>
    <n v="84"/>
    <x v="2"/>
    <x v="52"/>
    <x v="2"/>
    <x v="3"/>
    <n v="73"/>
    <n v="221.4762294351379"/>
    <s v="west"/>
  </r>
  <r>
    <n v="85"/>
    <x v="8"/>
    <x v="53"/>
    <x v="0"/>
    <x v="1"/>
    <n v="80"/>
    <n v="241.26239073863908"/>
    <s v="south"/>
  </r>
  <r>
    <n v="86"/>
    <x v="7"/>
    <x v="30"/>
    <x v="1"/>
    <x v="3"/>
    <n v="2"/>
    <n v="4.2379405606125751"/>
    <s v="east"/>
  </r>
  <r>
    <n v="87"/>
    <x v="6"/>
    <x v="12"/>
    <x v="1"/>
    <x v="3"/>
    <n v="5"/>
    <n v="17.026058044096466"/>
    <s v="east"/>
  </r>
  <r>
    <n v="88"/>
    <x v="3"/>
    <x v="54"/>
    <x v="1"/>
    <x v="3"/>
    <n v="26"/>
    <n v="80.296764498097943"/>
    <s v="south"/>
  </r>
  <r>
    <n v="89"/>
    <x v="8"/>
    <x v="55"/>
    <x v="1"/>
    <x v="1"/>
    <n v="1"/>
    <n v="5.0101440126936883"/>
    <s v="midwest"/>
  </r>
  <r>
    <n v="90"/>
    <x v="8"/>
    <x v="56"/>
    <x v="2"/>
    <x v="2"/>
    <n v="3"/>
    <n v="7.6150918857367635"/>
    <s v="south"/>
  </r>
  <r>
    <n v="91"/>
    <x v="0"/>
    <x v="57"/>
    <x v="2"/>
    <x v="3"/>
    <n v="83"/>
    <n v="251.18350564763173"/>
    <s v="south"/>
  </r>
  <r>
    <n v="92"/>
    <x v="7"/>
    <x v="58"/>
    <x v="0"/>
    <x v="4"/>
    <n v="33"/>
    <n v="100.32795234701418"/>
    <s v="midwest"/>
  </r>
  <r>
    <n v="93"/>
    <x v="3"/>
    <x v="15"/>
    <x v="0"/>
    <x v="1"/>
    <n v="62"/>
    <n v="188.06461550204614"/>
    <s v="west"/>
  </r>
  <r>
    <n v="94"/>
    <x v="4"/>
    <x v="39"/>
    <x v="2"/>
    <x v="3"/>
    <n v="58"/>
    <n v="176.47069512712616"/>
    <s v="midwest"/>
  </r>
  <r>
    <n v="95"/>
    <x v="6"/>
    <x v="59"/>
    <x v="1"/>
    <x v="1"/>
    <n v="28"/>
    <n v="85.544260264222203"/>
    <s v="south"/>
  </r>
  <r>
    <n v="96"/>
    <x v="7"/>
    <x v="7"/>
    <x v="2"/>
    <x v="0"/>
    <n v="33"/>
    <n v="100.68612237181482"/>
    <s v="west"/>
  </r>
  <r>
    <n v="97"/>
    <x v="5"/>
    <x v="60"/>
    <x v="2"/>
    <x v="1"/>
    <n v="92"/>
    <n v="278.15933854048899"/>
    <s v="south"/>
  </r>
  <r>
    <n v="98"/>
    <x v="7"/>
    <x v="15"/>
    <x v="0"/>
    <x v="0"/>
    <n v="92"/>
    <n v="277.53974563422275"/>
    <s v="east"/>
  </r>
  <r>
    <n v="99"/>
    <x v="4"/>
    <x v="61"/>
    <x v="2"/>
    <x v="0"/>
    <n v="75"/>
    <n v="226.73977333901354"/>
    <s v="south"/>
  </r>
  <r>
    <n v="100"/>
    <x v="0"/>
    <x v="62"/>
    <x v="1"/>
    <x v="3"/>
    <n v="74"/>
    <n v="224.23346975523705"/>
    <s v="west"/>
  </r>
  <r>
    <n v="101"/>
    <x v="3"/>
    <x v="46"/>
    <x v="0"/>
    <x v="1"/>
    <n v="67"/>
    <n v="202.45009266432331"/>
    <s v="west"/>
  </r>
  <r>
    <n v="102"/>
    <x v="5"/>
    <x v="38"/>
    <x v="0"/>
    <x v="1"/>
    <n v="16"/>
    <n v="49.450018506623742"/>
    <s v="south"/>
  </r>
  <r>
    <n v="103"/>
    <x v="1"/>
    <x v="63"/>
    <x v="1"/>
    <x v="1"/>
    <n v="90"/>
    <n v="272.33991590998778"/>
    <s v="west"/>
  </r>
  <r>
    <n v="104"/>
    <x v="7"/>
    <x v="64"/>
    <x v="2"/>
    <x v="2"/>
    <n v="8"/>
    <n v="22.10755433572842"/>
    <s v="west"/>
  </r>
  <r>
    <n v="105"/>
    <x v="5"/>
    <x v="65"/>
    <x v="0"/>
    <x v="2"/>
    <n v="51"/>
    <n v="155.29818889700317"/>
    <s v="midwest"/>
  </r>
  <r>
    <n v="106"/>
    <x v="7"/>
    <x v="48"/>
    <x v="1"/>
    <x v="1"/>
    <n v="7"/>
    <n v="19.532896832828285"/>
    <s v="south"/>
  </r>
  <r>
    <n v="107"/>
    <x v="6"/>
    <x v="6"/>
    <x v="0"/>
    <x v="0"/>
    <n v="9"/>
    <n v="29.277821643264524"/>
    <s v="midwest"/>
  </r>
  <r>
    <n v="108"/>
    <x v="8"/>
    <x v="12"/>
    <x v="1"/>
    <x v="0"/>
    <n v="10"/>
    <n v="28.406748282006184"/>
    <s v="east"/>
  </r>
  <r>
    <n v="109"/>
    <x v="2"/>
    <x v="41"/>
    <x v="2"/>
    <x v="1"/>
    <n v="10"/>
    <n v="32.113204788074981"/>
    <s v="south"/>
  </r>
  <r>
    <n v="110"/>
    <x v="2"/>
    <x v="66"/>
    <x v="1"/>
    <x v="4"/>
    <n v="35"/>
    <n v="107.58710427119863"/>
    <s v="midwest"/>
  </r>
  <r>
    <n v="111"/>
    <x v="8"/>
    <x v="67"/>
    <x v="0"/>
    <x v="4"/>
    <n v="81"/>
    <n v="244.46099351680689"/>
    <s v="west"/>
  </r>
  <r>
    <n v="112"/>
    <x v="8"/>
    <x v="11"/>
    <x v="0"/>
    <x v="4"/>
    <n v="38"/>
    <n v="115.86487308982943"/>
    <s v="south"/>
  </r>
  <r>
    <n v="113"/>
    <x v="6"/>
    <x v="21"/>
    <x v="2"/>
    <x v="4"/>
    <n v="26"/>
    <n v="80.488645084091601"/>
    <s v="west"/>
  </r>
  <r>
    <n v="114"/>
    <x v="0"/>
    <x v="22"/>
    <x v="1"/>
    <x v="2"/>
    <n v="77"/>
    <n v="233.33103169462888"/>
    <s v="east"/>
  </r>
  <r>
    <n v="115"/>
    <x v="6"/>
    <x v="61"/>
    <x v="2"/>
    <x v="1"/>
    <n v="39"/>
    <n v="118.62706142640471"/>
    <s v="south"/>
  </r>
  <r>
    <n v="116"/>
    <x v="3"/>
    <x v="26"/>
    <x v="2"/>
    <x v="3"/>
    <n v="22"/>
    <n v="68.07066358826728"/>
    <s v="east"/>
  </r>
  <r>
    <n v="117"/>
    <x v="3"/>
    <x v="18"/>
    <x v="2"/>
    <x v="1"/>
    <n v="68"/>
    <n v="205.76676002797973"/>
    <s v="midwest"/>
  </r>
  <r>
    <n v="118"/>
    <x v="8"/>
    <x v="31"/>
    <x v="1"/>
    <x v="1"/>
    <n v="59"/>
    <n v="178.71308198822226"/>
    <s v="midwest"/>
  </r>
  <r>
    <n v="119"/>
    <x v="4"/>
    <x v="3"/>
    <x v="2"/>
    <x v="3"/>
    <n v="20"/>
    <n v="62.366566165716954"/>
    <s v="east"/>
  </r>
  <r>
    <n v="120"/>
    <x v="1"/>
    <x v="68"/>
    <x v="1"/>
    <x v="4"/>
    <n v="61"/>
    <n v="184.56247310465258"/>
    <s v="south"/>
  </r>
  <r>
    <n v="121"/>
    <x v="3"/>
    <x v="45"/>
    <x v="2"/>
    <x v="1"/>
    <n v="30"/>
    <n v="92.434422469644105"/>
    <s v="south"/>
  </r>
  <r>
    <n v="122"/>
    <x v="7"/>
    <x v="69"/>
    <x v="2"/>
    <x v="4"/>
    <n v="10"/>
    <n v="32.298727574185413"/>
    <s v="west"/>
  </r>
  <r>
    <n v="123"/>
    <x v="3"/>
    <x v="16"/>
    <x v="2"/>
    <x v="3"/>
    <n v="72"/>
    <n v="217.45289850686984"/>
    <s v="south"/>
  </r>
  <r>
    <n v="124"/>
    <x v="2"/>
    <x v="49"/>
    <x v="2"/>
    <x v="3"/>
    <n v="57"/>
    <n v="173.36376703616165"/>
    <s v="west"/>
  </r>
  <r>
    <n v="125"/>
    <x v="1"/>
    <x v="37"/>
    <x v="1"/>
    <x v="0"/>
    <n v="41"/>
    <n v="124.3880808412182"/>
    <s v="midwest"/>
  </r>
  <r>
    <n v="126"/>
    <x v="3"/>
    <x v="70"/>
    <x v="0"/>
    <x v="3"/>
    <n v="54"/>
    <n v="163.7455521062605"/>
    <s v="west"/>
  </r>
  <r>
    <n v="127"/>
    <x v="6"/>
    <x v="34"/>
    <x v="1"/>
    <x v="2"/>
    <n v="9"/>
    <n v="29.259949674062039"/>
    <s v="midwest"/>
  </r>
  <r>
    <n v="128"/>
    <x v="8"/>
    <x v="63"/>
    <x v="1"/>
    <x v="0"/>
    <n v="1"/>
    <n v="5.0062586848309145"/>
    <s v="south"/>
  </r>
  <r>
    <n v="129"/>
    <x v="3"/>
    <x v="71"/>
    <x v="2"/>
    <x v="4"/>
    <n v="10"/>
    <n v="28.888600496770302"/>
    <s v="west"/>
  </r>
  <r>
    <n v="130"/>
    <x v="2"/>
    <x v="72"/>
    <x v="2"/>
    <x v="1"/>
    <n v="9"/>
    <n v="25.059711277411697"/>
    <s v="west"/>
  </r>
  <r>
    <n v="131"/>
    <x v="7"/>
    <x v="10"/>
    <x v="0"/>
    <x v="4"/>
    <n v="56"/>
    <n v="168.8685012955201"/>
    <s v="east"/>
  </r>
  <r>
    <n v="132"/>
    <x v="8"/>
    <x v="6"/>
    <x v="0"/>
    <x v="2"/>
    <n v="28"/>
    <n v="85.600623651403808"/>
    <s v="midwest"/>
  </r>
  <r>
    <n v="133"/>
    <x v="0"/>
    <x v="73"/>
    <x v="0"/>
    <x v="4"/>
    <n v="11"/>
    <n v="34.417378586902672"/>
    <s v="east"/>
  </r>
  <r>
    <n v="134"/>
    <x v="5"/>
    <x v="7"/>
    <x v="2"/>
    <x v="0"/>
    <n v="11"/>
    <n v="34.910086692815099"/>
    <s v="south"/>
  </r>
  <r>
    <n v="135"/>
    <x v="5"/>
    <x v="47"/>
    <x v="1"/>
    <x v="3"/>
    <n v="67"/>
    <n v="202.86608183653496"/>
    <s v="west"/>
  </r>
  <r>
    <n v="136"/>
    <x v="4"/>
    <x v="48"/>
    <x v="1"/>
    <x v="0"/>
    <n v="10"/>
    <n v="31.43203475838104"/>
    <s v="west"/>
  </r>
  <r>
    <n v="137"/>
    <x v="6"/>
    <x v="17"/>
    <x v="0"/>
    <x v="1"/>
    <n v="40"/>
    <n v="121.94725640981379"/>
    <s v="west"/>
  </r>
  <r>
    <n v="138"/>
    <x v="4"/>
    <x v="34"/>
    <x v="1"/>
    <x v="4"/>
    <n v="77"/>
    <n v="233.07983567827679"/>
    <s v="west"/>
  </r>
  <r>
    <n v="139"/>
    <x v="0"/>
    <x v="31"/>
    <x v="1"/>
    <x v="2"/>
    <n v="50"/>
    <n v="152.04318524136269"/>
    <s v="south"/>
  </r>
  <r>
    <n v="140"/>
    <x v="7"/>
    <x v="35"/>
    <x v="0"/>
    <x v="3"/>
    <n v="80"/>
    <n v="242.49550041476004"/>
    <s v="east"/>
  </r>
  <r>
    <n v="141"/>
    <x v="7"/>
    <x v="74"/>
    <x v="2"/>
    <x v="3"/>
    <n v="83"/>
    <n v="250.79460647762514"/>
    <s v="south"/>
  </r>
  <r>
    <n v="142"/>
    <x v="0"/>
    <x v="20"/>
    <x v="2"/>
    <x v="0"/>
    <n v="4"/>
    <n v="9.4996327629453567"/>
    <s v="west"/>
  </r>
  <r>
    <n v="143"/>
    <x v="4"/>
    <x v="75"/>
    <x v="1"/>
    <x v="1"/>
    <n v="46"/>
    <n v="139.75509706516939"/>
    <s v="south"/>
  </r>
  <r>
    <n v="144"/>
    <x v="2"/>
    <x v="76"/>
    <x v="2"/>
    <x v="4"/>
    <n v="55"/>
    <n v="167.19317791229159"/>
    <s v="south"/>
  </r>
  <r>
    <n v="145"/>
    <x v="8"/>
    <x v="19"/>
    <x v="0"/>
    <x v="4"/>
    <n v="89"/>
    <n v="269.40466549843933"/>
    <s v="east"/>
  </r>
  <r>
    <n v="146"/>
    <x v="6"/>
    <x v="34"/>
    <x v="1"/>
    <x v="3"/>
    <n v="59"/>
    <n v="179.11590007622482"/>
    <s v="west"/>
  </r>
  <r>
    <n v="147"/>
    <x v="6"/>
    <x v="66"/>
    <x v="1"/>
    <x v="2"/>
    <n v="90"/>
    <n v="271.75315679180818"/>
    <s v="east"/>
  </r>
  <r>
    <n v="148"/>
    <x v="2"/>
    <x v="77"/>
    <x v="2"/>
    <x v="2"/>
    <n v="17"/>
    <n v="53.665884026524566"/>
    <s v="midwest"/>
  </r>
  <r>
    <n v="149"/>
    <x v="8"/>
    <x v="66"/>
    <x v="1"/>
    <x v="2"/>
    <n v="37"/>
    <n v="113.6496958349757"/>
    <s v="east"/>
  </r>
  <r>
    <n v="150"/>
    <x v="5"/>
    <x v="64"/>
    <x v="2"/>
    <x v="1"/>
    <n v="4"/>
    <n v="9.4240327280666669"/>
    <s v="south"/>
  </r>
  <r>
    <n v="151"/>
    <x v="6"/>
    <x v="34"/>
    <x v="1"/>
    <x v="0"/>
    <n v="8"/>
    <n v="22.376386657781136"/>
    <s v="west"/>
  </r>
  <r>
    <n v="152"/>
    <x v="3"/>
    <x v="78"/>
    <x v="0"/>
    <x v="2"/>
    <n v="6"/>
    <n v="20.32160187847996"/>
    <s v="midwest"/>
  </r>
  <r>
    <n v="153"/>
    <x v="8"/>
    <x v="79"/>
    <x v="0"/>
    <x v="2"/>
    <n v="63"/>
    <n v="191.67996095772898"/>
    <s v="west"/>
  </r>
  <r>
    <n v="154"/>
    <x v="7"/>
    <x v="38"/>
    <x v="0"/>
    <x v="2"/>
    <n v="16"/>
    <n v="49.943726296074821"/>
    <s v="south"/>
  </r>
  <r>
    <n v="155"/>
    <x v="0"/>
    <x v="75"/>
    <x v="1"/>
    <x v="4"/>
    <n v="22"/>
    <n v="67.814347194557499"/>
    <s v="south"/>
  </r>
  <r>
    <n v="156"/>
    <x v="6"/>
    <x v="80"/>
    <x v="1"/>
    <x v="1"/>
    <n v="81"/>
    <n v="244.96866878935498"/>
    <s v="west"/>
  </r>
  <r>
    <n v="157"/>
    <x v="6"/>
    <x v="81"/>
    <x v="1"/>
    <x v="0"/>
    <n v="85"/>
    <n v="256.55696414737832"/>
    <s v="south"/>
  </r>
  <r>
    <n v="158"/>
    <x v="7"/>
    <x v="82"/>
    <x v="0"/>
    <x v="1"/>
    <n v="3"/>
    <n v="7.083148189481113"/>
    <s v="midwest"/>
  </r>
  <r>
    <n v="159"/>
    <x v="6"/>
    <x v="42"/>
    <x v="1"/>
    <x v="0"/>
    <n v="51"/>
    <n v="154.48755641985605"/>
    <s v="south"/>
  </r>
  <r>
    <n v="160"/>
    <x v="8"/>
    <x v="13"/>
    <x v="1"/>
    <x v="0"/>
    <n v="72"/>
    <n v="217.42437258205749"/>
    <s v="south"/>
  </r>
  <r>
    <n v="161"/>
    <x v="5"/>
    <x v="53"/>
    <x v="0"/>
    <x v="0"/>
    <n v="46"/>
    <n v="139.92999594688814"/>
    <s v="midwest"/>
  </r>
  <r>
    <n v="162"/>
    <x v="1"/>
    <x v="2"/>
    <x v="1"/>
    <x v="4"/>
    <n v="10"/>
    <n v="27.996195351956981"/>
    <s v="south"/>
  </r>
  <r>
    <n v="163"/>
    <x v="8"/>
    <x v="30"/>
    <x v="1"/>
    <x v="1"/>
    <n v="5"/>
    <n v="12.197238533968166"/>
    <s v="south"/>
  </r>
  <r>
    <n v="164"/>
    <x v="1"/>
    <x v="83"/>
    <x v="2"/>
    <x v="3"/>
    <n v="16"/>
    <n v="49.917622272183785"/>
    <s v="east"/>
  </r>
  <r>
    <n v="165"/>
    <x v="1"/>
    <x v="54"/>
    <x v="1"/>
    <x v="1"/>
    <n v="25"/>
    <n v="76.986898914774684"/>
    <s v="east"/>
  </r>
  <r>
    <n v="166"/>
    <x v="6"/>
    <x v="48"/>
    <x v="1"/>
    <x v="3"/>
    <n v="49"/>
    <n v="148.90711866414762"/>
    <s v="midwest"/>
  </r>
  <r>
    <n v="167"/>
    <x v="0"/>
    <x v="6"/>
    <x v="0"/>
    <x v="0"/>
    <n v="21"/>
    <n v="64.326659101878747"/>
    <s v="west"/>
  </r>
  <r>
    <n v="168"/>
    <x v="5"/>
    <x v="3"/>
    <x v="2"/>
    <x v="0"/>
    <n v="29"/>
    <n v="88.984161458299795"/>
    <s v="south"/>
  </r>
  <r>
    <n v="169"/>
    <x v="2"/>
    <x v="53"/>
    <x v="0"/>
    <x v="0"/>
    <n v="63"/>
    <n v="191.11407977738014"/>
    <s v="east"/>
  </r>
  <r>
    <n v="170"/>
    <x v="7"/>
    <x v="56"/>
    <x v="2"/>
    <x v="0"/>
    <n v="21"/>
    <n v="64.602960723055489"/>
    <s v="south"/>
  </r>
  <r>
    <n v="171"/>
    <x v="0"/>
    <x v="84"/>
    <x v="1"/>
    <x v="1"/>
    <n v="93"/>
    <n v="280.17276926587908"/>
    <s v="west"/>
  </r>
  <r>
    <n v="172"/>
    <x v="4"/>
    <x v="85"/>
    <x v="0"/>
    <x v="1"/>
    <n v="55"/>
    <n v="167.55415680156585"/>
    <s v="south"/>
  </r>
  <r>
    <n v="173"/>
    <x v="6"/>
    <x v="41"/>
    <x v="2"/>
    <x v="1"/>
    <n v="14"/>
    <n v="43.897196992459193"/>
    <s v="south"/>
  </r>
  <r>
    <n v="174"/>
    <x v="7"/>
    <x v="1"/>
    <x v="0"/>
    <x v="2"/>
    <n v="91"/>
    <n v="275.24479602731037"/>
    <s v="south"/>
  </r>
  <r>
    <n v="175"/>
    <x v="6"/>
    <x v="70"/>
    <x v="0"/>
    <x v="3"/>
    <n v="80"/>
    <n v="242.44859600981886"/>
    <s v="south"/>
  </r>
  <r>
    <n v="176"/>
    <x v="0"/>
    <x v="5"/>
    <x v="1"/>
    <x v="3"/>
    <n v="70"/>
    <n v="211.755231476809"/>
    <s v="south"/>
  </r>
  <r>
    <n v="177"/>
    <x v="8"/>
    <x v="86"/>
    <x v="0"/>
    <x v="4"/>
    <n v="54"/>
    <n v="164.30496670412208"/>
    <s v="west"/>
  </r>
  <r>
    <n v="178"/>
    <x v="2"/>
    <x v="54"/>
    <x v="1"/>
    <x v="4"/>
    <n v="19"/>
    <n v="58.362898336492826"/>
    <s v="east"/>
  </r>
  <r>
    <n v="179"/>
    <x v="1"/>
    <x v="22"/>
    <x v="1"/>
    <x v="1"/>
    <n v="38"/>
    <n v="115.82878872794043"/>
    <s v="south"/>
  </r>
  <r>
    <n v="180"/>
    <x v="4"/>
    <x v="58"/>
    <x v="0"/>
    <x v="2"/>
    <n v="60"/>
    <n v="182.02229380076153"/>
    <s v="east"/>
  </r>
  <r>
    <n v="181"/>
    <x v="1"/>
    <x v="84"/>
    <x v="1"/>
    <x v="2"/>
    <n v="51"/>
    <n v="155.73788458275871"/>
    <s v="midwest"/>
  </r>
  <r>
    <n v="182"/>
    <x v="2"/>
    <x v="87"/>
    <x v="0"/>
    <x v="0"/>
    <n v="78"/>
    <n v="236.14223463826744"/>
    <s v="midwest"/>
  </r>
  <r>
    <n v="183"/>
    <x v="1"/>
    <x v="10"/>
    <x v="0"/>
    <x v="1"/>
    <n v="17"/>
    <n v="52.469218210599529"/>
    <s v="west"/>
  </r>
  <r>
    <n v="184"/>
    <x v="7"/>
    <x v="88"/>
    <x v="0"/>
    <x v="3"/>
    <n v="13"/>
    <n v="40.808192712139302"/>
    <s v="midwest"/>
  </r>
  <r>
    <n v="185"/>
    <x v="6"/>
    <x v="34"/>
    <x v="1"/>
    <x v="4"/>
    <n v="2"/>
    <n v="8.0360535540736908"/>
    <s v="south"/>
  </r>
  <r>
    <n v="186"/>
    <x v="0"/>
    <x v="60"/>
    <x v="2"/>
    <x v="4"/>
    <n v="74"/>
    <n v="223.87783259743091"/>
    <s v="east"/>
  </r>
  <r>
    <n v="187"/>
    <x v="4"/>
    <x v="64"/>
    <x v="2"/>
    <x v="1"/>
    <n v="57"/>
    <n v="172.92421427081234"/>
    <s v="south"/>
  </r>
  <r>
    <n v="188"/>
    <x v="7"/>
    <x v="87"/>
    <x v="0"/>
    <x v="4"/>
    <n v="79"/>
    <n v="239.34428625432886"/>
    <s v="west"/>
  </r>
  <r>
    <n v="189"/>
    <x v="4"/>
    <x v="32"/>
    <x v="1"/>
    <x v="1"/>
    <n v="82"/>
    <n v="247.46177448016923"/>
    <s v="west"/>
  </r>
  <r>
    <n v="190"/>
    <x v="8"/>
    <x v="52"/>
    <x v="2"/>
    <x v="0"/>
    <n v="28"/>
    <n v="85.957225474601458"/>
    <s v="south"/>
  </r>
  <r>
    <n v="191"/>
    <x v="7"/>
    <x v="27"/>
    <x v="0"/>
    <x v="4"/>
    <n v="63"/>
    <n v="191.0302935038041"/>
    <s v="midwest"/>
  </r>
  <r>
    <n v="192"/>
    <x v="5"/>
    <x v="62"/>
    <x v="1"/>
    <x v="1"/>
    <n v="72"/>
    <n v="217.59287860664901"/>
    <s v="west"/>
  </r>
  <r>
    <n v="193"/>
    <x v="5"/>
    <x v="49"/>
    <x v="2"/>
    <x v="2"/>
    <n v="68"/>
    <n v="205.93270340856287"/>
    <s v="midwest"/>
  </r>
  <r>
    <n v="194"/>
    <x v="6"/>
    <x v="61"/>
    <x v="2"/>
    <x v="3"/>
    <n v="8"/>
    <n v="26.138739127477177"/>
    <s v="west"/>
  </r>
  <r>
    <n v="195"/>
    <x v="1"/>
    <x v="89"/>
    <x v="0"/>
    <x v="2"/>
    <n v="62"/>
    <n v="188.51634230729906"/>
    <s v="midwest"/>
  </r>
  <r>
    <n v="196"/>
    <x v="7"/>
    <x v="55"/>
    <x v="1"/>
    <x v="3"/>
    <n v="5"/>
    <n v="16.348427234046856"/>
    <s v="east"/>
  </r>
  <r>
    <n v="197"/>
    <x v="4"/>
    <x v="27"/>
    <x v="0"/>
    <x v="4"/>
    <n v="5"/>
    <n v="12.898061088841523"/>
    <s v="east"/>
  </r>
  <r>
    <n v="198"/>
    <x v="4"/>
    <x v="3"/>
    <x v="2"/>
    <x v="4"/>
    <n v="4"/>
    <n v="9.998213253386103"/>
    <s v="west"/>
  </r>
  <r>
    <n v="199"/>
    <x v="5"/>
    <x v="60"/>
    <x v="2"/>
    <x v="4"/>
    <n v="81"/>
    <n v="244.68104192003952"/>
    <s v="west"/>
  </r>
  <r>
    <n v="200"/>
    <x v="5"/>
    <x v="64"/>
    <x v="2"/>
    <x v="3"/>
    <n v="21"/>
    <n v="64.744003374094902"/>
    <s v="south"/>
  </r>
  <r>
    <n v="201"/>
    <x v="8"/>
    <x v="44"/>
    <x v="1"/>
    <x v="3"/>
    <n v="21"/>
    <n v="64.863192319117914"/>
    <s v="east"/>
  </r>
  <r>
    <n v="202"/>
    <x v="1"/>
    <x v="80"/>
    <x v="1"/>
    <x v="1"/>
    <n v="3"/>
    <n v="7.154085897104931"/>
    <s v="south"/>
  </r>
  <r>
    <n v="203"/>
    <x v="8"/>
    <x v="74"/>
    <x v="2"/>
    <x v="0"/>
    <n v="57"/>
    <n v="173.64445114790863"/>
    <s v="west"/>
  </r>
  <r>
    <n v="204"/>
    <x v="8"/>
    <x v="57"/>
    <x v="2"/>
    <x v="0"/>
    <n v="86"/>
    <n v="259.30970727563493"/>
    <s v="west"/>
  </r>
  <r>
    <n v="205"/>
    <x v="7"/>
    <x v="90"/>
    <x v="2"/>
    <x v="1"/>
    <n v="14"/>
    <n v="44.139016120906668"/>
    <s v="west"/>
  </r>
  <r>
    <n v="206"/>
    <x v="1"/>
    <x v="21"/>
    <x v="2"/>
    <x v="2"/>
    <n v="20"/>
    <n v="61.955881135465603"/>
    <s v="midwest"/>
  </r>
  <r>
    <n v="207"/>
    <x v="4"/>
    <x v="27"/>
    <x v="0"/>
    <x v="4"/>
    <n v="60"/>
    <n v="181.93942640636905"/>
    <s v="east"/>
  </r>
  <r>
    <n v="208"/>
    <x v="7"/>
    <x v="8"/>
    <x v="2"/>
    <x v="3"/>
    <n v="45"/>
    <n v="137.15507832075065"/>
    <s v="west"/>
  </r>
  <r>
    <n v="209"/>
    <x v="7"/>
    <x v="0"/>
    <x v="0"/>
    <x v="3"/>
    <n v="7"/>
    <n v="22.99759982335349"/>
    <s v="midwest"/>
  </r>
  <r>
    <n v="210"/>
    <x v="0"/>
    <x v="45"/>
    <x v="2"/>
    <x v="0"/>
    <n v="6"/>
    <n v="16.334472666280842"/>
    <s v="midwest"/>
  </r>
  <r>
    <n v="211"/>
    <x v="7"/>
    <x v="16"/>
    <x v="2"/>
    <x v="0"/>
    <n v="35"/>
    <n v="106.89982221762149"/>
    <s v="south"/>
  </r>
  <r>
    <n v="212"/>
    <x v="4"/>
    <x v="39"/>
    <x v="2"/>
    <x v="1"/>
    <n v="31"/>
    <n v="95.13200096066403"/>
    <s v="east"/>
  </r>
  <r>
    <n v="213"/>
    <x v="7"/>
    <x v="37"/>
    <x v="1"/>
    <x v="0"/>
    <n v="19"/>
    <n v="59.075740928551383"/>
    <s v="west"/>
  </r>
  <r>
    <n v="214"/>
    <x v="3"/>
    <x v="71"/>
    <x v="2"/>
    <x v="3"/>
    <n v="35"/>
    <n v="106.64339916643026"/>
    <s v="west"/>
  </r>
  <r>
    <n v="215"/>
    <x v="0"/>
    <x v="13"/>
    <x v="1"/>
    <x v="2"/>
    <n v="51"/>
    <n v="154.59771582934854"/>
    <s v="east"/>
  </r>
  <r>
    <n v="216"/>
    <x v="1"/>
    <x v="25"/>
    <x v="2"/>
    <x v="4"/>
    <n v="1"/>
    <n v="5.3867139626812968"/>
    <s v="east"/>
  </r>
  <r>
    <n v="217"/>
    <x v="8"/>
    <x v="19"/>
    <x v="0"/>
    <x v="1"/>
    <n v="67"/>
    <n v="203.35912709646638"/>
    <s v="midwest"/>
  </r>
  <r>
    <n v="218"/>
    <x v="8"/>
    <x v="48"/>
    <x v="1"/>
    <x v="4"/>
    <n v="23"/>
    <n v="71.412597536524615"/>
    <s v="midwest"/>
  </r>
  <r>
    <n v="219"/>
    <x v="4"/>
    <x v="75"/>
    <x v="1"/>
    <x v="1"/>
    <n v="41"/>
    <n v="125.23475441561757"/>
    <s v="east"/>
  </r>
  <r>
    <n v="220"/>
    <x v="2"/>
    <x v="46"/>
    <x v="0"/>
    <x v="4"/>
    <n v="27"/>
    <n v="83.195110350521588"/>
    <s v="west"/>
  </r>
  <r>
    <n v="221"/>
    <x v="5"/>
    <x v="14"/>
    <x v="2"/>
    <x v="1"/>
    <n v="56"/>
    <n v="170.17512557022724"/>
    <s v="midwest"/>
  </r>
  <r>
    <n v="222"/>
    <x v="2"/>
    <x v="86"/>
    <x v="0"/>
    <x v="4"/>
    <n v="67"/>
    <n v="203.35311949602652"/>
    <s v="west"/>
  </r>
  <r>
    <n v="223"/>
    <x v="0"/>
    <x v="65"/>
    <x v="0"/>
    <x v="1"/>
    <n v="94"/>
    <n v="283.74141758000144"/>
    <s v="west"/>
  </r>
  <r>
    <n v="224"/>
    <x v="5"/>
    <x v="67"/>
    <x v="0"/>
    <x v="3"/>
    <n v="52"/>
    <n v="158.2973319694853"/>
    <s v="west"/>
  </r>
  <r>
    <n v="225"/>
    <x v="3"/>
    <x v="27"/>
    <x v="0"/>
    <x v="2"/>
    <n v="24"/>
    <n v="74.243899422562194"/>
    <s v="west"/>
  </r>
  <r>
    <n v="226"/>
    <x v="7"/>
    <x v="29"/>
    <x v="0"/>
    <x v="0"/>
    <n v="1"/>
    <n v="0.91770776800017373"/>
    <s v="south"/>
  </r>
  <r>
    <n v="227"/>
    <x v="1"/>
    <x v="61"/>
    <x v="2"/>
    <x v="3"/>
    <n v="37"/>
    <n v="112.52158206006119"/>
    <s v="south"/>
  </r>
  <r>
    <n v="228"/>
    <x v="0"/>
    <x v="25"/>
    <x v="2"/>
    <x v="1"/>
    <n v="63"/>
    <n v="191.4542393048981"/>
    <s v="south"/>
  </r>
  <r>
    <n v="229"/>
    <x v="8"/>
    <x v="15"/>
    <x v="0"/>
    <x v="0"/>
    <n v="13"/>
    <n v="41.010346846521706"/>
    <s v="west"/>
  </r>
  <r>
    <n v="230"/>
    <x v="1"/>
    <x v="60"/>
    <x v="2"/>
    <x v="0"/>
    <n v="7"/>
    <n v="22.334877359058812"/>
    <s v="west"/>
  </r>
  <r>
    <n v="231"/>
    <x v="3"/>
    <x v="6"/>
    <x v="0"/>
    <x v="0"/>
    <n v="64"/>
    <n v="193.83879299726061"/>
    <s v="west"/>
  </r>
  <r>
    <n v="232"/>
    <x v="2"/>
    <x v="29"/>
    <x v="0"/>
    <x v="0"/>
    <n v="63"/>
    <n v="190.90668689411601"/>
    <s v="midwest"/>
  </r>
  <r>
    <n v="233"/>
    <x v="6"/>
    <x v="38"/>
    <x v="0"/>
    <x v="4"/>
    <n v="57"/>
    <n v="173.59022125804509"/>
    <s v="midwest"/>
  </r>
  <r>
    <n v="234"/>
    <x v="6"/>
    <x v="51"/>
    <x v="0"/>
    <x v="4"/>
    <n v="59"/>
    <n v="178.9266502635322"/>
    <s v="east"/>
  </r>
  <r>
    <n v="235"/>
    <x v="7"/>
    <x v="43"/>
    <x v="0"/>
    <x v="1"/>
    <n v="3"/>
    <n v="7.2637597489178187"/>
    <s v="midwest"/>
  </r>
  <r>
    <n v="236"/>
    <x v="8"/>
    <x v="52"/>
    <x v="2"/>
    <x v="0"/>
    <n v="86"/>
    <n v="260.32907018535167"/>
    <s v="south"/>
  </r>
  <r>
    <n v="237"/>
    <x v="5"/>
    <x v="19"/>
    <x v="0"/>
    <x v="3"/>
    <n v="4"/>
    <n v="9.9939520680829617"/>
    <s v="east"/>
  </r>
  <r>
    <n v="238"/>
    <x v="2"/>
    <x v="13"/>
    <x v="1"/>
    <x v="0"/>
    <n v="7"/>
    <n v="23.654332569914828"/>
    <s v="west"/>
  </r>
  <r>
    <n v="239"/>
    <x v="8"/>
    <x v="52"/>
    <x v="2"/>
    <x v="0"/>
    <n v="43"/>
    <n v="131.67769291502447"/>
    <s v="east"/>
  </r>
  <r>
    <n v="240"/>
    <x v="6"/>
    <x v="40"/>
    <x v="1"/>
    <x v="0"/>
    <n v="2"/>
    <n v="7.6348447793459382"/>
    <s v="south"/>
  </r>
  <r>
    <n v="241"/>
    <x v="6"/>
    <x v="91"/>
    <x v="1"/>
    <x v="4"/>
    <n v="85"/>
    <n v="256.87957020946436"/>
    <s v="midwest"/>
  </r>
  <r>
    <n v="242"/>
    <x v="6"/>
    <x v="92"/>
    <x v="1"/>
    <x v="3"/>
    <n v="52"/>
    <n v="158.18704198984506"/>
    <s v="midwest"/>
  </r>
  <r>
    <n v="243"/>
    <x v="4"/>
    <x v="73"/>
    <x v="0"/>
    <x v="2"/>
    <n v="3"/>
    <n v="7.3950210500886264"/>
    <s v="south"/>
  </r>
  <r>
    <n v="244"/>
    <x v="5"/>
    <x v="2"/>
    <x v="1"/>
    <x v="3"/>
    <n v="8"/>
    <n v="25.546689047987762"/>
    <s v="east"/>
  </r>
  <r>
    <n v="245"/>
    <x v="8"/>
    <x v="73"/>
    <x v="0"/>
    <x v="4"/>
    <n v="5"/>
    <n v="17.198905576452098"/>
    <s v="east"/>
  </r>
  <r>
    <n v="246"/>
    <x v="1"/>
    <x v="93"/>
    <x v="2"/>
    <x v="4"/>
    <n v="90"/>
    <n v="272.09870438545738"/>
    <s v="south"/>
  </r>
  <r>
    <n v="247"/>
    <x v="0"/>
    <x v="72"/>
    <x v="2"/>
    <x v="4"/>
    <n v="36"/>
    <n v="110.33744975059108"/>
    <s v="east"/>
  </r>
  <r>
    <n v="248"/>
    <x v="3"/>
    <x v="59"/>
    <x v="1"/>
    <x v="4"/>
    <n v="25"/>
    <n v="77.014900645073141"/>
    <s v="west"/>
  </r>
  <r>
    <n v="249"/>
    <x v="0"/>
    <x v="55"/>
    <x v="1"/>
    <x v="4"/>
    <n v="7"/>
    <n v="23.133204884254319"/>
    <s v="east"/>
  </r>
  <r>
    <n v="250"/>
    <x v="4"/>
    <x v="77"/>
    <x v="2"/>
    <x v="4"/>
    <n v="64"/>
    <n v="194.25372471684716"/>
    <s v="east"/>
  </r>
  <r>
    <n v="251"/>
    <x v="4"/>
    <x v="87"/>
    <x v="0"/>
    <x v="4"/>
    <n v="71"/>
    <n v="215.49309366005642"/>
    <s v="west"/>
  </r>
  <r>
    <n v="252"/>
    <x v="2"/>
    <x v="28"/>
    <x v="1"/>
    <x v="3"/>
    <n v="41"/>
    <n v="124.81042324173134"/>
    <s v="east"/>
  </r>
  <r>
    <n v="253"/>
    <x v="2"/>
    <x v="19"/>
    <x v="0"/>
    <x v="1"/>
    <n v="84"/>
    <n v="253.28617965312779"/>
    <s v="east"/>
  </r>
  <r>
    <n v="254"/>
    <x v="6"/>
    <x v="48"/>
    <x v="1"/>
    <x v="3"/>
    <n v="3"/>
    <n v="10.703015398687583"/>
    <s v="east"/>
  </r>
  <r>
    <n v="255"/>
    <x v="2"/>
    <x v="0"/>
    <x v="0"/>
    <x v="1"/>
    <n v="15"/>
    <n v="46.761676481443232"/>
    <s v="west"/>
  </r>
  <r>
    <n v="256"/>
    <x v="1"/>
    <x v="27"/>
    <x v="0"/>
    <x v="3"/>
    <n v="1"/>
    <n v="4.8820462029427096"/>
    <s v="south"/>
  </r>
  <r>
    <n v="257"/>
    <x v="1"/>
    <x v="34"/>
    <x v="1"/>
    <x v="4"/>
    <n v="10"/>
    <n v="32.468400196905996"/>
    <s v="east"/>
  </r>
  <r>
    <n v="258"/>
    <x v="6"/>
    <x v="94"/>
    <x v="1"/>
    <x v="3"/>
    <n v="77"/>
    <n v="233.3993347830984"/>
    <s v="west"/>
  </r>
  <r>
    <n v="259"/>
    <x v="4"/>
    <x v="47"/>
    <x v="1"/>
    <x v="2"/>
    <n v="65"/>
    <n v="196.49346597044766"/>
    <s v="south"/>
  </r>
  <r>
    <n v="260"/>
    <x v="3"/>
    <x v="46"/>
    <x v="0"/>
    <x v="3"/>
    <n v="25"/>
    <n v="77.329572231774151"/>
    <s v="midwest"/>
  </r>
  <r>
    <n v="261"/>
    <x v="8"/>
    <x v="41"/>
    <x v="2"/>
    <x v="4"/>
    <n v="1"/>
    <n v="1.930462865623249"/>
    <s v="south"/>
  </r>
  <r>
    <n v="262"/>
    <x v="7"/>
    <x v="93"/>
    <x v="2"/>
    <x v="1"/>
    <n v="2"/>
    <n v="7.9709250117717731"/>
    <s v="midwest"/>
  </r>
  <r>
    <n v="263"/>
    <x v="3"/>
    <x v="77"/>
    <x v="2"/>
    <x v="0"/>
    <n v="62"/>
    <n v="187.61965072290988"/>
    <s v="midwest"/>
  </r>
  <r>
    <n v="264"/>
    <x v="4"/>
    <x v="63"/>
    <x v="1"/>
    <x v="1"/>
    <n v="28"/>
    <n v="86.788113277044275"/>
    <s v="west"/>
  </r>
  <r>
    <n v="265"/>
    <x v="1"/>
    <x v="95"/>
    <x v="1"/>
    <x v="3"/>
    <n v="55"/>
    <n v="167.05079786120268"/>
    <s v="south"/>
  </r>
  <r>
    <n v="266"/>
    <x v="4"/>
    <x v="32"/>
    <x v="1"/>
    <x v="0"/>
    <n v="28"/>
    <n v="86.636057383669893"/>
    <s v="south"/>
  </r>
  <r>
    <n v="267"/>
    <x v="5"/>
    <x v="50"/>
    <x v="1"/>
    <x v="1"/>
    <n v="5"/>
    <n v="16.670839286326668"/>
    <s v="south"/>
  </r>
  <r>
    <n v="268"/>
    <x v="5"/>
    <x v="51"/>
    <x v="0"/>
    <x v="3"/>
    <n v="1"/>
    <n v="4.7722172541512009"/>
    <s v="east"/>
  </r>
  <r>
    <n v="269"/>
    <x v="5"/>
    <x v="32"/>
    <x v="1"/>
    <x v="1"/>
    <n v="26"/>
    <n v="80.012011803068276"/>
    <s v="east"/>
  </r>
  <r>
    <n v="270"/>
    <x v="3"/>
    <x v="29"/>
    <x v="0"/>
    <x v="1"/>
    <n v="47"/>
    <n v="142.84602668228962"/>
    <s v="south"/>
  </r>
  <r>
    <n v="271"/>
    <x v="1"/>
    <x v="91"/>
    <x v="1"/>
    <x v="3"/>
    <n v="74"/>
    <n v="224.75435048565893"/>
    <s v="east"/>
  </r>
  <r>
    <n v="272"/>
    <x v="8"/>
    <x v="39"/>
    <x v="2"/>
    <x v="0"/>
    <n v="22"/>
    <n v="68.710607050620922"/>
    <s v="midwest"/>
  </r>
  <r>
    <n v="273"/>
    <x v="2"/>
    <x v="26"/>
    <x v="2"/>
    <x v="2"/>
    <n v="70"/>
    <n v="212.26238499892682"/>
    <s v="south"/>
  </r>
  <r>
    <n v="274"/>
    <x v="8"/>
    <x v="5"/>
    <x v="1"/>
    <x v="1"/>
    <n v="83"/>
    <n v="251.31042576912338"/>
    <s v="midwest"/>
  </r>
  <r>
    <n v="275"/>
    <x v="1"/>
    <x v="36"/>
    <x v="1"/>
    <x v="3"/>
    <n v="59"/>
    <n v="179.38546683395009"/>
    <s v="west"/>
  </r>
  <r>
    <n v="276"/>
    <x v="8"/>
    <x v="30"/>
    <x v="1"/>
    <x v="4"/>
    <n v="0"/>
    <n v="1.5831115612014064"/>
    <s v="midwest"/>
  </r>
  <r>
    <n v="277"/>
    <x v="1"/>
    <x v="94"/>
    <x v="1"/>
    <x v="3"/>
    <n v="82"/>
    <n v="247.58247918220624"/>
    <s v="west"/>
  </r>
  <r>
    <n v="278"/>
    <x v="0"/>
    <x v="66"/>
    <x v="1"/>
    <x v="3"/>
    <n v="29"/>
    <n v="89.053128978062901"/>
    <s v="west"/>
  </r>
  <r>
    <n v="279"/>
    <x v="8"/>
    <x v="82"/>
    <x v="0"/>
    <x v="1"/>
    <n v="63"/>
    <n v="191.08641465198994"/>
    <s v="east"/>
  </r>
  <r>
    <n v="280"/>
    <x v="7"/>
    <x v="52"/>
    <x v="2"/>
    <x v="0"/>
    <n v="67"/>
    <n v="203.10846928946893"/>
    <s v="east"/>
  </r>
  <r>
    <n v="281"/>
    <x v="5"/>
    <x v="50"/>
    <x v="1"/>
    <x v="3"/>
    <n v="3"/>
    <n v="10.780730703026945"/>
    <s v="east"/>
  </r>
  <r>
    <n v="282"/>
    <x v="1"/>
    <x v="89"/>
    <x v="0"/>
    <x v="3"/>
    <n v="65"/>
    <n v="197.40778751122588"/>
    <s v="east"/>
  </r>
  <r>
    <n v="283"/>
    <x v="6"/>
    <x v="58"/>
    <x v="0"/>
    <x v="2"/>
    <n v="75"/>
    <n v="227.4564792557687"/>
    <s v="west"/>
  </r>
  <r>
    <n v="284"/>
    <x v="6"/>
    <x v="88"/>
    <x v="0"/>
    <x v="0"/>
    <n v="79"/>
    <n v="239.89546823670116"/>
    <s v="west"/>
  </r>
  <r>
    <n v="285"/>
    <x v="7"/>
    <x v="57"/>
    <x v="2"/>
    <x v="4"/>
    <n v="5"/>
    <n v="12.920960169584891"/>
    <s v="midwest"/>
  </r>
  <r>
    <n v="286"/>
    <x v="7"/>
    <x v="48"/>
    <x v="1"/>
    <x v="1"/>
    <n v="31"/>
    <n v="95.512317695132197"/>
    <s v="south"/>
  </r>
  <r>
    <n v="287"/>
    <x v="2"/>
    <x v="7"/>
    <x v="2"/>
    <x v="4"/>
    <n v="21"/>
    <n v="65.343473312315112"/>
    <s v="south"/>
  </r>
  <r>
    <n v="288"/>
    <x v="2"/>
    <x v="81"/>
    <x v="1"/>
    <x v="2"/>
    <n v="8"/>
    <n v="21.912545800386049"/>
    <s v="east"/>
  </r>
  <r>
    <n v="289"/>
    <x v="7"/>
    <x v="34"/>
    <x v="1"/>
    <x v="2"/>
    <n v="88"/>
    <n v="266.0518691009172"/>
    <s v="west"/>
  </r>
  <r>
    <n v="290"/>
    <x v="6"/>
    <x v="37"/>
    <x v="1"/>
    <x v="1"/>
    <n v="94"/>
    <n v="283.84678757282279"/>
    <s v="midwest"/>
  </r>
  <r>
    <n v="291"/>
    <x v="3"/>
    <x v="52"/>
    <x v="2"/>
    <x v="4"/>
    <n v="83"/>
    <n v="251.49840546378712"/>
    <s v="midwest"/>
  </r>
  <r>
    <n v="292"/>
    <x v="2"/>
    <x v="38"/>
    <x v="0"/>
    <x v="4"/>
    <n v="16"/>
    <n v="49.955539493154028"/>
    <s v="south"/>
  </r>
  <r>
    <n v="293"/>
    <x v="0"/>
    <x v="9"/>
    <x v="2"/>
    <x v="4"/>
    <n v="33"/>
    <n v="100.51753262027832"/>
    <s v="midwest"/>
  </r>
  <r>
    <n v="294"/>
    <x v="0"/>
    <x v="85"/>
    <x v="0"/>
    <x v="3"/>
    <n v="1"/>
    <n v="0.90814028681463199"/>
    <s v="midwest"/>
  </r>
  <r>
    <n v="295"/>
    <x v="0"/>
    <x v="69"/>
    <x v="2"/>
    <x v="4"/>
    <n v="94"/>
    <n v="284.13590593464426"/>
    <s v="west"/>
  </r>
  <r>
    <n v="296"/>
    <x v="7"/>
    <x v="92"/>
    <x v="1"/>
    <x v="1"/>
    <n v="76"/>
    <n v="230.25557022435729"/>
    <s v="midwest"/>
  </r>
  <r>
    <n v="297"/>
    <x v="0"/>
    <x v="45"/>
    <x v="2"/>
    <x v="1"/>
    <n v="71"/>
    <n v="215.15645769752564"/>
    <s v="east"/>
  </r>
  <r>
    <n v="298"/>
    <x v="3"/>
    <x v="58"/>
    <x v="0"/>
    <x v="2"/>
    <n v="56"/>
    <n v="169.19487194523822"/>
    <s v="south"/>
  </r>
  <r>
    <n v="299"/>
    <x v="1"/>
    <x v="12"/>
    <x v="1"/>
    <x v="0"/>
    <n v="81"/>
    <n v="245.58577912839797"/>
    <s v="south"/>
  </r>
  <r>
    <n v="300"/>
    <x v="3"/>
    <x v="35"/>
    <x v="0"/>
    <x v="3"/>
    <n v="3"/>
    <n v="11.162502018809288"/>
    <s v="south"/>
  </r>
  <r>
    <n v="301"/>
    <x v="3"/>
    <x v="92"/>
    <x v="1"/>
    <x v="0"/>
    <n v="60"/>
    <n v="182.21269449394873"/>
    <s v="east"/>
  </r>
  <r>
    <n v="302"/>
    <x v="7"/>
    <x v="76"/>
    <x v="2"/>
    <x v="1"/>
    <n v="81"/>
    <n v="245.54232115102224"/>
    <s v="south"/>
  </r>
  <r>
    <n v="303"/>
    <x v="4"/>
    <x v="87"/>
    <x v="0"/>
    <x v="1"/>
    <n v="70"/>
    <n v="211.43323649343893"/>
    <s v="midwest"/>
  </r>
  <r>
    <n v="304"/>
    <x v="8"/>
    <x v="3"/>
    <x v="2"/>
    <x v="4"/>
    <n v="18"/>
    <n v="56.272584064658759"/>
    <s v="midwest"/>
  </r>
  <r>
    <n v="305"/>
    <x v="1"/>
    <x v="47"/>
    <x v="1"/>
    <x v="2"/>
    <n v="73"/>
    <n v="221.17007144401961"/>
    <s v="west"/>
  </r>
  <r>
    <n v="306"/>
    <x v="3"/>
    <x v="2"/>
    <x v="1"/>
    <x v="1"/>
    <n v="7"/>
    <n v="18.782320494671733"/>
    <s v="east"/>
  </r>
  <r>
    <n v="307"/>
    <x v="3"/>
    <x v="59"/>
    <x v="1"/>
    <x v="1"/>
    <n v="55"/>
    <n v="166.60609215413587"/>
    <s v="midwest"/>
  </r>
  <r>
    <n v="308"/>
    <x v="8"/>
    <x v="82"/>
    <x v="0"/>
    <x v="0"/>
    <n v="7"/>
    <n v="23.387374937264937"/>
    <s v="east"/>
  </r>
  <r>
    <n v="309"/>
    <x v="8"/>
    <x v="11"/>
    <x v="0"/>
    <x v="3"/>
    <n v="63"/>
    <n v="191.44929977621479"/>
    <s v="midwest"/>
  </r>
  <r>
    <n v="310"/>
    <x v="3"/>
    <x v="34"/>
    <x v="1"/>
    <x v="0"/>
    <n v="83"/>
    <n v="251.62937525083981"/>
    <s v="west"/>
  </r>
  <r>
    <n v="311"/>
    <x v="0"/>
    <x v="85"/>
    <x v="0"/>
    <x v="0"/>
    <n v="43"/>
    <n v="130.971908096161"/>
    <s v="east"/>
  </r>
  <r>
    <n v="312"/>
    <x v="3"/>
    <x v="96"/>
    <x v="0"/>
    <x v="3"/>
    <n v="67"/>
    <n v="203.30298779689218"/>
    <s v="south"/>
  </r>
  <r>
    <n v="313"/>
    <x v="4"/>
    <x v="80"/>
    <x v="1"/>
    <x v="3"/>
    <n v="9"/>
    <n v="24.966227969201331"/>
    <s v="midwest"/>
  </r>
  <r>
    <n v="314"/>
    <x v="8"/>
    <x v="35"/>
    <x v="0"/>
    <x v="1"/>
    <n v="1"/>
    <n v="1.475132378251053"/>
    <s v="midwest"/>
  </r>
  <r>
    <n v="315"/>
    <x v="0"/>
    <x v="94"/>
    <x v="1"/>
    <x v="1"/>
    <n v="21"/>
    <n v="65.196598797725159"/>
    <s v="south"/>
  </r>
  <r>
    <n v="316"/>
    <x v="5"/>
    <x v="40"/>
    <x v="1"/>
    <x v="4"/>
    <n v="6"/>
    <n v="20.103063549411871"/>
    <s v="east"/>
  </r>
  <r>
    <n v="317"/>
    <x v="5"/>
    <x v="46"/>
    <x v="0"/>
    <x v="3"/>
    <n v="0"/>
    <n v="1.6052060341349688"/>
    <s v="east"/>
  </r>
  <r>
    <n v="318"/>
    <x v="7"/>
    <x v="79"/>
    <x v="0"/>
    <x v="3"/>
    <n v="20"/>
    <n v="61.994811968474004"/>
    <s v="east"/>
  </r>
  <r>
    <n v="319"/>
    <x v="2"/>
    <x v="51"/>
    <x v="0"/>
    <x v="1"/>
    <n v="70"/>
    <n v="212.50263306463722"/>
    <s v="south"/>
  </r>
  <r>
    <n v="320"/>
    <x v="7"/>
    <x v="82"/>
    <x v="0"/>
    <x v="3"/>
    <n v="94"/>
    <n v="283.88166832886924"/>
    <s v="east"/>
  </r>
  <r>
    <n v="321"/>
    <x v="1"/>
    <x v="79"/>
    <x v="0"/>
    <x v="0"/>
    <n v="9"/>
    <n v="28.830512766101304"/>
    <s v="west"/>
  </r>
  <r>
    <n v="322"/>
    <x v="7"/>
    <x v="44"/>
    <x v="1"/>
    <x v="4"/>
    <n v="27"/>
    <n v="83.64015403043436"/>
    <s v="east"/>
  </r>
  <r>
    <n v="323"/>
    <x v="4"/>
    <x v="64"/>
    <x v="2"/>
    <x v="2"/>
    <n v="43"/>
    <n v="130.94656180680516"/>
    <s v="south"/>
  </r>
  <r>
    <n v="324"/>
    <x v="6"/>
    <x v="14"/>
    <x v="2"/>
    <x v="1"/>
    <n v="84"/>
    <n v="254.38984191598573"/>
    <s v="east"/>
  </r>
  <r>
    <n v="325"/>
    <x v="1"/>
    <x v="29"/>
    <x v="0"/>
    <x v="3"/>
    <n v="83"/>
    <n v="251.63175698562648"/>
    <s v="midwest"/>
  </r>
  <r>
    <n v="326"/>
    <x v="1"/>
    <x v="38"/>
    <x v="0"/>
    <x v="2"/>
    <n v="89"/>
    <n v="268.67182931807514"/>
    <s v="midwest"/>
  </r>
  <r>
    <n v="327"/>
    <x v="6"/>
    <x v="83"/>
    <x v="2"/>
    <x v="0"/>
    <n v="7"/>
    <n v="22.668540241379059"/>
    <s v="south"/>
  </r>
  <r>
    <n v="328"/>
    <x v="1"/>
    <x v="73"/>
    <x v="0"/>
    <x v="1"/>
    <n v="68"/>
    <n v="205.75644454699685"/>
    <s v="south"/>
  </r>
  <r>
    <n v="329"/>
    <x v="6"/>
    <x v="84"/>
    <x v="1"/>
    <x v="3"/>
    <n v="38"/>
    <n v="116.14288251700734"/>
    <s v="west"/>
  </r>
  <r>
    <n v="330"/>
    <x v="8"/>
    <x v="97"/>
    <x v="0"/>
    <x v="3"/>
    <n v="90"/>
    <n v="271.3332095451583"/>
    <s v="midwest"/>
  </r>
  <r>
    <n v="331"/>
    <x v="8"/>
    <x v="38"/>
    <x v="0"/>
    <x v="3"/>
    <n v="10"/>
    <n v="31.740063454597557"/>
    <s v="west"/>
  </r>
  <r>
    <n v="332"/>
    <x v="5"/>
    <x v="77"/>
    <x v="2"/>
    <x v="1"/>
    <n v="13"/>
    <n v="40.182824201163783"/>
    <s v="east"/>
  </r>
  <r>
    <n v="333"/>
    <x v="7"/>
    <x v="4"/>
    <x v="0"/>
    <x v="0"/>
    <n v="68"/>
    <n v="206.37862292228638"/>
    <s v="west"/>
  </r>
  <r>
    <n v="334"/>
    <x v="3"/>
    <x v="29"/>
    <x v="0"/>
    <x v="1"/>
    <n v="40"/>
    <n v="122.17079112578179"/>
    <s v="south"/>
  </r>
  <r>
    <n v="335"/>
    <x v="7"/>
    <x v="98"/>
    <x v="1"/>
    <x v="1"/>
    <n v="17"/>
    <n v="52.575815801836917"/>
    <s v="west"/>
  </r>
  <r>
    <n v="336"/>
    <x v="5"/>
    <x v="10"/>
    <x v="0"/>
    <x v="1"/>
    <n v="6"/>
    <n v="19.233532374060513"/>
    <s v="west"/>
  </r>
  <r>
    <n v="337"/>
    <x v="5"/>
    <x v="39"/>
    <x v="2"/>
    <x v="1"/>
    <n v="27"/>
    <n v="83.786086457485794"/>
    <s v="west"/>
  </r>
  <r>
    <n v="338"/>
    <x v="3"/>
    <x v="69"/>
    <x v="2"/>
    <x v="1"/>
    <n v="80"/>
    <n v="242.1940649977725"/>
    <s v="midwest"/>
  </r>
  <r>
    <n v="339"/>
    <x v="4"/>
    <x v="38"/>
    <x v="0"/>
    <x v="4"/>
    <n v="1"/>
    <n v="0.92679798413568193"/>
    <s v="west"/>
  </r>
  <r>
    <n v="340"/>
    <x v="1"/>
    <x v="23"/>
    <x v="2"/>
    <x v="4"/>
    <n v="89"/>
    <n v="269.26351673512869"/>
    <s v="south"/>
  </r>
  <r>
    <n v="341"/>
    <x v="1"/>
    <x v="48"/>
    <x v="1"/>
    <x v="3"/>
    <n v="21"/>
    <n v="65.224154633884041"/>
    <s v="midwest"/>
  </r>
  <r>
    <n v="342"/>
    <x v="5"/>
    <x v="7"/>
    <x v="2"/>
    <x v="0"/>
    <n v="37"/>
    <n v="113.11652988941213"/>
    <s v="east"/>
  </r>
  <r>
    <n v="343"/>
    <x v="4"/>
    <x v="47"/>
    <x v="1"/>
    <x v="2"/>
    <n v="15"/>
    <n v="46.637898863261832"/>
    <s v="east"/>
  </r>
  <r>
    <n v="344"/>
    <x v="2"/>
    <x v="58"/>
    <x v="0"/>
    <x v="4"/>
    <n v="94"/>
    <n v="283.62009758002927"/>
    <s v="midwest"/>
  </r>
  <r>
    <n v="345"/>
    <x v="8"/>
    <x v="95"/>
    <x v="1"/>
    <x v="4"/>
    <n v="85"/>
    <n v="257.28530472715238"/>
    <s v="south"/>
  </r>
  <r>
    <n v="346"/>
    <x v="4"/>
    <x v="11"/>
    <x v="0"/>
    <x v="0"/>
    <n v="95"/>
    <n v="286.86402627293558"/>
    <s v="west"/>
  </r>
  <r>
    <n v="347"/>
    <x v="6"/>
    <x v="31"/>
    <x v="1"/>
    <x v="2"/>
    <n v="25"/>
    <n v="76.368933708358369"/>
    <s v="south"/>
  </r>
  <r>
    <n v="348"/>
    <x v="1"/>
    <x v="90"/>
    <x v="2"/>
    <x v="4"/>
    <n v="69"/>
    <n v="208.60710544458851"/>
    <s v="west"/>
  </r>
  <r>
    <n v="349"/>
    <x v="7"/>
    <x v="12"/>
    <x v="1"/>
    <x v="1"/>
    <n v="72"/>
    <n v="218.66914833137886"/>
    <s v="midwest"/>
  </r>
  <r>
    <n v="350"/>
    <x v="3"/>
    <x v="71"/>
    <x v="2"/>
    <x v="2"/>
    <n v="4"/>
    <n v="9.5040489301123898"/>
    <s v="west"/>
  </r>
  <r>
    <n v="351"/>
    <x v="4"/>
    <x v="44"/>
    <x v="1"/>
    <x v="2"/>
    <n v="21"/>
    <n v="64.847838929147329"/>
    <s v="west"/>
  </r>
  <r>
    <n v="352"/>
    <x v="4"/>
    <x v="94"/>
    <x v="1"/>
    <x v="3"/>
    <n v="85"/>
    <n v="256.96799909003533"/>
    <s v="east"/>
  </r>
  <r>
    <n v="353"/>
    <x v="6"/>
    <x v="81"/>
    <x v="1"/>
    <x v="3"/>
    <n v="85"/>
    <n v="257.09598807037378"/>
    <s v="south"/>
  </r>
  <r>
    <n v="354"/>
    <x v="2"/>
    <x v="84"/>
    <x v="1"/>
    <x v="0"/>
    <n v="79"/>
    <n v="239.75589662492749"/>
    <s v="south"/>
  </r>
  <r>
    <n v="355"/>
    <x v="7"/>
    <x v="24"/>
    <x v="2"/>
    <x v="0"/>
    <n v="81"/>
    <n v="245.01127594931819"/>
    <s v="south"/>
  </r>
  <r>
    <n v="356"/>
    <x v="2"/>
    <x v="93"/>
    <x v="2"/>
    <x v="3"/>
    <n v="76"/>
    <n v="229.57757100656295"/>
    <s v="east"/>
  </r>
  <r>
    <n v="357"/>
    <x v="2"/>
    <x v="32"/>
    <x v="1"/>
    <x v="0"/>
    <n v="31"/>
    <n v="95.411837871052697"/>
    <s v="east"/>
  </r>
  <r>
    <n v="358"/>
    <x v="3"/>
    <x v="22"/>
    <x v="1"/>
    <x v="3"/>
    <n v="44"/>
    <n v="133.84155746359221"/>
    <s v="south"/>
  </r>
  <r>
    <n v="359"/>
    <x v="0"/>
    <x v="7"/>
    <x v="2"/>
    <x v="2"/>
    <n v="44"/>
    <n v="133.90724137081764"/>
    <s v="west"/>
  </r>
  <r>
    <n v="360"/>
    <x v="5"/>
    <x v="58"/>
    <x v="0"/>
    <x v="4"/>
    <n v="70"/>
    <n v="211.68588054687572"/>
    <s v="south"/>
  </r>
  <r>
    <n v="361"/>
    <x v="5"/>
    <x v="10"/>
    <x v="0"/>
    <x v="1"/>
    <n v="4"/>
    <n v="9.4531080152815825"/>
    <s v="east"/>
  </r>
  <r>
    <n v="362"/>
    <x v="7"/>
    <x v="37"/>
    <x v="1"/>
    <x v="0"/>
    <n v="28"/>
    <n v="86.334638190049276"/>
    <s v="midwest"/>
  </r>
  <r>
    <n v="363"/>
    <x v="2"/>
    <x v="83"/>
    <x v="2"/>
    <x v="4"/>
    <n v="83"/>
    <n v="250.60923862889706"/>
    <s v="south"/>
  </r>
  <r>
    <n v="364"/>
    <x v="8"/>
    <x v="8"/>
    <x v="2"/>
    <x v="0"/>
    <n v="46"/>
    <n v="140.47993678432567"/>
    <s v="south"/>
  </r>
  <r>
    <n v="365"/>
    <x v="7"/>
    <x v="3"/>
    <x v="2"/>
    <x v="0"/>
    <n v="88"/>
    <n v="266.35125676130951"/>
    <s v="west"/>
  </r>
  <r>
    <n v="366"/>
    <x v="6"/>
    <x v="84"/>
    <x v="1"/>
    <x v="0"/>
    <n v="9"/>
    <n v="24.537461299444743"/>
    <s v="east"/>
  </r>
  <r>
    <n v="367"/>
    <x v="1"/>
    <x v="30"/>
    <x v="1"/>
    <x v="1"/>
    <n v="8"/>
    <n v="21.825357589950652"/>
    <s v="west"/>
  </r>
  <r>
    <n v="368"/>
    <x v="4"/>
    <x v="8"/>
    <x v="2"/>
    <x v="1"/>
    <n v="37"/>
    <n v="113.0101592216552"/>
    <s v="midwest"/>
  </r>
  <r>
    <n v="369"/>
    <x v="1"/>
    <x v="85"/>
    <x v="0"/>
    <x v="1"/>
    <n v="20"/>
    <n v="61.67879282842005"/>
    <s v="east"/>
  </r>
  <r>
    <n v="370"/>
    <x v="5"/>
    <x v="81"/>
    <x v="1"/>
    <x v="0"/>
    <n v="2"/>
    <n v="7.7509272810830456"/>
    <s v="west"/>
  </r>
  <r>
    <n v="371"/>
    <x v="2"/>
    <x v="59"/>
    <x v="1"/>
    <x v="3"/>
    <n v="36"/>
    <n v="110.59418125988078"/>
    <s v="south"/>
  </r>
  <r>
    <n v="372"/>
    <x v="2"/>
    <x v="62"/>
    <x v="1"/>
    <x v="4"/>
    <n v="34"/>
    <n v="103.88965096458593"/>
    <s v="west"/>
  </r>
  <r>
    <n v="373"/>
    <x v="8"/>
    <x v="16"/>
    <x v="2"/>
    <x v="3"/>
    <n v="84"/>
    <n v="253.89322061575038"/>
    <s v="midwest"/>
  </r>
  <r>
    <n v="374"/>
    <x v="1"/>
    <x v="57"/>
    <x v="2"/>
    <x v="4"/>
    <n v="89"/>
    <n v="268.47594870423103"/>
    <s v="east"/>
  </r>
  <r>
    <n v="375"/>
    <x v="3"/>
    <x v="20"/>
    <x v="2"/>
    <x v="0"/>
    <n v="31"/>
    <n v="95.680691267513808"/>
    <s v="south"/>
  </r>
  <r>
    <n v="376"/>
    <x v="8"/>
    <x v="6"/>
    <x v="0"/>
    <x v="0"/>
    <n v="7"/>
    <n v="22.545863255239365"/>
    <s v="west"/>
  </r>
  <r>
    <n v="377"/>
    <x v="1"/>
    <x v="27"/>
    <x v="0"/>
    <x v="0"/>
    <n v="7"/>
    <n v="22.939193343037168"/>
    <s v="west"/>
  </r>
  <r>
    <n v="378"/>
    <x v="6"/>
    <x v="25"/>
    <x v="2"/>
    <x v="3"/>
    <n v="76"/>
    <n v="229.89259006043184"/>
    <s v="east"/>
  </r>
  <r>
    <n v="379"/>
    <x v="3"/>
    <x v="96"/>
    <x v="0"/>
    <x v="1"/>
    <n v="6"/>
    <n v="19.561017308486775"/>
    <s v="west"/>
  </r>
  <r>
    <n v="380"/>
    <x v="5"/>
    <x v="76"/>
    <x v="2"/>
    <x v="0"/>
    <n v="43"/>
    <n v="130.28590210776713"/>
    <s v="west"/>
  </r>
  <r>
    <n v="381"/>
    <x v="8"/>
    <x v="46"/>
    <x v="0"/>
    <x v="4"/>
    <n v="20"/>
    <n v="62.18277208256027"/>
    <s v="west"/>
  </r>
  <r>
    <n v="382"/>
    <x v="3"/>
    <x v="64"/>
    <x v="2"/>
    <x v="2"/>
    <n v="11"/>
    <n v="35.076818705440886"/>
    <s v="south"/>
  </r>
  <r>
    <n v="383"/>
    <x v="7"/>
    <x v="44"/>
    <x v="1"/>
    <x v="3"/>
    <n v="35"/>
    <n v="107.05323824700537"/>
    <s v="east"/>
  </r>
  <r>
    <n v="384"/>
    <x v="6"/>
    <x v="64"/>
    <x v="2"/>
    <x v="1"/>
    <n v="72"/>
    <n v="218.15023917907857"/>
    <s v="south"/>
  </r>
  <r>
    <n v="385"/>
    <x v="8"/>
    <x v="58"/>
    <x v="0"/>
    <x v="1"/>
    <n v="49"/>
    <n v="148.92692975074797"/>
    <s v="west"/>
  </r>
  <r>
    <n v="386"/>
    <x v="7"/>
    <x v="45"/>
    <x v="2"/>
    <x v="1"/>
    <n v="88"/>
    <n v="266.64631383797939"/>
    <s v="midwest"/>
  </r>
  <r>
    <n v="387"/>
    <x v="2"/>
    <x v="23"/>
    <x v="2"/>
    <x v="1"/>
    <n v="45"/>
    <n v="136.00734165157533"/>
    <s v="midwest"/>
  </r>
  <r>
    <n v="388"/>
    <x v="2"/>
    <x v="6"/>
    <x v="0"/>
    <x v="0"/>
    <n v="37"/>
    <n v="112.92900415721101"/>
    <s v="midwest"/>
  </r>
  <r>
    <n v="389"/>
    <x v="4"/>
    <x v="28"/>
    <x v="1"/>
    <x v="0"/>
    <n v="12"/>
    <n v="38.618337900456311"/>
    <s v="midwest"/>
  </r>
  <r>
    <n v="390"/>
    <x v="7"/>
    <x v="82"/>
    <x v="0"/>
    <x v="4"/>
    <n v="18"/>
    <n v="55.932067779481031"/>
    <s v="midwest"/>
  </r>
  <r>
    <n v="391"/>
    <x v="1"/>
    <x v="61"/>
    <x v="2"/>
    <x v="0"/>
    <n v="75"/>
    <n v="226.99796556311475"/>
    <s v="south"/>
  </r>
  <r>
    <n v="392"/>
    <x v="7"/>
    <x v="2"/>
    <x v="1"/>
    <x v="1"/>
    <n v="8"/>
    <n v="26.314204821327241"/>
    <s v="south"/>
  </r>
  <r>
    <n v="393"/>
    <x v="0"/>
    <x v="0"/>
    <x v="0"/>
    <x v="0"/>
    <n v="37"/>
    <n v="112.53534248627696"/>
    <s v="east"/>
  </r>
  <r>
    <n v="394"/>
    <x v="2"/>
    <x v="43"/>
    <x v="0"/>
    <x v="0"/>
    <n v="6"/>
    <n v="16.412365818215765"/>
    <s v="south"/>
  </r>
  <r>
    <n v="395"/>
    <x v="0"/>
    <x v="82"/>
    <x v="0"/>
    <x v="2"/>
    <n v="56"/>
    <n v="169.27515470165261"/>
    <s v="midwest"/>
  </r>
  <r>
    <n v="396"/>
    <x v="7"/>
    <x v="89"/>
    <x v="0"/>
    <x v="3"/>
    <n v="53"/>
    <n v="161.32546557795675"/>
    <s v="midwest"/>
  </r>
  <r>
    <n v="397"/>
    <x v="5"/>
    <x v="58"/>
    <x v="0"/>
    <x v="0"/>
    <n v="62"/>
    <n v="187.71993550398903"/>
    <s v="south"/>
  </r>
  <r>
    <n v="398"/>
    <x v="2"/>
    <x v="48"/>
    <x v="1"/>
    <x v="4"/>
    <n v="90"/>
    <n v="271.30519777626336"/>
    <s v="midwest"/>
  </r>
  <r>
    <n v="399"/>
    <x v="2"/>
    <x v="46"/>
    <x v="0"/>
    <x v="3"/>
    <n v="30"/>
    <n v="92.293324121451917"/>
    <s v="midwest"/>
  </r>
  <r>
    <n v="400"/>
    <x v="4"/>
    <x v="47"/>
    <x v="1"/>
    <x v="1"/>
    <n v="36"/>
    <n v="110.39391248869612"/>
    <s v="east"/>
  </r>
  <r>
    <n v="401"/>
    <x v="5"/>
    <x v="66"/>
    <x v="1"/>
    <x v="3"/>
    <n v="76"/>
    <n v="230.11911772178482"/>
    <s v="west"/>
  </r>
  <r>
    <n v="402"/>
    <x v="6"/>
    <x v="28"/>
    <x v="1"/>
    <x v="0"/>
    <n v="4"/>
    <n v="10.045852408088738"/>
    <s v="south"/>
  </r>
  <r>
    <n v="403"/>
    <x v="4"/>
    <x v="89"/>
    <x v="0"/>
    <x v="2"/>
    <n v="26"/>
    <n v="80.067286712333498"/>
    <s v="midwest"/>
  </r>
  <r>
    <n v="404"/>
    <x v="5"/>
    <x v="63"/>
    <x v="1"/>
    <x v="0"/>
    <n v="5"/>
    <n v="12.799843018696107"/>
    <s v="west"/>
  </r>
  <r>
    <n v="405"/>
    <x v="3"/>
    <x v="87"/>
    <x v="0"/>
    <x v="1"/>
    <n v="44"/>
    <n v="133.92031416884828"/>
    <s v="midwest"/>
  </r>
  <r>
    <n v="406"/>
    <x v="4"/>
    <x v="53"/>
    <x v="0"/>
    <x v="4"/>
    <n v="91"/>
    <n v="274.81127367201924"/>
    <s v="south"/>
  </r>
  <r>
    <n v="407"/>
    <x v="6"/>
    <x v="1"/>
    <x v="0"/>
    <x v="0"/>
    <n v="78"/>
    <n v="235.98595343131922"/>
    <s v="west"/>
  </r>
  <r>
    <n v="408"/>
    <x v="7"/>
    <x v="3"/>
    <x v="2"/>
    <x v="0"/>
    <n v="69"/>
    <n v="208.58962786585158"/>
    <s v="midwest"/>
  </r>
  <r>
    <n v="409"/>
    <x v="0"/>
    <x v="79"/>
    <x v="0"/>
    <x v="4"/>
    <n v="74"/>
    <n v="224.0430547727791"/>
    <s v="east"/>
  </r>
  <r>
    <n v="410"/>
    <x v="3"/>
    <x v="50"/>
    <x v="1"/>
    <x v="1"/>
    <n v="71"/>
    <n v="215.12402518996404"/>
    <s v="south"/>
  </r>
  <r>
    <n v="411"/>
    <x v="0"/>
    <x v="24"/>
    <x v="2"/>
    <x v="2"/>
    <n v="34"/>
    <n v="103.84939593855748"/>
    <s v="midwest"/>
  </r>
  <r>
    <n v="412"/>
    <x v="7"/>
    <x v="98"/>
    <x v="1"/>
    <x v="4"/>
    <n v="93"/>
    <n v="281.17054419951137"/>
    <s v="south"/>
  </r>
  <r>
    <n v="413"/>
    <x v="1"/>
    <x v="2"/>
    <x v="1"/>
    <x v="1"/>
    <n v="60"/>
    <n v="182.60959965033061"/>
    <s v="west"/>
  </r>
  <r>
    <n v="414"/>
    <x v="8"/>
    <x v="70"/>
    <x v="0"/>
    <x v="1"/>
    <n v="37"/>
    <n v="112.43397722732024"/>
    <s v="midwest"/>
  </r>
  <r>
    <n v="415"/>
    <x v="7"/>
    <x v="35"/>
    <x v="0"/>
    <x v="3"/>
    <n v="26"/>
    <n v="79.913804333123736"/>
    <s v="south"/>
  </r>
  <r>
    <n v="416"/>
    <x v="3"/>
    <x v="34"/>
    <x v="1"/>
    <x v="3"/>
    <n v="2"/>
    <n v="8.5397555339606015"/>
    <s v="east"/>
  </r>
  <r>
    <n v="417"/>
    <x v="5"/>
    <x v="62"/>
    <x v="1"/>
    <x v="1"/>
    <n v="9"/>
    <n v="25.920453761182117"/>
    <s v="east"/>
  </r>
  <r>
    <n v="418"/>
    <x v="0"/>
    <x v="25"/>
    <x v="2"/>
    <x v="1"/>
    <n v="46"/>
    <n v="139.68753059266518"/>
    <s v="west"/>
  </r>
  <r>
    <n v="419"/>
    <x v="5"/>
    <x v="1"/>
    <x v="0"/>
    <x v="4"/>
    <n v="0"/>
    <n v="2.3470477551262947"/>
    <s v="midwest"/>
  </r>
  <r>
    <n v="420"/>
    <x v="1"/>
    <x v="10"/>
    <x v="0"/>
    <x v="1"/>
    <n v="79"/>
    <n v="239.2208514522392"/>
    <s v="east"/>
  </r>
  <r>
    <n v="421"/>
    <x v="2"/>
    <x v="94"/>
    <x v="1"/>
    <x v="1"/>
    <n v="48"/>
    <n v="146.50697859164157"/>
    <s v="midwest"/>
  </r>
  <r>
    <n v="422"/>
    <x v="3"/>
    <x v="61"/>
    <x v="2"/>
    <x v="3"/>
    <n v="77"/>
    <n v="233.0800910699262"/>
    <s v="west"/>
  </r>
  <r>
    <n v="423"/>
    <x v="7"/>
    <x v="71"/>
    <x v="2"/>
    <x v="1"/>
    <n v="10"/>
    <n v="26.967932789902449"/>
    <s v="east"/>
  </r>
  <r>
    <n v="424"/>
    <x v="0"/>
    <x v="30"/>
    <x v="1"/>
    <x v="2"/>
    <n v="45"/>
    <n v="137.23163667167327"/>
    <s v="west"/>
  </r>
  <r>
    <n v="425"/>
    <x v="4"/>
    <x v="42"/>
    <x v="1"/>
    <x v="1"/>
    <n v="17"/>
    <n v="53.565793196028118"/>
    <s v="east"/>
  </r>
  <r>
    <n v="426"/>
    <x v="7"/>
    <x v="59"/>
    <x v="1"/>
    <x v="3"/>
    <n v="4"/>
    <n v="10.36408331456853"/>
    <s v="south"/>
  </r>
  <r>
    <n v="427"/>
    <x v="3"/>
    <x v="7"/>
    <x v="2"/>
    <x v="4"/>
    <n v="43"/>
    <n v="130.80350038976189"/>
    <s v="west"/>
  </r>
  <r>
    <n v="428"/>
    <x v="4"/>
    <x v="67"/>
    <x v="0"/>
    <x v="3"/>
    <n v="41"/>
    <n v="125.18937528559893"/>
    <s v="west"/>
  </r>
  <r>
    <n v="429"/>
    <x v="7"/>
    <x v="26"/>
    <x v="2"/>
    <x v="2"/>
    <n v="4"/>
    <n v="9.8762446340450722"/>
    <s v="midwest"/>
  </r>
  <r>
    <n v="430"/>
    <x v="6"/>
    <x v="65"/>
    <x v="0"/>
    <x v="1"/>
    <n v="6"/>
    <n v="20.388215317654449"/>
    <s v="south"/>
  </r>
  <r>
    <n v="431"/>
    <x v="2"/>
    <x v="39"/>
    <x v="2"/>
    <x v="1"/>
    <n v="8"/>
    <n v="25.124465791488021"/>
    <s v="east"/>
  </r>
  <r>
    <n v="432"/>
    <x v="1"/>
    <x v="73"/>
    <x v="0"/>
    <x v="3"/>
    <n v="43"/>
    <n v="131.20326238549768"/>
    <s v="west"/>
  </r>
  <r>
    <n v="433"/>
    <x v="0"/>
    <x v="29"/>
    <x v="0"/>
    <x v="3"/>
    <n v="47"/>
    <n v="142.67305731753257"/>
    <s v="south"/>
  </r>
  <r>
    <n v="434"/>
    <x v="1"/>
    <x v="57"/>
    <x v="2"/>
    <x v="0"/>
    <n v="13"/>
    <n v="41.344467136527072"/>
    <s v="south"/>
  </r>
  <r>
    <n v="435"/>
    <x v="7"/>
    <x v="20"/>
    <x v="2"/>
    <x v="1"/>
    <n v="9"/>
    <n v="28.804240494297932"/>
    <s v="west"/>
  </r>
  <r>
    <n v="436"/>
    <x v="0"/>
    <x v="85"/>
    <x v="0"/>
    <x v="3"/>
    <n v="22"/>
    <n v="67.510047922862512"/>
    <s v="east"/>
  </r>
  <r>
    <n v="437"/>
    <x v="3"/>
    <x v="64"/>
    <x v="2"/>
    <x v="3"/>
    <n v="87"/>
    <n v="263.06877286650899"/>
    <s v="south"/>
  </r>
  <r>
    <n v="438"/>
    <x v="5"/>
    <x v="76"/>
    <x v="2"/>
    <x v="1"/>
    <n v="15"/>
    <n v="46.297252141958666"/>
    <s v="west"/>
  </r>
  <r>
    <n v="439"/>
    <x v="8"/>
    <x v="76"/>
    <x v="2"/>
    <x v="3"/>
    <n v="27"/>
    <n v="83.407614775333784"/>
    <s v="west"/>
  </r>
  <r>
    <n v="440"/>
    <x v="4"/>
    <x v="16"/>
    <x v="2"/>
    <x v="2"/>
    <n v="78"/>
    <n v="236.44426202228297"/>
    <s v="midwest"/>
  </r>
  <r>
    <n v="441"/>
    <x v="8"/>
    <x v="55"/>
    <x v="1"/>
    <x v="4"/>
    <n v="27"/>
    <n v="82.997777309268898"/>
    <s v="south"/>
  </r>
  <r>
    <n v="442"/>
    <x v="8"/>
    <x v="97"/>
    <x v="0"/>
    <x v="1"/>
    <n v="19"/>
    <n v="59.621865554565929"/>
    <s v="east"/>
  </r>
  <r>
    <n v="443"/>
    <x v="2"/>
    <x v="53"/>
    <x v="0"/>
    <x v="4"/>
    <n v="0"/>
    <n v="2.3705199513077329"/>
    <s v="west"/>
  </r>
  <r>
    <n v="444"/>
    <x v="0"/>
    <x v="89"/>
    <x v="0"/>
    <x v="3"/>
    <n v="30"/>
    <n v="91.969621588308584"/>
    <s v="south"/>
  </r>
  <r>
    <n v="445"/>
    <x v="5"/>
    <x v="9"/>
    <x v="2"/>
    <x v="2"/>
    <n v="17"/>
    <n v="52.938579538531904"/>
    <s v="midwest"/>
  </r>
  <r>
    <n v="446"/>
    <x v="1"/>
    <x v="98"/>
    <x v="1"/>
    <x v="0"/>
    <n v="36"/>
    <n v="109.95144430067725"/>
    <s v="south"/>
  </r>
  <r>
    <n v="447"/>
    <x v="1"/>
    <x v="61"/>
    <x v="2"/>
    <x v="1"/>
    <n v="4"/>
    <n v="10.242938195130456"/>
    <s v="south"/>
  </r>
  <r>
    <n v="448"/>
    <x v="8"/>
    <x v="46"/>
    <x v="0"/>
    <x v="4"/>
    <n v="4"/>
    <n v="14.170380845910964"/>
    <s v="east"/>
  </r>
  <r>
    <n v="449"/>
    <x v="2"/>
    <x v="29"/>
    <x v="0"/>
    <x v="3"/>
    <n v="81"/>
    <n v="244.97499865385612"/>
    <s v="east"/>
  </r>
  <r>
    <n v="450"/>
    <x v="5"/>
    <x v="43"/>
    <x v="0"/>
    <x v="3"/>
    <n v="87"/>
    <n v="263.83037846281559"/>
    <s v="south"/>
  </r>
  <r>
    <n v="451"/>
    <x v="0"/>
    <x v="27"/>
    <x v="0"/>
    <x v="3"/>
    <n v="13"/>
    <n v="40.507831778483222"/>
    <s v="south"/>
  </r>
  <r>
    <n v="452"/>
    <x v="3"/>
    <x v="87"/>
    <x v="0"/>
    <x v="0"/>
    <n v="48"/>
    <n v="145.84691044279441"/>
    <s v="east"/>
  </r>
  <r>
    <n v="453"/>
    <x v="0"/>
    <x v="62"/>
    <x v="1"/>
    <x v="2"/>
    <n v="2"/>
    <n v="7.0981331873476012"/>
    <s v="west"/>
  </r>
  <r>
    <n v="454"/>
    <x v="7"/>
    <x v="4"/>
    <x v="0"/>
    <x v="0"/>
    <n v="32"/>
    <n v="98.366647965700452"/>
    <s v="east"/>
  </r>
  <r>
    <n v="455"/>
    <x v="2"/>
    <x v="12"/>
    <x v="1"/>
    <x v="0"/>
    <n v="13"/>
    <n v="41.16877365274803"/>
    <s v="west"/>
  </r>
  <r>
    <n v="456"/>
    <x v="8"/>
    <x v="52"/>
    <x v="2"/>
    <x v="4"/>
    <n v="94"/>
    <n v="283.45251417423401"/>
    <s v="west"/>
  </r>
  <r>
    <n v="457"/>
    <x v="7"/>
    <x v="45"/>
    <x v="2"/>
    <x v="4"/>
    <n v="63"/>
    <n v="190.83724952198969"/>
    <s v="east"/>
  </r>
  <r>
    <n v="458"/>
    <x v="3"/>
    <x v="56"/>
    <x v="2"/>
    <x v="1"/>
    <n v="45"/>
    <n v="136.97942653814263"/>
    <s v="west"/>
  </r>
  <r>
    <n v="459"/>
    <x v="4"/>
    <x v="28"/>
    <x v="1"/>
    <x v="4"/>
    <n v="71"/>
    <n v="214.76898776471646"/>
    <s v="south"/>
  </r>
  <r>
    <n v="460"/>
    <x v="4"/>
    <x v="70"/>
    <x v="0"/>
    <x v="4"/>
    <n v="74"/>
    <n v="224.18238847872837"/>
    <s v="east"/>
  </r>
  <r>
    <n v="461"/>
    <x v="2"/>
    <x v="97"/>
    <x v="0"/>
    <x v="4"/>
    <n v="48"/>
    <n v="145.64951342948135"/>
    <s v="west"/>
  </r>
  <r>
    <n v="462"/>
    <x v="5"/>
    <x v="85"/>
    <x v="0"/>
    <x v="0"/>
    <n v="63"/>
    <n v="191.1884163928766"/>
    <s v="east"/>
  </r>
  <r>
    <n v="463"/>
    <x v="4"/>
    <x v="92"/>
    <x v="1"/>
    <x v="0"/>
    <n v="48"/>
    <n v="145.69127497854927"/>
    <s v="west"/>
  </r>
  <r>
    <n v="464"/>
    <x v="1"/>
    <x v="93"/>
    <x v="2"/>
    <x v="4"/>
    <n v="26"/>
    <n v="80.6144268681997"/>
    <s v="midwest"/>
  </r>
  <r>
    <n v="465"/>
    <x v="2"/>
    <x v="56"/>
    <x v="2"/>
    <x v="3"/>
    <n v="58"/>
    <n v="176.26520049915879"/>
    <s v="south"/>
  </r>
  <r>
    <n v="466"/>
    <x v="3"/>
    <x v="71"/>
    <x v="2"/>
    <x v="0"/>
    <n v="2"/>
    <n v="8.7479494068217463"/>
    <s v="midwest"/>
  </r>
  <r>
    <n v="467"/>
    <x v="4"/>
    <x v="9"/>
    <x v="2"/>
    <x v="0"/>
    <n v="36"/>
    <n v="109.67661001591094"/>
    <s v="midwest"/>
  </r>
  <r>
    <n v="468"/>
    <x v="8"/>
    <x v="44"/>
    <x v="1"/>
    <x v="4"/>
    <n v="22"/>
    <n v="68.355074793823817"/>
    <s v="east"/>
  </r>
  <r>
    <n v="469"/>
    <x v="8"/>
    <x v="30"/>
    <x v="1"/>
    <x v="0"/>
    <n v="92"/>
    <n v="277.66680522408262"/>
    <s v="midwest"/>
  </r>
  <r>
    <n v="470"/>
    <x v="0"/>
    <x v="67"/>
    <x v="0"/>
    <x v="1"/>
    <n v="29"/>
    <n v="88.713589465763263"/>
    <s v="east"/>
  </r>
  <r>
    <n v="471"/>
    <x v="2"/>
    <x v="83"/>
    <x v="2"/>
    <x v="0"/>
    <n v="42"/>
    <n v="128.17075092766001"/>
    <s v="south"/>
  </r>
  <r>
    <n v="472"/>
    <x v="5"/>
    <x v="70"/>
    <x v="0"/>
    <x v="0"/>
    <n v="25"/>
    <n v="77.315706522508677"/>
    <s v="south"/>
  </r>
  <r>
    <n v="473"/>
    <x v="4"/>
    <x v="55"/>
    <x v="1"/>
    <x v="1"/>
    <n v="40"/>
    <n v="122.53928167294391"/>
    <s v="midwest"/>
  </r>
  <r>
    <n v="474"/>
    <x v="8"/>
    <x v="87"/>
    <x v="0"/>
    <x v="0"/>
    <n v="3"/>
    <n v="10.570883063872969"/>
    <s v="south"/>
  </r>
  <r>
    <n v="475"/>
    <x v="0"/>
    <x v="95"/>
    <x v="1"/>
    <x v="1"/>
    <n v="1"/>
    <n v="0.82178994105370951"/>
    <s v="south"/>
  </r>
  <r>
    <n v="476"/>
    <x v="2"/>
    <x v="24"/>
    <x v="2"/>
    <x v="1"/>
    <n v="12"/>
    <n v="37.686101056343105"/>
    <s v="east"/>
  </r>
  <r>
    <n v="477"/>
    <x v="8"/>
    <x v="4"/>
    <x v="0"/>
    <x v="3"/>
    <n v="0"/>
    <n v="2.0013600167772623"/>
    <s v="south"/>
  </r>
  <r>
    <n v="478"/>
    <x v="1"/>
    <x v="71"/>
    <x v="2"/>
    <x v="0"/>
    <n v="35"/>
    <n v="106.26347084870943"/>
    <s v="south"/>
  </r>
  <r>
    <n v="479"/>
    <x v="6"/>
    <x v="31"/>
    <x v="1"/>
    <x v="1"/>
    <n v="2"/>
    <n v="7.6817477771075868"/>
    <s v="east"/>
  </r>
  <r>
    <n v="480"/>
    <x v="3"/>
    <x v="3"/>
    <x v="2"/>
    <x v="2"/>
    <n v="10"/>
    <n v="31.785155418327982"/>
    <s v="east"/>
  </r>
  <r>
    <n v="481"/>
    <x v="7"/>
    <x v="84"/>
    <x v="1"/>
    <x v="3"/>
    <n v="6"/>
    <n v="19.733545359470948"/>
    <s v="midwest"/>
  </r>
  <r>
    <n v="482"/>
    <x v="7"/>
    <x v="1"/>
    <x v="0"/>
    <x v="0"/>
    <n v="4"/>
    <n v="14.10456917940213"/>
    <s v="west"/>
  </r>
  <r>
    <n v="483"/>
    <x v="8"/>
    <x v="83"/>
    <x v="2"/>
    <x v="4"/>
    <n v="91"/>
    <n v="274.92032051274288"/>
    <s v="east"/>
  </r>
  <r>
    <n v="484"/>
    <x v="7"/>
    <x v="8"/>
    <x v="2"/>
    <x v="0"/>
    <n v="12"/>
    <n v="37.877226411963186"/>
    <s v="east"/>
  </r>
  <r>
    <n v="485"/>
    <x v="3"/>
    <x v="51"/>
    <x v="0"/>
    <x v="1"/>
    <n v="21"/>
    <n v="65.281423150866814"/>
    <s v="west"/>
  </r>
  <r>
    <n v="486"/>
    <x v="7"/>
    <x v="48"/>
    <x v="1"/>
    <x v="4"/>
    <n v="44"/>
    <n v="134.31454889834902"/>
    <s v="west"/>
  </r>
  <r>
    <n v="487"/>
    <x v="0"/>
    <x v="42"/>
    <x v="1"/>
    <x v="3"/>
    <n v="75"/>
    <n v="227.09867242909783"/>
    <s v="west"/>
  </r>
  <r>
    <n v="488"/>
    <x v="0"/>
    <x v="86"/>
    <x v="0"/>
    <x v="3"/>
    <n v="37"/>
    <n v="112.99692232382439"/>
    <s v="south"/>
  </r>
  <r>
    <n v="489"/>
    <x v="3"/>
    <x v="69"/>
    <x v="2"/>
    <x v="3"/>
    <n v="58"/>
    <n v="176.06598986452823"/>
    <s v="midwest"/>
  </r>
  <r>
    <n v="490"/>
    <x v="7"/>
    <x v="71"/>
    <x v="2"/>
    <x v="3"/>
    <n v="74"/>
    <n v="223.60878513520231"/>
    <s v="south"/>
  </r>
  <r>
    <n v="491"/>
    <x v="1"/>
    <x v="29"/>
    <x v="0"/>
    <x v="1"/>
    <n v="64"/>
    <n v="193.54947188165715"/>
    <s v="south"/>
  </r>
  <r>
    <n v="492"/>
    <x v="0"/>
    <x v="5"/>
    <x v="1"/>
    <x v="2"/>
    <n v="53"/>
    <n v="160.46113209921771"/>
    <s v="south"/>
  </r>
  <r>
    <n v="493"/>
    <x v="2"/>
    <x v="70"/>
    <x v="0"/>
    <x v="3"/>
    <n v="1"/>
    <n v="0.45003305566648821"/>
    <s v="midwest"/>
  </r>
  <r>
    <n v="494"/>
    <x v="2"/>
    <x v="45"/>
    <x v="2"/>
    <x v="4"/>
    <n v="21"/>
    <n v="65.06546054796479"/>
    <s v="west"/>
  </r>
  <r>
    <n v="495"/>
    <x v="7"/>
    <x v="25"/>
    <x v="2"/>
    <x v="4"/>
    <n v="90"/>
    <n v="271.33770442615577"/>
    <s v="east"/>
  </r>
  <r>
    <n v="496"/>
    <x v="7"/>
    <x v="68"/>
    <x v="1"/>
    <x v="2"/>
    <n v="61"/>
    <n v="184.82822454861244"/>
    <s v="midwest"/>
  </r>
  <r>
    <n v="497"/>
    <x v="0"/>
    <x v="63"/>
    <x v="1"/>
    <x v="4"/>
    <n v="64"/>
    <n v="193.98125439867269"/>
    <s v="east"/>
  </r>
  <r>
    <n v="498"/>
    <x v="3"/>
    <x v="45"/>
    <x v="2"/>
    <x v="3"/>
    <n v="79"/>
    <n v="238.60895261406517"/>
    <s v="east"/>
  </r>
  <r>
    <n v="499"/>
    <x v="3"/>
    <x v="39"/>
    <x v="2"/>
    <x v="1"/>
    <n v="11"/>
    <n v="34.580350260479243"/>
    <s v="west"/>
  </r>
  <r>
    <n v="500"/>
    <x v="4"/>
    <x v="56"/>
    <x v="2"/>
    <x v="4"/>
    <n v="17"/>
    <n v="52.992178326548526"/>
    <s v="midwest"/>
  </r>
  <r>
    <n v="501"/>
    <x v="4"/>
    <x v="83"/>
    <x v="2"/>
    <x v="0"/>
    <n v="10"/>
    <n v="28.507437864458012"/>
    <s v="east"/>
  </r>
  <r>
    <n v="502"/>
    <x v="5"/>
    <x v="87"/>
    <x v="0"/>
    <x v="4"/>
    <n v="61"/>
    <n v="185.38151200169028"/>
    <s v="south"/>
  </r>
  <r>
    <n v="503"/>
    <x v="2"/>
    <x v="34"/>
    <x v="1"/>
    <x v="3"/>
    <n v="81"/>
    <n v="245.19138414086007"/>
    <s v="west"/>
  </r>
  <r>
    <n v="504"/>
    <x v="4"/>
    <x v="43"/>
    <x v="0"/>
    <x v="4"/>
    <n v="86"/>
    <n v="259.65061904974743"/>
    <s v="east"/>
  </r>
  <r>
    <n v="505"/>
    <x v="5"/>
    <x v="35"/>
    <x v="0"/>
    <x v="3"/>
    <n v="6"/>
    <n v="16.598209454734359"/>
    <s v="east"/>
  </r>
  <r>
    <n v="506"/>
    <x v="7"/>
    <x v="22"/>
    <x v="1"/>
    <x v="2"/>
    <n v="75"/>
    <n v="226.29108110625336"/>
    <s v="west"/>
  </r>
  <r>
    <n v="507"/>
    <x v="3"/>
    <x v="95"/>
    <x v="1"/>
    <x v="4"/>
    <n v="87"/>
    <n v="262.49660177211871"/>
    <s v="west"/>
  </r>
  <r>
    <n v="508"/>
    <x v="8"/>
    <x v="41"/>
    <x v="2"/>
    <x v="1"/>
    <n v="15"/>
    <n v="47.143262888260409"/>
    <s v="west"/>
  </r>
  <r>
    <n v="509"/>
    <x v="7"/>
    <x v="55"/>
    <x v="1"/>
    <x v="2"/>
    <n v="6"/>
    <n v="20.042838163999704"/>
    <s v="east"/>
  </r>
  <r>
    <n v="510"/>
    <x v="3"/>
    <x v="85"/>
    <x v="0"/>
    <x v="3"/>
    <n v="4"/>
    <n v="14.012285541104387"/>
    <s v="east"/>
  </r>
  <r>
    <n v="511"/>
    <x v="7"/>
    <x v="99"/>
    <x v="2"/>
    <x v="3"/>
    <n v="56"/>
    <n v="169.24877716888537"/>
    <s v="west"/>
  </r>
  <r>
    <n v="512"/>
    <x v="0"/>
    <x v="87"/>
    <x v="0"/>
    <x v="1"/>
    <n v="76"/>
    <n v="230.1804612249874"/>
    <s v="south"/>
  </r>
  <r>
    <n v="513"/>
    <x v="1"/>
    <x v="34"/>
    <x v="1"/>
    <x v="2"/>
    <n v="27"/>
    <n v="82.599143929902795"/>
    <s v="south"/>
  </r>
  <r>
    <n v="514"/>
    <x v="0"/>
    <x v="54"/>
    <x v="1"/>
    <x v="1"/>
    <n v="58"/>
    <n v="175.77181619024202"/>
    <s v="south"/>
  </r>
  <r>
    <n v="515"/>
    <x v="7"/>
    <x v="53"/>
    <x v="0"/>
    <x v="2"/>
    <n v="67"/>
    <n v="202.62226122372601"/>
    <s v="east"/>
  </r>
  <r>
    <n v="516"/>
    <x v="4"/>
    <x v="81"/>
    <x v="1"/>
    <x v="0"/>
    <n v="79"/>
    <n v="238.78594564649822"/>
    <s v="south"/>
  </r>
  <r>
    <n v="517"/>
    <x v="5"/>
    <x v="65"/>
    <x v="0"/>
    <x v="4"/>
    <n v="38"/>
    <n v="116.68598743448534"/>
    <s v="south"/>
  </r>
  <r>
    <n v="518"/>
    <x v="0"/>
    <x v="0"/>
    <x v="0"/>
    <x v="4"/>
    <n v="4"/>
    <n v="13.641635237019504"/>
    <s v="south"/>
  </r>
  <r>
    <n v="519"/>
    <x v="3"/>
    <x v="64"/>
    <x v="2"/>
    <x v="3"/>
    <n v="45"/>
    <n v="137.06873634212499"/>
    <s v="south"/>
  </r>
  <r>
    <n v="520"/>
    <x v="0"/>
    <x v="82"/>
    <x v="0"/>
    <x v="1"/>
    <n v="10"/>
    <n v="32.194899991771997"/>
    <s v="west"/>
  </r>
  <r>
    <n v="521"/>
    <x v="1"/>
    <x v="40"/>
    <x v="1"/>
    <x v="1"/>
    <n v="86"/>
    <n v="260.39717870163332"/>
    <s v="midwest"/>
  </r>
  <r>
    <n v="522"/>
    <x v="8"/>
    <x v="39"/>
    <x v="2"/>
    <x v="1"/>
    <n v="75"/>
    <n v="226.71443824204945"/>
    <s v="west"/>
  </r>
  <r>
    <n v="523"/>
    <x v="6"/>
    <x v="55"/>
    <x v="1"/>
    <x v="3"/>
    <n v="77"/>
    <n v="232.49630521155086"/>
    <s v="west"/>
  </r>
  <r>
    <n v="524"/>
    <x v="6"/>
    <x v="6"/>
    <x v="0"/>
    <x v="3"/>
    <n v="10"/>
    <n v="31.818132134554009"/>
    <s v="west"/>
  </r>
  <r>
    <n v="525"/>
    <x v="5"/>
    <x v="67"/>
    <x v="0"/>
    <x v="1"/>
    <n v="62"/>
    <n v="188.38088235582651"/>
    <s v="west"/>
  </r>
  <r>
    <n v="526"/>
    <x v="0"/>
    <x v="97"/>
    <x v="0"/>
    <x v="0"/>
    <n v="73"/>
    <n v="221.29214849175239"/>
    <s v="east"/>
  </r>
  <r>
    <n v="527"/>
    <x v="7"/>
    <x v="46"/>
    <x v="0"/>
    <x v="1"/>
    <n v="62"/>
    <n v="187.23352558776915"/>
    <s v="south"/>
  </r>
  <r>
    <n v="528"/>
    <x v="3"/>
    <x v="26"/>
    <x v="2"/>
    <x v="4"/>
    <n v="11"/>
    <n v="35.723241285873279"/>
    <s v="east"/>
  </r>
  <r>
    <n v="529"/>
    <x v="1"/>
    <x v="54"/>
    <x v="1"/>
    <x v="4"/>
    <n v="28"/>
    <n v="86.078223340302799"/>
    <s v="south"/>
  </r>
  <r>
    <n v="530"/>
    <x v="1"/>
    <x v="88"/>
    <x v="0"/>
    <x v="4"/>
    <n v="57"/>
    <n v="172.3620870689609"/>
    <s v="west"/>
  </r>
  <r>
    <n v="531"/>
    <x v="8"/>
    <x v="89"/>
    <x v="0"/>
    <x v="3"/>
    <n v="34"/>
    <n v="103.4937406460938"/>
    <s v="south"/>
  </r>
  <r>
    <n v="532"/>
    <x v="7"/>
    <x v="84"/>
    <x v="1"/>
    <x v="3"/>
    <n v="89"/>
    <n v="267.86415015075153"/>
    <s v="west"/>
  </r>
  <r>
    <n v="533"/>
    <x v="1"/>
    <x v="19"/>
    <x v="0"/>
    <x v="0"/>
    <n v="32"/>
    <n v="97.889348643674225"/>
    <s v="midwest"/>
  </r>
  <r>
    <n v="534"/>
    <x v="3"/>
    <x v="60"/>
    <x v="2"/>
    <x v="3"/>
    <n v="38"/>
    <n v="116.04458768996518"/>
    <s v="east"/>
  </r>
  <r>
    <n v="535"/>
    <x v="5"/>
    <x v="59"/>
    <x v="1"/>
    <x v="0"/>
    <n v="82"/>
    <n v="248.04707692390426"/>
    <s v="east"/>
  </r>
  <r>
    <n v="536"/>
    <x v="7"/>
    <x v="58"/>
    <x v="0"/>
    <x v="1"/>
    <n v="29"/>
    <n v="89.294687359204545"/>
    <s v="south"/>
  </r>
  <r>
    <n v="537"/>
    <x v="6"/>
    <x v="52"/>
    <x v="2"/>
    <x v="2"/>
    <n v="17"/>
    <n v="52.246197330854876"/>
    <s v="west"/>
  </r>
  <r>
    <n v="538"/>
    <x v="1"/>
    <x v="38"/>
    <x v="0"/>
    <x v="3"/>
    <n v="50"/>
    <n v="151.86525901218997"/>
    <s v="east"/>
  </r>
  <r>
    <n v="539"/>
    <x v="4"/>
    <x v="0"/>
    <x v="0"/>
    <x v="2"/>
    <n v="7"/>
    <n v="22.95994805531884"/>
    <s v="east"/>
  </r>
  <r>
    <n v="540"/>
    <x v="2"/>
    <x v="55"/>
    <x v="1"/>
    <x v="0"/>
    <n v="50"/>
    <n v="151.36182402448466"/>
    <s v="east"/>
  </r>
  <r>
    <n v="541"/>
    <x v="5"/>
    <x v="2"/>
    <x v="1"/>
    <x v="2"/>
    <n v="20"/>
    <n v="61.878678847796238"/>
    <s v="midwest"/>
  </r>
  <r>
    <n v="542"/>
    <x v="7"/>
    <x v="2"/>
    <x v="1"/>
    <x v="1"/>
    <n v="37"/>
    <n v="112.83363370259229"/>
    <s v="east"/>
  </r>
  <r>
    <n v="543"/>
    <x v="3"/>
    <x v="78"/>
    <x v="0"/>
    <x v="4"/>
    <n v="58"/>
    <n v="176.6097113560426"/>
    <s v="east"/>
  </r>
  <r>
    <n v="544"/>
    <x v="4"/>
    <x v="61"/>
    <x v="2"/>
    <x v="1"/>
    <n v="25"/>
    <n v="76.920283125674487"/>
    <s v="south"/>
  </r>
  <r>
    <n v="545"/>
    <x v="1"/>
    <x v="0"/>
    <x v="0"/>
    <x v="3"/>
    <n v="34"/>
    <n v="103.18208157525912"/>
    <s v="midwest"/>
  </r>
  <r>
    <n v="546"/>
    <x v="0"/>
    <x v="76"/>
    <x v="2"/>
    <x v="1"/>
    <n v="3"/>
    <n v="11.582072936390588"/>
    <s v="midwest"/>
  </r>
  <r>
    <n v="547"/>
    <x v="0"/>
    <x v="52"/>
    <x v="2"/>
    <x v="2"/>
    <n v="63"/>
    <n v="190.58521809047551"/>
    <s v="east"/>
  </r>
  <r>
    <n v="548"/>
    <x v="0"/>
    <x v="49"/>
    <x v="2"/>
    <x v="3"/>
    <n v="44"/>
    <n v="133.61508244900483"/>
    <s v="midwest"/>
  </r>
  <r>
    <n v="549"/>
    <x v="8"/>
    <x v="15"/>
    <x v="0"/>
    <x v="3"/>
    <n v="87"/>
    <n v="263.16283259571526"/>
    <s v="midwest"/>
  </r>
  <r>
    <n v="550"/>
    <x v="7"/>
    <x v="2"/>
    <x v="1"/>
    <x v="2"/>
    <n v="4"/>
    <n v="14.191095035521025"/>
    <s v="south"/>
  </r>
  <r>
    <n v="551"/>
    <x v="2"/>
    <x v="90"/>
    <x v="2"/>
    <x v="1"/>
    <n v="93"/>
    <n v="281.17072628162578"/>
    <s v="midwest"/>
  </r>
  <r>
    <n v="552"/>
    <x v="5"/>
    <x v="10"/>
    <x v="0"/>
    <x v="2"/>
    <n v="10"/>
    <n v="32.065090501540446"/>
    <s v="east"/>
  </r>
  <r>
    <n v="553"/>
    <x v="3"/>
    <x v="7"/>
    <x v="2"/>
    <x v="4"/>
    <n v="19"/>
    <n v="58.972126169367577"/>
    <s v="east"/>
  </r>
  <r>
    <n v="554"/>
    <x v="1"/>
    <x v="95"/>
    <x v="1"/>
    <x v="3"/>
    <n v="30"/>
    <n v="92.527630840276103"/>
    <s v="south"/>
  </r>
  <r>
    <n v="555"/>
    <x v="2"/>
    <x v="72"/>
    <x v="2"/>
    <x v="4"/>
    <n v="1"/>
    <n v="1.2782372664639507"/>
    <s v="south"/>
  </r>
  <r>
    <n v="556"/>
    <x v="7"/>
    <x v="16"/>
    <x v="2"/>
    <x v="3"/>
    <n v="46"/>
    <n v="139.41162650743053"/>
    <s v="east"/>
  </r>
  <r>
    <n v="557"/>
    <x v="5"/>
    <x v="78"/>
    <x v="0"/>
    <x v="1"/>
    <n v="44"/>
    <n v="133.50877739627518"/>
    <s v="midwest"/>
  </r>
  <r>
    <n v="558"/>
    <x v="0"/>
    <x v="17"/>
    <x v="0"/>
    <x v="3"/>
    <n v="47"/>
    <n v="143.21221530085697"/>
    <s v="midwest"/>
  </r>
  <r>
    <n v="559"/>
    <x v="7"/>
    <x v="24"/>
    <x v="2"/>
    <x v="3"/>
    <n v="86"/>
    <n v="260.39157259526775"/>
    <s v="east"/>
  </r>
  <r>
    <n v="560"/>
    <x v="7"/>
    <x v="69"/>
    <x v="2"/>
    <x v="1"/>
    <n v="76"/>
    <n v="229.96347977242982"/>
    <s v="midwest"/>
  </r>
  <r>
    <n v="561"/>
    <x v="3"/>
    <x v="0"/>
    <x v="0"/>
    <x v="4"/>
    <n v="55"/>
    <n v="166.99029890676019"/>
    <s v="west"/>
  </r>
  <r>
    <n v="562"/>
    <x v="2"/>
    <x v="58"/>
    <x v="0"/>
    <x v="3"/>
    <n v="1"/>
    <n v="0.79289798318866422"/>
    <s v="south"/>
  </r>
  <r>
    <n v="563"/>
    <x v="2"/>
    <x v="86"/>
    <x v="0"/>
    <x v="4"/>
    <n v="62"/>
    <n v="187.63361707571198"/>
    <s v="west"/>
  </r>
  <r>
    <n v="564"/>
    <x v="2"/>
    <x v="97"/>
    <x v="0"/>
    <x v="1"/>
    <n v="73"/>
    <n v="220.96515803490902"/>
    <s v="midwest"/>
  </r>
  <r>
    <n v="565"/>
    <x v="1"/>
    <x v="51"/>
    <x v="0"/>
    <x v="2"/>
    <n v="12"/>
    <n v="38.43875396047023"/>
    <s v="west"/>
  </r>
  <r>
    <n v="566"/>
    <x v="6"/>
    <x v="88"/>
    <x v="0"/>
    <x v="4"/>
    <n v="0"/>
    <n v="1.5994060348452668"/>
    <s v="west"/>
  </r>
  <r>
    <n v="567"/>
    <x v="8"/>
    <x v="57"/>
    <x v="2"/>
    <x v="3"/>
    <n v="23"/>
    <n v="71.39535724005502"/>
    <s v="west"/>
  </r>
  <r>
    <n v="568"/>
    <x v="8"/>
    <x v="42"/>
    <x v="1"/>
    <x v="3"/>
    <n v="73"/>
    <n v="220.80778472883722"/>
    <s v="midwest"/>
  </r>
  <r>
    <n v="569"/>
    <x v="7"/>
    <x v="98"/>
    <x v="1"/>
    <x v="0"/>
    <n v="73"/>
    <n v="221.78112807048697"/>
    <s v="west"/>
  </r>
  <r>
    <n v="570"/>
    <x v="6"/>
    <x v="55"/>
    <x v="1"/>
    <x v="1"/>
    <n v="43"/>
    <n v="131.05809583118935"/>
    <s v="south"/>
  </r>
  <r>
    <n v="571"/>
    <x v="1"/>
    <x v="69"/>
    <x v="2"/>
    <x v="2"/>
    <n v="60"/>
    <n v="182.29246065825532"/>
    <s v="east"/>
  </r>
  <r>
    <n v="572"/>
    <x v="6"/>
    <x v="21"/>
    <x v="2"/>
    <x v="0"/>
    <n v="40"/>
    <n v="121.86602847443184"/>
    <s v="midwest"/>
  </r>
  <r>
    <n v="573"/>
    <x v="7"/>
    <x v="50"/>
    <x v="1"/>
    <x v="0"/>
    <n v="7"/>
    <n v="18.9155229231676"/>
    <s v="midwest"/>
  </r>
  <r>
    <n v="574"/>
    <x v="0"/>
    <x v="19"/>
    <x v="0"/>
    <x v="1"/>
    <n v="39"/>
    <n v="118.36577315011976"/>
    <s v="midwest"/>
  </r>
  <r>
    <n v="575"/>
    <x v="4"/>
    <x v="13"/>
    <x v="1"/>
    <x v="4"/>
    <n v="84"/>
    <n v="253.79033414178701"/>
    <s v="west"/>
  </r>
  <r>
    <n v="576"/>
    <x v="7"/>
    <x v="16"/>
    <x v="2"/>
    <x v="2"/>
    <n v="92"/>
    <n v="277.80911377540116"/>
    <s v="west"/>
  </r>
  <r>
    <n v="577"/>
    <x v="1"/>
    <x v="62"/>
    <x v="1"/>
    <x v="4"/>
    <n v="68"/>
    <n v="206.08318598884486"/>
    <s v="south"/>
  </r>
  <r>
    <n v="578"/>
    <x v="1"/>
    <x v="51"/>
    <x v="0"/>
    <x v="0"/>
    <n v="7"/>
    <n v="23.192583270070902"/>
    <s v="east"/>
  </r>
  <r>
    <n v="579"/>
    <x v="3"/>
    <x v="83"/>
    <x v="2"/>
    <x v="3"/>
    <n v="9"/>
    <n v="24.836237139949766"/>
    <s v="south"/>
  </r>
  <r>
    <n v="580"/>
    <x v="8"/>
    <x v="84"/>
    <x v="1"/>
    <x v="4"/>
    <n v="51"/>
    <n v="154.40065127641515"/>
    <s v="midwest"/>
  </r>
  <r>
    <n v="581"/>
    <x v="1"/>
    <x v="5"/>
    <x v="1"/>
    <x v="0"/>
    <n v="59"/>
    <n v="178.89731679899467"/>
    <s v="south"/>
  </r>
  <r>
    <n v="582"/>
    <x v="5"/>
    <x v="40"/>
    <x v="1"/>
    <x v="4"/>
    <n v="64"/>
    <n v="194.44151134010454"/>
    <s v="west"/>
  </r>
  <r>
    <n v="583"/>
    <x v="8"/>
    <x v="37"/>
    <x v="1"/>
    <x v="0"/>
    <n v="0"/>
    <n v="2.516330534249033"/>
    <s v="east"/>
  </r>
  <r>
    <n v="584"/>
    <x v="7"/>
    <x v="47"/>
    <x v="1"/>
    <x v="4"/>
    <n v="81"/>
    <n v="243.81590205081088"/>
    <s v="midwest"/>
  </r>
  <r>
    <n v="585"/>
    <x v="6"/>
    <x v="28"/>
    <x v="1"/>
    <x v="2"/>
    <n v="93"/>
    <n v="280.7978115895645"/>
    <s v="midwest"/>
  </r>
  <r>
    <n v="586"/>
    <x v="8"/>
    <x v="20"/>
    <x v="2"/>
    <x v="0"/>
    <n v="20"/>
    <n v="61.967424849894947"/>
    <s v="south"/>
  </r>
  <r>
    <n v="587"/>
    <x v="2"/>
    <x v="98"/>
    <x v="1"/>
    <x v="3"/>
    <n v="39"/>
    <n v="119.9083594229058"/>
    <s v="east"/>
  </r>
  <r>
    <n v="588"/>
    <x v="5"/>
    <x v="17"/>
    <x v="0"/>
    <x v="1"/>
    <n v="6"/>
    <n v="20.018331980892231"/>
    <s v="south"/>
  </r>
  <r>
    <n v="589"/>
    <x v="5"/>
    <x v="53"/>
    <x v="0"/>
    <x v="1"/>
    <n v="34"/>
    <n v="103.67942872150846"/>
    <s v="south"/>
  </r>
  <r>
    <n v="590"/>
    <x v="1"/>
    <x v="20"/>
    <x v="2"/>
    <x v="0"/>
    <n v="33"/>
    <n v="101.31101808549928"/>
    <s v="west"/>
  </r>
  <r>
    <n v="591"/>
    <x v="2"/>
    <x v="46"/>
    <x v="0"/>
    <x v="2"/>
    <n v="10"/>
    <n v="28.463885870908516"/>
    <s v="west"/>
  </r>
  <r>
    <n v="592"/>
    <x v="8"/>
    <x v="9"/>
    <x v="2"/>
    <x v="3"/>
    <n v="47"/>
    <n v="141.97140662710891"/>
    <s v="midwest"/>
  </r>
  <r>
    <n v="593"/>
    <x v="6"/>
    <x v="46"/>
    <x v="0"/>
    <x v="1"/>
    <n v="94"/>
    <n v="284.61276074739663"/>
    <s v="east"/>
  </r>
  <r>
    <n v="594"/>
    <x v="1"/>
    <x v="18"/>
    <x v="2"/>
    <x v="1"/>
    <n v="92"/>
    <n v="278.22640918878471"/>
    <s v="midwest"/>
  </r>
  <r>
    <n v="595"/>
    <x v="4"/>
    <x v="94"/>
    <x v="1"/>
    <x v="0"/>
    <n v="68"/>
    <n v="205.95905527766212"/>
    <s v="south"/>
  </r>
  <r>
    <n v="596"/>
    <x v="7"/>
    <x v="6"/>
    <x v="0"/>
    <x v="0"/>
    <n v="37"/>
    <n v="112.85151912863849"/>
    <s v="midwest"/>
  </r>
  <r>
    <n v="597"/>
    <x v="6"/>
    <x v="86"/>
    <x v="0"/>
    <x v="3"/>
    <n v="78"/>
    <n v="235.37144026519812"/>
    <s v="south"/>
  </r>
  <r>
    <n v="598"/>
    <x v="1"/>
    <x v="21"/>
    <x v="2"/>
    <x v="3"/>
    <n v="14"/>
    <n v="43.756013144501985"/>
    <s v="east"/>
  </r>
  <r>
    <n v="599"/>
    <x v="8"/>
    <x v="77"/>
    <x v="2"/>
    <x v="1"/>
    <n v="33"/>
    <n v="100.54958475062591"/>
    <s v="east"/>
  </r>
  <r>
    <n v="600"/>
    <x v="6"/>
    <x v="4"/>
    <x v="0"/>
    <x v="3"/>
    <n v="64"/>
    <n v="194.18188189830369"/>
    <s v="west"/>
  </r>
  <r>
    <n v="601"/>
    <x v="3"/>
    <x v="9"/>
    <x v="2"/>
    <x v="0"/>
    <n v="6"/>
    <n v="20.229703821540529"/>
    <s v="south"/>
  </r>
  <r>
    <n v="602"/>
    <x v="8"/>
    <x v="18"/>
    <x v="2"/>
    <x v="2"/>
    <n v="65"/>
    <n v="197.4890682991998"/>
    <s v="west"/>
  </r>
  <r>
    <n v="603"/>
    <x v="0"/>
    <x v="46"/>
    <x v="0"/>
    <x v="4"/>
    <n v="24"/>
    <n v="74.283089497229128"/>
    <s v="south"/>
  </r>
  <r>
    <n v="604"/>
    <x v="4"/>
    <x v="54"/>
    <x v="1"/>
    <x v="2"/>
    <n v="89"/>
    <n v="269.00888504806545"/>
    <s v="midwest"/>
  </r>
  <r>
    <n v="605"/>
    <x v="4"/>
    <x v="62"/>
    <x v="1"/>
    <x v="4"/>
    <n v="94"/>
    <n v="284.24987523561106"/>
    <s v="east"/>
  </r>
  <r>
    <n v="606"/>
    <x v="3"/>
    <x v="36"/>
    <x v="1"/>
    <x v="1"/>
    <n v="67"/>
    <n v="203.71315269974144"/>
    <s v="south"/>
  </r>
  <r>
    <n v="607"/>
    <x v="4"/>
    <x v="38"/>
    <x v="0"/>
    <x v="4"/>
    <n v="7"/>
    <n v="23.434372885216568"/>
    <s v="south"/>
  </r>
  <r>
    <n v="608"/>
    <x v="4"/>
    <x v="19"/>
    <x v="0"/>
    <x v="1"/>
    <n v="58"/>
    <n v="176.00311303023639"/>
    <s v="east"/>
  </r>
  <r>
    <n v="609"/>
    <x v="7"/>
    <x v="4"/>
    <x v="0"/>
    <x v="4"/>
    <n v="77"/>
    <n v="232.66821530494673"/>
    <s v="midwest"/>
  </r>
  <r>
    <n v="610"/>
    <x v="3"/>
    <x v="81"/>
    <x v="1"/>
    <x v="3"/>
    <n v="50"/>
    <n v="151.12327703696886"/>
    <s v="east"/>
  </r>
  <r>
    <n v="611"/>
    <x v="0"/>
    <x v="9"/>
    <x v="2"/>
    <x v="0"/>
    <n v="10"/>
    <n v="32.139866181276794"/>
    <s v="south"/>
  </r>
  <r>
    <n v="612"/>
    <x v="1"/>
    <x v="12"/>
    <x v="1"/>
    <x v="4"/>
    <n v="2"/>
    <n v="7.7805066936063501"/>
    <s v="west"/>
  </r>
  <r>
    <n v="613"/>
    <x v="2"/>
    <x v="69"/>
    <x v="2"/>
    <x v="4"/>
    <n v="17"/>
    <n v="53.692138808043005"/>
    <s v="east"/>
  </r>
  <r>
    <n v="614"/>
    <x v="5"/>
    <x v="91"/>
    <x v="1"/>
    <x v="4"/>
    <n v="90"/>
    <n v="272.41389128062559"/>
    <s v="midwest"/>
  </r>
  <r>
    <n v="615"/>
    <x v="1"/>
    <x v="60"/>
    <x v="2"/>
    <x v="1"/>
    <n v="58"/>
    <n v="175.59064342356595"/>
    <s v="south"/>
  </r>
  <r>
    <n v="616"/>
    <x v="5"/>
    <x v="61"/>
    <x v="2"/>
    <x v="4"/>
    <n v="66"/>
    <n v="199.92690698146819"/>
    <s v="midwest"/>
  </r>
  <r>
    <n v="617"/>
    <x v="7"/>
    <x v="35"/>
    <x v="0"/>
    <x v="3"/>
    <n v="6"/>
    <n v="20.242222983134283"/>
    <s v="midwest"/>
  </r>
  <r>
    <n v="618"/>
    <x v="4"/>
    <x v="90"/>
    <x v="2"/>
    <x v="0"/>
    <n v="90"/>
    <n v="272.58718593660444"/>
    <s v="south"/>
  </r>
  <r>
    <n v="619"/>
    <x v="4"/>
    <x v="3"/>
    <x v="2"/>
    <x v="0"/>
    <n v="38"/>
    <n v="115.85799136725458"/>
    <s v="west"/>
  </r>
  <r>
    <n v="620"/>
    <x v="5"/>
    <x v="67"/>
    <x v="0"/>
    <x v="4"/>
    <n v="3"/>
    <n v="10.907655295049528"/>
    <s v="midwest"/>
  </r>
  <r>
    <n v="621"/>
    <x v="6"/>
    <x v="15"/>
    <x v="0"/>
    <x v="1"/>
    <n v="4"/>
    <n v="10.39215955971811"/>
    <s v="midwest"/>
  </r>
  <r>
    <n v="622"/>
    <x v="2"/>
    <x v="4"/>
    <x v="0"/>
    <x v="3"/>
    <n v="8"/>
    <n v="25.899680153324056"/>
    <s v="west"/>
  </r>
  <r>
    <n v="623"/>
    <x v="4"/>
    <x v="0"/>
    <x v="0"/>
    <x v="4"/>
    <n v="8"/>
    <n v="22.23218548835203"/>
    <s v="west"/>
  </r>
  <r>
    <n v="624"/>
    <x v="1"/>
    <x v="19"/>
    <x v="0"/>
    <x v="4"/>
    <n v="72"/>
    <n v="218.68777878091251"/>
    <s v="midwest"/>
  </r>
  <r>
    <n v="625"/>
    <x v="7"/>
    <x v="61"/>
    <x v="2"/>
    <x v="3"/>
    <n v="83"/>
    <n v="250.66590250032371"/>
    <s v="west"/>
  </r>
  <r>
    <n v="626"/>
    <x v="3"/>
    <x v="18"/>
    <x v="2"/>
    <x v="1"/>
    <n v="12"/>
    <n v="38.977588204951147"/>
    <s v="west"/>
  </r>
  <r>
    <n v="627"/>
    <x v="4"/>
    <x v="3"/>
    <x v="2"/>
    <x v="1"/>
    <n v="8"/>
    <n v="21.533260342562944"/>
    <s v="south"/>
  </r>
  <r>
    <n v="628"/>
    <x v="0"/>
    <x v="71"/>
    <x v="2"/>
    <x v="3"/>
    <n v="22"/>
    <n v="68.129641213452771"/>
    <s v="west"/>
  </r>
  <r>
    <n v="629"/>
    <x v="5"/>
    <x v="77"/>
    <x v="2"/>
    <x v="4"/>
    <n v="2"/>
    <n v="3.8295287737581956"/>
    <s v="west"/>
  </r>
  <r>
    <n v="630"/>
    <x v="1"/>
    <x v="49"/>
    <x v="2"/>
    <x v="1"/>
    <n v="55"/>
    <n v="166.77106419074752"/>
    <s v="south"/>
  </r>
  <r>
    <n v="631"/>
    <x v="7"/>
    <x v="26"/>
    <x v="2"/>
    <x v="3"/>
    <n v="40"/>
    <n v="122.55166369572477"/>
    <s v="west"/>
  </r>
  <r>
    <n v="632"/>
    <x v="0"/>
    <x v="44"/>
    <x v="1"/>
    <x v="1"/>
    <n v="61"/>
    <n v="183.9597681482735"/>
    <s v="midwest"/>
  </r>
  <r>
    <n v="633"/>
    <x v="1"/>
    <x v="32"/>
    <x v="1"/>
    <x v="3"/>
    <n v="40"/>
    <n v="122.54107894599883"/>
    <s v="south"/>
  </r>
  <r>
    <n v="634"/>
    <x v="7"/>
    <x v="24"/>
    <x v="2"/>
    <x v="3"/>
    <n v="31"/>
    <n v="94.683925421109407"/>
    <s v="midwest"/>
  </r>
  <r>
    <n v="635"/>
    <x v="0"/>
    <x v="70"/>
    <x v="0"/>
    <x v="4"/>
    <n v="6"/>
    <n v="20.454607256507078"/>
    <s v="midwest"/>
  </r>
  <r>
    <n v="636"/>
    <x v="1"/>
    <x v="68"/>
    <x v="1"/>
    <x v="1"/>
    <n v="6"/>
    <n v="16.100658619760122"/>
    <s v="south"/>
  </r>
  <r>
    <n v="637"/>
    <x v="1"/>
    <x v="34"/>
    <x v="1"/>
    <x v="3"/>
    <n v="14"/>
    <n v="43.396216100245972"/>
    <s v="midwest"/>
  </r>
  <r>
    <n v="638"/>
    <x v="1"/>
    <x v="96"/>
    <x v="0"/>
    <x v="4"/>
    <n v="94"/>
    <n v="283.87519041996188"/>
    <s v="east"/>
  </r>
  <r>
    <n v="639"/>
    <x v="7"/>
    <x v="50"/>
    <x v="1"/>
    <x v="4"/>
    <n v="70"/>
    <n v="212.26863794218977"/>
    <s v="east"/>
  </r>
  <r>
    <n v="640"/>
    <x v="6"/>
    <x v="51"/>
    <x v="0"/>
    <x v="0"/>
    <n v="8"/>
    <n v="21.44176526239897"/>
    <s v="south"/>
  </r>
  <r>
    <n v="641"/>
    <x v="6"/>
    <x v="77"/>
    <x v="2"/>
    <x v="0"/>
    <n v="8"/>
    <n v="21.90881602461678"/>
    <s v="south"/>
  </r>
  <r>
    <n v="642"/>
    <x v="2"/>
    <x v="80"/>
    <x v="1"/>
    <x v="4"/>
    <n v="2"/>
    <n v="7.6416014365752867"/>
    <s v="midwest"/>
  </r>
  <r>
    <n v="643"/>
    <x v="1"/>
    <x v="33"/>
    <x v="0"/>
    <x v="2"/>
    <n v="10"/>
    <n v="31.842188072685396"/>
    <s v="south"/>
  </r>
  <r>
    <n v="644"/>
    <x v="8"/>
    <x v="91"/>
    <x v="1"/>
    <x v="3"/>
    <n v="51"/>
    <n v="154.53175695635341"/>
    <s v="south"/>
  </r>
  <r>
    <n v="645"/>
    <x v="8"/>
    <x v="0"/>
    <x v="0"/>
    <x v="3"/>
    <n v="5"/>
    <n v="16.85379509706091"/>
    <s v="south"/>
  </r>
  <r>
    <n v="646"/>
    <x v="6"/>
    <x v="18"/>
    <x v="2"/>
    <x v="3"/>
    <n v="39"/>
    <n v="119.48835042374725"/>
    <s v="south"/>
  </r>
  <r>
    <n v="647"/>
    <x v="2"/>
    <x v="6"/>
    <x v="0"/>
    <x v="3"/>
    <n v="20"/>
    <n v="61.926239627210521"/>
    <s v="west"/>
  </r>
  <r>
    <n v="648"/>
    <x v="6"/>
    <x v="10"/>
    <x v="0"/>
    <x v="1"/>
    <n v="29"/>
    <n v="88.79031532479398"/>
    <s v="south"/>
  </r>
  <r>
    <n v="649"/>
    <x v="3"/>
    <x v="20"/>
    <x v="2"/>
    <x v="1"/>
    <n v="43"/>
    <n v="130.59550390758056"/>
    <s v="midwest"/>
  </r>
  <r>
    <n v="650"/>
    <x v="2"/>
    <x v="78"/>
    <x v="0"/>
    <x v="4"/>
    <n v="40"/>
    <n v="122.34177646477217"/>
    <s v="midwest"/>
  </r>
  <r>
    <n v="651"/>
    <x v="6"/>
    <x v="71"/>
    <x v="2"/>
    <x v="1"/>
    <n v="36"/>
    <n v="109.40924257339921"/>
    <s v="south"/>
  </r>
  <r>
    <n v="652"/>
    <x v="6"/>
    <x v="42"/>
    <x v="1"/>
    <x v="3"/>
    <n v="88"/>
    <n v="265.7031232579136"/>
    <s v="south"/>
  </r>
  <r>
    <n v="653"/>
    <x v="0"/>
    <x v="75"/>
    <x v="1"/>
    <x v="4"/>
    <n v="55"/>
    <n v="166.43173248267502"/>
    <s v="south"/>
  </r>
  <r>
    <n v="654"/>
    <x v="7"/>
    <x v="43"/>
    <x v="0"/>
    <x v="3"/>
    <n v="65"/>
    <n v="196.86478787466569"/>
    <s v="west"/>
  </r>
  <r>
    <n v="655"/>
    <x v="7"/>
    <x v="34"/>
    <x v="1"/>
    <x v="0"/>
    <n v="6"/>
    <n v="19.488992935915519"/>
    <s v="west"/>
  </r>
  <r>
    <n v="656"/>
    <x v="8"/>
    <x v="3"/>
    <x v="2"/>
    <x v="1"/>
    <n v="1"/>
    <n v="1.2299707953687746"/>
    <s v="midwest"/>
  </r>
  <r>
    <n v="657"/>
    <x v="7"/>
    <x v="14"/>
    <x v="2"/>
    <x v="1"/>
    <n v="32"/>
    <n v="97.808768000127685"/>
    <s v="south"/>
  </r>
  <r>
    <n v="658"/>
    <x v="1"/>
    <x v="61"/>
    <x v="2"/>
    <x v="4"/>
    <n v="17"/>
    <n v="53.061016492331653"/>
    <s v="south"/>
  </r>
  <r>
    <n v="659"/>
    <x v="3"/>
    <x v="73"/>
    <x v="0"/>
    <x v="3"/>
    <n v="25"/>
    <n v="76.378602488098551"/>
    <s v="east"/>
  </r>
  <r>
    <n v="660"/>
    <x v="3"/>
    <x v="48"/>
    <x v="1"/>
    <x v="3"/>
    <n v="11"/>
    <n v="35.7534803858521"/>
    <s v="east"/>
  </r>
  <r>
    <n v="661"/>
    <x v="3"/>
    <x v="53"/>
    <x v="0"/>
    <x v="4"/>
    <n v="51"/>
    <n v="155.019536467064"/>
    <s v="south"/>
  </r>
  <r>
    <n v="662"/>
    <x v="6"/>
    <x v="77"/>
    <x v="2"/>
    <x v="2"/>
    <n v="25"/>
    <n v="78.068436112651099"/>
    <s v="west"/>
  </r>
  <r>
    <n v="663"/>
    <x v="1"/>
    <x v="72"/>
    <x v="2"/>
    <x v="3"/>
    <n v="27"/>
    <n v="82.450851057331235"/>
    <s v="east"/>
  </r>
  <r>
    <n v="664"/>
    <x v="0"/>
    <x v="32"/>
    <x v="1"/>
    <x v="0"/>
    <n v="38"/>
    <n v="116.7885336432518"/>
    <s v="west"/>
  </r>
  <r>
    <n v="665"/>
    <x v="5"/>
    <x v="14"/>
    <x v="2"/>
    <x v="1"/>
    <n v="27"/>
    <n v="82.569702610812897"/>
    <s v="midwest"/>
  </r>
  <r>
    <n v="666"/>
    <x v="7"/>
    <x v="56"/>
    <x v="2"/>
    <x v="3"/>
    <n v="59"/>
    <n v="178.6321576680669"/>
    <s v="west"/>
  </r>
  <r>
    <n v="667"/>
    <x v="8"/>
    <x v="71"/>
    <x v="2"/>
    <x v="1"/>
    <n v="73"/>
    <n v="220.44792756124494"/>
    <s v="west"/>
  </r>
  <r>
    <n v="668"/>
    <x v="4"/>
    <x v="12"/>
    <x v="1"/>
    <x v="3"/>
    <n v="43"/>
    <n v="131.45497532370047"/>
    <s v="midwest"/>
  </r>
  <r>
    <n v="669"/>
    <x v="5"/>
    <x v="8"/>
    <x v="2"/>
    <x v="4"/>
    <n v="51"/>
    <n v="154.77819453893821"/>
    <s v="west"/>
  </r>
  <r>
    <n v="670"/>
    <x v="0"/>
    <x v="65"/>
    <x v="0"/>
    <x v="0"/>
    <n v="32"/>
    <n v="98.006987571648764"/>
    <s v="midwest"/>
  </r>
  <r>
    <n v="671"/>
    <x v="3"/>
    <x v="99"/>
    <x v="2"/>
    <x v="0"/>
    <n v="89"/>
    <n v="268.58829363415754"/>
    <s v="midwest"/>
  </r>
  <r>
    <n v="672"/>
    <x v="7"/>
    <x v="5"/>
    <x v="1"/>
    <x v="4"/>
    <n v="1"/>
    <n v="0.61047743439715862"/>
    <s v="east"/>
  </r>
  <r>
    <n v="673"/>
    <x v="1"/>
    <x v="64"/>
    <x v="2"/>
    <x v="3"/>
    <n v="26"/>
    <n v="81.086402502793618"/>
    <s v="east"/>
  </r>
  <r>
    <n v="674"/>
    <x v="7"/>
    <x v="2"/>
    <x v="1"/>
    <x v="1"/>
    <n v="56"/>
    <n v="170.28880484978066"/>
    <s v="midwest"/>
  </r>
  <r>
    <n v="675"/>
    <x v="0"/>
    <x v="88"/>
    <x v="0"/>
    <x v="0"/>
    <n v="10"/>
    <n v="32.446099013561927"/>
    <s v="midwest"/>
  </r>
  <r>
    <n v="676"/>
    <x v="1"/>
    <x v="27"/>
    <x v="0"/>
    <x v="2"/>
    <n v="8"/>
    <n v="25.639457060752605"/>
    <s v="east"/>
  </r>
  <r>
    <n v="677"/>
    <x v="4"/>
    <x v="91"/>
    <x v="1"/>
    <x v="3"/>
    <n v="75"/>
    <n v="226.81359807971779"/>
    <s v="south"/>
  </r>
  <r>
    <n v="678"/>
    <x v="7"/>
    <x v="75"/>
    <x v="1"/>
    <x v="1"/>
    <n v="79"/>
    <n v="239.4766385714239"/>
    <s v="east"/>
  </r>
  <r>
    <n v="679"/>
    <x v="4"/>
    <x v="63"/>
    <x v="1"/>
    <x v="1"/>
    <n v="25"/>
    <n v="75.944187671627063"/>
    <s v="south"/>
  </r>
  <r>
    <n v="680"/>
    <x v="5"/>
    <x v="83"/>
    <x v="2"/>
    <x v="0"/>
    <n v="22"/>
    <n v="68.814390503031333"/>
    <s v="east"/>
  </r>
  <r>
    <n v="681"/>
    <x v="0"/>
    <x v="65"/>
    <x v="0"/>
    <x v="2"/>
    <n v="88"/>
    <n v="265.64166976022739"/>
    <s v="west"/>
  </r>
  <r>
    <n v="682"/>
    <x v="6"/>
    <x v="51"/>
    <x v="0"/>
    <x v="1"/>
    <n v="94"/>
    <n v="284.32899274536834"/>
    <s v="midwest"/>
  </r>
  <r>
    <n v="683"/>
    <x v="7"/>
    <x v="62"/>
    <x v="1"/>
    <x v="4"/>
    <n v="58"/>
    <n v="176.72593852578336"/>
    <s v="south"/>
  </r>
  <r>
    <n v="684"/>
    <x v="6"/>
    <x v="98"/>
    <x v="1"/>
    <x v="0"/>
    <n v="66"/>
    <n v="200.20830019781053"/>
    <s v="south"/>
  </r>
  <r>
    <n v="685"/>
    <x v="7"/>
    <x v="9"/>
    <x v="2"/>
    <x v="3"/>
    <n v="82"/>
    <n v="247.93546068655294"/>
    <s v="west"/>
  </r>
  <r>
    <n v="686"/>
    <x v="1"/>
    <x v="52"/>
    <x v="2"/>
    <x v="1"/>
    <n v="94"/>
    <n v="283.7655668516507"/>
    <s v="south"/>
  </r>
  <r>
    <n v="687"/>
    <x v="2"/>
    <x v="74"/>
    <x v="2"/>
    <x v="0"/>
    <n v="27"/>
    <n v="82.883173616974645"/>
    <s v="west"/>
  </r>
  <r>
    <n v="688"/>
    <x v="0"/>
    <x v="15"/>
    <x v="0"/>
    <x v="2"/>
    <n v="56"/>
    <n v="169.95658667826987"/>
    <s v="midwest"/>
  </r>
  <r>
    <n v="689"/>
    <x v="6"/>
    <x v="90"/>
    <x v="2"/>
    <x v="4"/>
    <n v="82"/>
    <n v="247.80094907753815"/>
    <s v="south"/>
  </r>
  <r>
    <n v="690"/>
    <x v="6"/>
    <x v="81"/>
    <x v="1"/>
    <x v="4"/>
    <n v="7"/>
    <n v="23.067714309015152"/>
    <s v="south"/>
  </r>
  <r>
    <n v="691"/>
    <x v="0"/>
    <x v="49"/>
    <x v="2"/>
    <x v="0"/>
    <n v="25"/>
    <n v="77.367215999588439"/>
    <s v="west"/>
  </r>
  <r>
    <n v="692"/>
    <x v="2"/>
    <x v="74"/>
    <x v="2"/>
    <x v="1"/>
    <n v="15"/>
    <n v="46.808970139122437"/>
    <s v="south"/>
  </r>
  <r>
    <n v="693"/>
    <x v="7"/>
    <x v="67"/>
    <x v="0"/>
    <x v="1"/>
    <n v="39"/>
    <n v="118.82068608795676"/>
    <s v="south"/>
  </r>
  <r>
    <n v="694"/>
    <x v="0"/>
    <x v="62"/>
    <x v="1"/>
    <x v="0"/>
    <n v="22"/>
    <n v="67.920921050637091"/>
    <s v="midwest"/>
  </r>
  <r>
    <n v="695"/>
    <x v="3"/>
    <x v="55"/>
    <x v="1"/>
    <x v="2"/>
    <n v="0"/>
    <n v="1.5802940518086344"/>
    <s v="west"/>
  </r>
  <r>
    <n v="696"/>
    <x v="0"/>
    <x v="86"/>
    <x v="0"/>
    <x v="4"/>
    <n v="47"/>
    <n v="142.62566704955398"/>
    <s v="south"/>
  </r>
  <r>
    <n v="697"/>
    <x v="7"/>
    <x v="45"/>
    <x v="2"/>
    <x v="2"/>
    <n v="36"/>
    <n v="110.25851548113316"/>
    <s v="east"/>
  </r>
  <r>
    <n v="698"/>
    <x v="7"/>
    <x v="65"/>
    <x v="0"/>
    <x v="3"/>
    <n v="46"/>
    <n v="139.52847109810006"/>
    <s v="west"/>
  </r>
  <r>
    <n v="699"/>
    <x v="6"/>
    <x v="16"/>
    <x v="2"/>
    <x v="3"/>
    <n v="84"/>
    <n v="253.68258531303155"/>
    <s v="east"/>
  </r>
  <r>
    <n v="700"/>
    <x v="5"/>
    <x v="6"/>
    <x v="0"/>
    <x v="0"/>
    <n v="38"/>
    <n v="115.76504648002317"/>
    <s v="east"/>
  </r>
  <r>
    <n v="701"/>
    <x v="0"/>
    <x v="58"/>
    <x v="0"/>
    <x v="0"/>
    <n v="13"/>
    <n v="40.473506204312045"/>
    <s v="east"/>
  </r>
  <r>
    <n v="702"/>
    <x v="6"/>
    <x v="90"/>
    <x v="2"/>
    <x v="1"/>
    <n v="40"/>
    <n v="122.42180451643387"/>
    <s v="midwest"/>
  </r>
  <r>
    <n v="703"/>
    <x v="4"/>
    <x v="4"/>
    <x v="0"/>
    <x v="2"/>
    <n v="46"/>
    <n v="139.4072220659846"/>
    <s v="midwest"/>
  </r>
  <r>
    <n v="704"/>
    <x v="8"/>
    <x v="96"/>
    <x v="0"/>
    <x v="3"/>
    <n v="11"/>
    <n v="35.105222117013575"/>
    <s v="east"/>
  </r>
  <r>
    <n v="705"/>
    <x v="2"/>
    <x v="32"/>
    <x v="1"/>
    <x v="0"/>
    <n v="1"/>
    <n v="0.89822589573278755"/>
    <s v="west"/>
  </r>
  <r>
    <n v="706"/>
    <x v="2"/>
    <x v="1"/>
    <x v="0"/>
    <x v="0"/>
    <n v="32"/>
    <n v="98.618549497009866"/>
    <s v="east"/>
  </r>
  <r>
    <n v="707"/>
    <x v="8"/>
    <x v="46"/>
    <x v="0"/>
    <x v="1"/>
    <n v="78"/>
    <n v="235.37746360511863"/>
    <s v="midwest"/>
  </r>
  <r>
    <n v="708"/>
    <x v="2"/>
    <x v="42"/>
    <x v="1"/>
    <x v="2"/>
    <n v="71"/>
    <n v="215.14334620644152"/>
    <s v="east"/>
  </r>
  <r>
    <n v="709"/>
    <x v="4"/>
    <x v="70"/>
    <x v="0"/>
    <x v="0"/>
    <n v="36"/>
    <n v="109.79941093344995"/>
    <s v="midwest"/>
  </r>
  <r>
    <n v="710"/>
    <x v="7"/>
    <x v="88"/>
    <x v="0"/>
    <x v="4"/>
    <n v="79"/>
    <n v="238.7528909715526"/>
    <s v="west"/>
  </r>
  <r>
    <n v="711"/>
    <x v="2"/>
    <x v="30"/>
    <x v="1"/>
    <x v="2"/>
    <n v="92"/>
    <n v="278.33689319640729"/>
    <s v="west"/>
  </r>
  <r>
    <n v="712"/>
    <x v="1"/>
    <x v="46"/>
    <x v="0"/>
    <x v="1"/>
    <n v="38"/>
    <n v="116.20226134841927"/>
    <s v="midwest"/>
  </r>
  <r>
    <n v="713"/>
    <x v="0"/>
    <x v="21"/>
    <x v="2"/>
    <x v="4"/>
    <n v="50"/>
    <n v="152.08468006915191"/>
    <s v="east"/>
  </r>
  <r>
    <n v="714"/>
    <x v="5"/>
    <x v="25"/>
    <x v="2"/>
    <x v="1"/>
    <n v="31"/>
    <n v="93.734083542235183"/>
    <s v="west"/>
  </r>
  <r>
    <n v="715"/>
    <x v="7"/>
    <x v="56"/>
    <x v="2"/>
    <x v="0"/>
    <n v="9"/>
    <n v="29.386098665239906"/>
    <s v="east"/>
  </r>
  <r>
    <n v="716"/>
    <x v="1"/>
    <x v="2"/>
    <x v="1"/>
    <x v="3"/>
    <n v="24"/>
    <n v="73.278886055388639"/>
    <s v="west"/>
  </r>
  <r>
    <n v="717"/>
    <x v="2"/>
    <x v="94"/>
    <x v="1"/>
    <x v="0"/>
    <n v="50"/>
    <n v="152.58608557503928"/>
    <s v="west"/>
  </r>
  <r>
    <n v="718"/>
    <x v="7"/>
    <x v="71"/>
    <x v="2"/>
    <x v="2"/>
    <n v="32"/>
    <n v="98.191983875169328"/>
    <s v="west"/>
  </r>
  <r>
    <n v="719"/>
    <x v="8"/>
    <x v="65"/>
    <x v="0"/>
    <x v="1"/>
    <n v="71"/>
    <n v="214.9278284338051"/>
    <s v="south"/>
  </r>
  <r>
    <n v="720"/>
    <x v="5"/>
    <x v="77"/>
    <x v="2"/>
    <x v="4"/>
    <n v="28"/>
    <n v="86.107203598905883"/>
    <s v="south"/>
  </r>
  <r>
    <n v="721"/>
    <x v="2"/>
    <x v="76"/>
    <x v="2"/>
    <x v="0"/>
    <n v="40"/>
    <n v="121.83146625489913"/>
    <s v="east"/>
  </r>
  <r>
    <n v="722"/>
    <x v="5"/>
    <x v="46"/>
    <x v="0"/>
    <x v="3"/>
    <n v="75"/>
    <n v="226.98711570221042"/>
    <s v="east"/>
  </r>
  <r>
    <n v="723"/>
    <x v="3"/>
    <x v="88"/>
    <x v="0"/>
    <x v="0"/>
    <n v="30"/>
    <n v="92.030625673172352"/>
    <s v="midwest"/>
  </r>
  <r>
    <n v="724"/>
    <x v="7"/>
    <x v="36"/>
    <x v="1"/>
    <x v="0"/>
    <n v="78"/>
    <n v="235.89718296494317"/>
    <s v="south"/>
  </r>
  <r>
    <n v="725"/>
    <x v="4"/>
    <x v="30"/>
    <x v="1"/>
    <x v="4"/>
    <n v="15"/>
    <n v="47.09802134338382"/>
    <s v="south"/>
  </r>
  <r>
    <n v="726"/>
    <x v="5"/>
    <x v="51"/>
    <x v="0"/>
    <x v="2"/>
    <n v="30"/>
    <n v="91.800989942743342"/>
    <s v="west"/>
  </r>
  <r>
    <n v="727"/>
    <x v="3"/>
    <x v="62"/>
    <x v="1"/>
    <x v="1"/>
    <n v="27"/>
    <n v="83.564417753264919"/>
    <s v="west"/>
  </r>
  <r>
    <n v="728"/>
    <x v="1"/>
    <x v="56"/>
    <x v="2"/>
    <x v="0"/>
    <n v="95"/>
    <n v="286.68421658470419"/>
    <s v="midwest"/>
  </r>
  <r>
    <n v="729"/>
    <x v="7"/>
    <x v="53"/>
    <x v="0"/>
    <x v="1"/>
    <n v="62"/>
    <n v="188.69979320640692"/>
    <s v="south"/>
  </r>
  <r>
    <n v="730"/>
    <x v="5"/>
    <x v="64"/>
    <x v="2"/>
    <x v="0"/>
    <n v="4"/>
    <n v="10.151413084603679"/>
    <s v="west"/>
  </r>
  <r>
    <n v="731"/>
    <x v="0"/>
    <x v="86"/>
    <x v="0"/>
    <x v="4"/>
    <n v="3"/>
    <n v="7.2263762915654137"/>
    <s v="west"/>
  </r>
  <r>
    <n v="732"/>
    <x v="1"/>
    <x v="34"/>
    <x v="1"/>
    <x v="4"/>
    <n v="62"/>
    <n v="187.71484715081846"/>
    <s v="midwest"/>
  </r>
  <r>
    <n v="733"/>
    <x v="0"/>
    <x v="38"/>
    <x v="0"/>
    <x v="2"/>
    <n v="92"/>
    <n v="277.67657907264578"/>
    <s v="midwest"/>
  </r>
  <r>
    <n v="734"/>
    <x v="3"/>
    <x v="7"/>
    <x v="2"/>
    <x v="1"/>
    <n v="35"/>
    <n v="107.09519938129719"/>
    <s v="south"/>
  </r>
  <r>
    <n v="735"/>
    <x v="0"/>
    <x v="91"/>
    <x v="1"/>
    <x v="3"/>
    <n v="91"/>
    <n v="274.96271641831527"/>
    <s v="west"/>
  </r>
  <r>
    <n v="736"/>
    <x v="5"/>
    <x v="73"/>
    <x v="0"/>
    <x v="4"/>
    <n v="21"/>
    <n v="64.321884288799509"/>
    <s v="south"/>
  </r>
  <r>
    <n v="737"/>
    <x v="4"/>
    <x v="61"/>
    <x v="2"/>
    <x v="4"/>
    <n v="49"/>
    <n v="148.73893149445496"/>
    <s v="south"/>
  </r>
  <r>
    <n v="738"/>
    <x v="3"/>
    <x v="55"/>
    <x v="1"/>
    <x v="1"/>
    <n v="34"/>
    <n v="103.34843435833068"/>
    <s v="midwest"/>
  </r>
  <r>
    <n v="739"/>
    <x v="1"/>
    <x v="42"/>
    <x v="1"/>
    <x v="0"/>
    <n v="56"/>
    <n v="170.12124352907122"/>
    <s v="east"/>
  </r>
  <r>
    <n v="740"/>
    <x v="5"/>
    <x v="58"/>
    <x v="0"/>
    <x v="3"/>
    <n v="81"/>
    <n v="244.85421438007515"/>
    <s v="west"/>
  </r>
  <r>
    <n v="741"/>
    <x v="0"/>
    <x v="15"/>
    <x v="0"/>
    <x v="3"/>
    <n v="63"/>
    <n v="191.24656039127012"/>
    <s v="west"/>
  </r>
  <r>
    <n v="742"/>
    <x v="5"/>
    <x v="91"/>
    <x v="1"/>
    <x v="1"/>
    <n v="3"/>
    <n v="7.3657850032017285"/>
    <s v="midwest"/>
  </r>
  <r>
    <n v="743"/>
    <x v="4"/>
    <x v="34"/>
    <x v="1"/>
    <x v="1"/>
    <n v="8"/>
    <n v="25.810666689825588"/>
    <s v="east"/>
  </r>
  <r>
    <n v="744"/>
    <x v="7"/>
    <x v="0"/>
    <x v="0"/>
    <x v="0"/>
    <n v="46"/>
    <n v="139.61633299698832"/>
    <s v="west"/>
  </r>
  <r>
    <n v="745"/>
    <x v="4"/>
    <x v="47"/>
    <x v="1"/>
    <x v="0"/>
    <n v="3"/>
    <n v="10.87686297512148"/>
    <s v="south"/>
  </r>
  <r>
    <n v="746"/>
    <x v="4"/>
    <x v="3"/>
    <x v="2"/>
    <x v="1"/>
    <n v="68"/>
    <n v="205.86039765882776"/>
    <s v="west"/>
  </r>
  <r>
    <n v="747"/>
    <x v="0"/>
    <x v="90"/>
    <x v="2"/>
    <x v="1"/>
    <n v="83"/>
    <n v="251.06283096017734"/>
    <s v="east"/>
  </r>
  <r>
    <n v="748"/>
    <x v="5"/>
    <x v="47"/>
    <x v="1"/>
    <x v="3"/>
    <n v="51"/>
    <n v="155.12341917228474"/>
    <s v="west"/>
  </r>
  <r>
    <n v="749"/>
    <x v="8"/>
    <x v="90"/>
    <x v="2"/>
    <x v="1"/>
    <n v="16"/>
    <n v="50.203538747394113"/>
    <s v="west"/>
  </r>
  <r>
    <n v="750"/>
    <x v="8"/>
    <x v="39"/>
    <x v="2"/>
    <x v="3"/>
    <n v="2"/>
    <n v="3.9135627833735267"/>
    <s v="south"/>
  </r>
  <r>
    <n v="751"/>
    <x v="5"/>
    <x v="10"/>
    <x v="0"/>
    <x v="0"/>
    <n v="6"/>
    <n v="20.370424027363761"/>
    <s v="south"/>
  </r>
  <r>
    <n v="752"/>
    <x v="4"/>
    <x v="68"/>
    <x v="1"/>
    <x v="0"/>
    <n v="5"/>
    <n v="12.571701775011148"/>
    <s v="east"/>
  </r>
  <r>
    <n v="753"/>
    <x v="0"/>
    <x v="61"/>
    <x v="2"/>
    <x v="3"/>
    <n v="42"/>
    <n v="127.71123178411425"/>
    <s v="south"/>
  </r>
  <r>
    <n v="754"/>
    <x v="5"/>
    <x v="94"/>
    <x v="1"/>
    <x v="3"/>
    <n v="47"/>
    <n v="143.38409457230034"/>
    <s v="midwest"/>
  </r>
  <r>
    <n v="755"/>
    <x v="1"/>
    <x v="69"/>
    <x v="2"/>
    <x v="4"/>
    <n v="16"/>
    <n v="50.193862989445165"/>
    <s v="west"/>
  </r>
  <r>
    <n v="756"/>
    <x v="8"/>
    <x v="82"/>
    <x v="0"/>
    <x v="0"/>
    <n v="11"/>
    <n v="35.356196404749518"/>
    <s v="west"/>
  </r>
  <r>
    <n v="757"/>
    <x v="0"/>
    <x v="10"/>
    <x v="0"/>
    <x v="3"/>
    <n v="10"/>
    <n v="27.896760549483552"/>
    <s v="east"/>
  </r>
  <r>
    <n v="758"/>
    <x v="2"/>
    <x v="1"/>
    <x v="0"/>
    <x v="3"/>
    <n v="21"/>
    <n v="65.379195576752196"/>
    <s v="south"/>
  </r>
  <r>
    <n v="759"/>
    <x v="8"/>
    <x v="68"/>
    <x v="1"/>
    <x v="4"/>
    <n v="52"/>
    <n v="157.72596503790041"/>
    <s v="east"/>
  </r>
  <r>
    <n v="760"/>
    <x v="5"/>
    <x v="15"/>
    <x v="0"/>
    <x v="2"/>
    <n v="5"/>
    <n v="17.005120052550815"/>
    <s v="south"/>
  </r>
  <r>
    <n v="761"/>
    <x v="5"/>
    <x v="50"/>
    <x v="1"/>
    <x v="3"/>
    <n v="52"/>
    <n v="158.43447603180036"/>
    <s v="midwest"/>
  </r>
  <r>
    <n v="762"/>
    <x v="4"/>
    <x v="48"/>
    <x v="1"/>
    <x v="4"/>
    <n v="38"/>
    <n v="115.38889596804569"/>
    <s v="south"/>
  </r>
  <r>
    <n v="763"/>
    <x v="6"/>
    <x v="39"/>
    <x v="2"/>
    <x v="4"/>
    <n v="84"/>
    <n v="254.2621659223083"/>
    <s v="east"/>
  </r>
  <r>
    <n v="764"/>
    <x v="8"/>
    <x v="21"/>
    <x v="2"/>
    <x v="2"/>
    <n v="18"/>
    <n v="55.343428443559006"/>
    <s v="south"/>
  </r>
  <r>
    <n v="765"/>
    <x v="7"/>
    <x v="87"/>
    <x v="0"/>
    <x v="0"/>
    <n v="6"/>
    <n v="15.742829763147856"/>
    <s v="west"/>
  </r>
  <r>
    <n v="766"/>
    <x v="8"/>
    <x v="0"/>
    <x v="0"/>
    <x v="0"/>
    <n v="5"/>
    <n v="16.913541625810112"/>
    <s v="west"/>
  </r>
  <r>
    <n v="767"/>
    <x v="4"/>
    <x v="21"/>
    <x v="2"/>
    <x v="1"/>
    <n v="59"/>
    <n v="178.89597357687876"/>
    <s v="south"/>
  </r>
  <r>
    <n v="768"/>
    <x v="4"/>
    <x v="44"/>
    <x v="1"/>
    <x v="4"/>
    <n v="1"/>
    <n v="1.4317242178607446"/>
    <s v="east"/>
  </r>
  <r>
    <n v="769"/>
    <x v="7"/>
    <x v="42"/>
    <x v="1"/>
    <x v="2"/>
    <n v="12"/>
    <n v="37.854496358374917"/>
    <s v="east"/>
  </r>
  <r>
    <n v="770"/>
    <x v="4"/>
    <x v="6"/>
    <x v="0"/>
    <x v="2"/>
    <n v="25"/>
    <n v="76.808458339015715"/>
    <s v="east"/>
  </r>
  <r>
    <n v="771"/>
    <x v="5"/>
    <x v="44"/>
    <x v="1"/>
    <x v="4"/>
    <n v="33"/>
    <n v="101.42418309364238"/>
    <s v="east"/>
  </r>
  <r>
    <n v="772"/>
    <x v="0"/>
    <x v="85"/>
    <x v="0"/>
    <x v="4"/>
    <n v="12"/>
    <n v="37.887038047747772"/>
    <s v="west"/>
  </r>
  <r>
    <n v="773"/>
    <x v="6"/>
    <x v="30"/>
    <x v="1"/>
    <x v="3"/>
    <n v="52"/>
    <n v="158.30772051149228"/>
    <s v="east"/>
  </r>
  <r>
    <n v="774"/>
    <x v="7"/>
    <x v="48"/>
    <x v="1"/>
    <x v="3"/>
    <n v="34"/>
    <n v="103.62316183025368"/>
    <s v="west"/>
  </r>
  <r>
    <n v="775"/>
    <x v="5"/>
    <x v="50"/>
    <x v="1"/>
    <x v="1"/>
    <n v="66"/>
    <n v="200.65880996778469"/>
    <s v="south"/>
  </r>
  <r>
    <n v="776"/>
    <x v="5"/>
    <x v="96"/>
    <x v="0"/>
    <x v="2"/>
    <n v="10"/>
    <n v="31.853247271934272"/>
    <s v="south"/>
  </r>
  <r>
    <n v="777"/>
    <x v="8"/>
    <x v="85"/>
    <x v="0"/>
    <x v="1"/>
    <n v="5"/>
    <n v="12.547627479219663"/>
    <s v="midwest"/>
  </r>
  <r>
    <n v="778"/>
    <x v="2"/>
    <x v="30"/>
    <x v="1"/>
    <x v="4"/>
    <n v="89"/>
    <n v="269.48918997457559"/>
    <s v="south"/>
  </r>
  <r>
    <n v="779"/>
    <x v="8"/>
    <x v="28"/>
    <x v="1"/>
    <x v="1"/>
    <n v="5"/>
    <n v="16.818206363269947"/>
    <s v="south"/>
  </r>
  <r>
    <n v="780"/>
    <x v="7"/>
    <x v="83"/>
    <x v="2"/>
    <x v="4"/>
    <n v="48"/>
    <n v="145.98516396408215"/>
    <s v="midwest"/>
  </r>
  <r>
    <n v="781"/>
    <x v="0"/>
    <x v="21"/>
    <x v="2"/>
    <x v="4"/>
    <n v="36"/>
    <n v="109.92397437204225"/>
    <s v="midwest"/>
  </r>
  <r>
    <n v="782"/>
    <x v="5"/>
    <x v="72"/>
    <x v="2"/>
    <x v="4"/>
    <n v="80"/>
    <n v="241.99741515278305"/>
    <s v="west"/>
  </r>
  <r>
    <n v="783"/>
    <x v="0"/>
    <x v="60"/>
    <x v="2"/>
    <x v="0"/>
    <n v="64"/>
    <n v="193.891081917441"/>
    <s v="west"/>
  </r>
  <r>
    <n v="784"/>
    <x v="0"/>
    <x v="84"/>
    <x v="1"/>
    <x v="1"/>
    <n v="51"/>
    <n v="155.49981680350626"/>
    <s v="east"/>
  </r>
  <r>
    <n v="785"/>
    <x v="2"/>
    <x v="28"/>
    <x v="1"/>
    <x v="3"/>
    <n v="92"/>
    <n v="278.34020387718806"/>
    <s v="east"/>
  </r>
  <r>
    <n v="786"/>
    <x v="8"/>
    <x v="92"/>
    <x v="1"/>
    <x v="3"/>
    <n v="93"/>
    <n v="280.85575758245068"/>
    <s v="midwest"/>
  </r>
  <r>
    <n v="787"/>
    <x v="7"/>
    <x v="75"/>
    <x v="1"/>
    <x v="1"/>
    <n v="36"/>
    <n v="110.48116735303131"/>
    <s v="west"/>
  </r>
  <r>
    <n v="788"/>
    <x v="2"/>
    <x v="83"/>
    <x v="2"/>
    <x v="0"/>
    <n v="9"/>
    <n v="24.826904970027119"/>
    <s v="midwest"/>
  </r>
  <r>
    <n v="789"/>
    <x v="7"/>
    <x v="31"/>
    <x v="1"/>
    <x v="0"/>
    <n v="48"/>
    <n v="146.23287015814799"/>
    <s v="west"/>
  </r>
  <r>
    <n v="790"/>
    <x v="8"/>
    <x v="37"/>
    <x v="1"/>
    <x v="3"/>
    <n v="11"/>
    <n v="34.54792782212121"/>
    <s v="east"/>
  </r>
  <r>
    <n v="791"/>
    <x v="8"/>
    <x v="86"/>
    <x v="0"/>
    <x v="2"/>
    <n v="8"/>
    <n v="25.453618816298423"/>
    <s v="west"/>
  </r>
  <r>
    <n v="792"/>
    <x v="4"/>
    <x v="15"/>
    <x v="0"/>
    <x v="1"/>
    <n v="36"/>
    <n v="110.09171904672033"/>
    <s v="east"/>
  </r>
  <r>
    <n v="793"/>
    <x v="8"/>
    <x v="40"/>
    <x v="1"/>
    <x v="4"/>
    <n v="93"/>
    <n v="280.77976287020761"/>
    <s v="west"/>
  </r>
  <r>
    <n v="794"/>
    <x v="1"/>
    <x v="15"/>
    <x v="0"/>
    <x v="0"/>
    <n v="39"/>
    <n v="119.20284079894812"/>
    <s v="east"/>
  </r>
  <r>
    <n v="795"/>
    <x v="1"/>
    <x v="58"/>
    <x v="0"/>
    <x v="3"/>
    <n v="72"/>
    <n v="218.07728873022205"/>
    <s v="south"/>
  </r>
  <r>
    <n v="796"/>
    <x v="6"/>
    <x v="45"/>
    <x v="2"/>
    <x v="0"/>
    <n v="3"/>
    <n v="10.416176420457935"/>
    <s v="midwest"/>
  </r>
  <r>
    <n v="797"/>
    <x v="3"/>
    <x v="13"/>
    <x v="1"/>
    <x v="4"/>
    <n v="47"/>
    <n v="142.8388636236887"/>
    <s v="east"/>
  </r>
  <r>
    <n v="798"/>
    <x v="5"/>
    <x v="74"/>
    <x v="2"/>
    <x v="4"/>
    <n v="72"/>
    <n v="217.32445132799407"/>
    <s v="west"/>
  </r>
  <r>
    <n v="799"/>
    <x v="4"/>
    <x v="21"/>
    <x v="2"/>
    <x v="4"/>
    <n v="26"/>
    <n v="79.748589199087291"/>
    <s v="midwest"/>
  </r>
  <r>
    <n v="800"/>
    <x v="3"/>
    <x v="67"/>
    <x v="0"/>
    <x v="3"/>
    <n v="47"/>
    <n v="142.48755479367787"/>
    <s v="south"/>
  </r>
  <r>
    <n v="801"/>
    <x v="5"/>
    <x v="49"/>
    <x v="2"/>
    <x v="0"/>
    <n v="14"/>
    <n v="43.403824731122626"/>
    <s v="east"/>
  </r>
  <r>
    <n v="802"/>
    <x v="3"/>
    <x v="44"/>
    <x v="1"/>
    <x v="4"/>
    <n v="71"/>
    <n v="215.07582310104507"/>
    <s v="south"/>
  </r>
  <r>
    <n v="803"/>
    <x v="1"/>
    <x v="57"/>
    <x v="2"/>
    <x v="1"/>
    <n v="95"/>
    <n v="287.79738255613682"/>
    <s v="midwest"/>
  </r>
  <r>
    <n v="804"/>
    <x v="8"/>
    <x v="45"/>
    <x v="2"/>
    <x v="4"/>
    <n v="37"/>
    <n v="112.77919739726129"/>
    <s v="south"/>
  </r>
  <r>
    <n v="805"/>
    <x v="1"/>
    <x v="36"/>
    <x v="1"/>
    <x v="0"/>
    <n v="1"/>
    <n v="0.39117514400995779"/>
    <s v="east"/>
  </r>
  <r>
    <n v="806"/>
    <x v="6"/>
    <x v="57"/>
    <x v="2"/>
    <x v="3"/>
    <n v="26"/>
    <n v="80.208589830999188"/>
    <s v="midwest"/>
  </r>
  <r>
    <n v="807"/>
    <x v="3"/>
    <x v="33"/>
    <x v="0"/>
    <x v="3"/>
    <n v="67"/>
    <n v="203.54299038710067"/>
    <s v="east"/>
  </r>
  <r>
    <n v="808"/>
    <x v="6"/>
    <x v="53"/>
    <x v="0"/>
    <x v="0"/>
    <n v="15"/>
    <n v="47.198351483731813"/>
    <s v="midwest"/>
  </r>
  <r>
    <n v="809"/>
    <x v="7"/>
    <x v="25"/>
    <x v="2"/>
    <x v="0"/>
    <n v="73"/>
    <n v="221.33612349849449"/>
    <s v="south"/>
  </r>
  <r>
    <n v="810"/>
    <x v="7"/>
    <x v="67"/>
    <x v="0"/>
    <x v="4"/>
    <n v="13"/>
    <n v="40.899875452377259"/>
    <s v="west"/>
  </r>
  <r>
    <n v="811"/>
    <x v="6"/>
    <x v="6"/>
    <x v="0"/>
    <x v="1"/>
    <n v="76"/>
    <n v="229.55812152109252"/>
    <s v="east"/>
  </r>
  <r>
    <n v="812"/>
    <x v="8"/>
    <x v="29"/>
    <x v="0"/>
    <x v="3"/>
    <n v="9"/>
    <n v="24.933082918901754"/>
    <s v="south"/>
  </r>
  <r>
    <n v="813"/>
    <x v="4"/>
    <x v="98"/>
    <x v="1"/>
    <x v="2"/>
    <n v="36"/>
    <n v="109.53328220052806"/>
    <s v="west"/>
  </r>
  <r>
    <n v="814"/>
    <x v="2"/>
    <x v="58"/>
    <x v="0"/>
    <x v="1"/>
    <n v="11"/>
    <n v="35.52180509936634"/>
    <s v="south"/>
  </r>
  <r>
    <n v="815"/>
    <x v="4"/>
    <x v="61"/>
    <x v="2"/>
    <x v="0"/>
    <n v="73"/>
    <n v="220.50049794203733"/>
    <s v="east"/>
  </r>
  <r>
    <n v="816"/>
    <x v="7"/>
    <x v="79"/>
    <x v="0"/>
    <x v="2"/>
    <n v="93"/>
    <n v="280.26544889145606"/>
    <s v="south"/>
  </r>
  <r>
    <n v="817"/>
    <x v="0"/>
    <x v="99"/>
    <x v="2"/>
    <x v="1"/>
    <n v="69"/>
    <n v="209.31670948874884"/>
    <s v="east"/>
  </r>
  <r>
    <n v="818"/>
    <x v="1"/>
    <x v="15"/>
    <x v="0"/>
    <x v="3"/>
    <n v="86"/>
    <n v="259.4849368720744"/>
    <s v="midwest"/>
  </r>
  <r>
    <n v="819"/>
    <x v="0"/>
    <x v="18"/>
    <x v="2"/>
    <x v="4"/>
    <n v="54"/>
    <n v="164.37938973773885"/>
    <s v="south"/>
  </r>
  <r>
    <n v="820"/>
    <x v="5"/>
    <x v="92"/>
    <x v="1"/>
    <x v="4"/>
    <n v="2"/>
    <n v="4.040363555098244"/>
    <s v="midwest"/>
  </r>
  <r>
    <n v="821"/>
    <x v="3"/>
    <x v="14"/>
    <x v="2"/>
    <x v="1"/>
    <n v="83"/>
    <n v="250.16533632828239"/>
    <s v="west"/>
  </r>
  <r>
    <n v="822"/>
    <x v="8"/>
    <x v="84"/>
    <x v="1"/>
    <x v="4"/>
    <n v="2"/>
    <n v="8.0012184182764319"/>
    <s v="west"/>
  </r>
  <r>
    <n v="823"/>
    <x v="4"/>
    <x v="57"/>
    <x v="2"/>
    <x v="3"/>
    <n v="54"/>
    <n v="164.14962862314266"/>
    <s v="midwest"/>
  </r>
  <r>
    <n v="824"/>
    <x v="1"/>
    <x v="0"/>
    <x v="0"/>
    <x v="1"/>
    <n v="76"/>
    <n v="230.41943809745561"/>
    <s v="east"/>
  </r>
  <r>
    <n v="825"/>
    <x v="0"/>
    <x v="12"/>
    <x v="1"/>
    <x v="3"/>
    <n v="10"/>
    <n v="32.250567590543547"/>
    <s v="midwest"/>
  </r>
  <r>
    <n v="826"/>
    <x v="7"/>
    <x v="83"/>
    <x v="2"/>
    <x v="1"/>
    <n v="81"/>
    <n v="245.03936147229382"/>
    <s v="west"/>
  </r>
  <r>
    <n v="827"/>
    <x v="7"/>
    <x v="14"/>
    <x v="2"/>
    <x v="3"/>
    <n v="83"/>
    <n v="251.14060708825255"/>
    <s v="midwest"/>
  </r>
  <r>
    <n v="828"/>
    <x v="3"/>
    <x v="77"/>
    <x v="2"/>
    <x v="1"/>
    <n v="6"/>
    <n v="19.522370228620925"/>
    <s v="south"/>
  </r>
  <r>
    <n v="829"/>
    <x v="4"/>
    <x v="72"/>
    <x v="2"/>
    <x v="4"/>
    <n v="77"/>
    <n v="233.15631874033514"/>
    <s v="east"/>
  </r>
  <r>
    <n v="830"/>
    <x v="7"/>
    <x v="23"/>
    <x v="2"/>
    <x v="4"/>
    <n v="41"/>
    <n v="125.28397193085664"/>
    <s v="west"/>
  </r>
  <r>
    <n v="831"/>
    <x v="2"/>
    <x v="21"/>
    <x v="2"/>
    <x v="0"/>
    <n v="80"/>
    <n v="241.70735878482179"/>
    <s v="south"/>
  </r>
  <r>
    <n v="832"/>
    <x v="3"/>
    <x v="3"/>
    <x v="2"/>
    <x v="3"/>
    <n v="20"/>
    <n v="62.210097856811508"/>
    <s v="east"/>
  </r>
  <r>
    <n v="833"/>
    <x v="6"/>
    <x v="97"/>
    <x v="0"/>
    <x v="3"/>
    <n v="31"/>
    <n v="95.327196648200925"/>
    <s v="midwest"/>
  </r>
  <r>
    <n v="834"/>
    <x v="1"/>
    <x v="49"/>
    <x v="2"/>
    <x v="1"/>
    <n v="34"/>
    <n v="103.89654308960344"/>
    <s v="east"/>
  </r>
  <r>
    <n v="835"/>
    <x v="2"/>
    <x v="12"/>
    <x v="1"/>
    <x v="1"/>
    <n v="2"/>
    <n v="8.0342514695562706"/>
    <s v="west"/>
  </r>
  <r>
    <n v="836"/>
    <x v="7"/>
    <x v="71"/>
    <x v="2"/>
    <x v="1"/>
    <n v="17"/>
    <n v="53.331838418625381"/>
    <s v="south"/>
  </r>
  <r>
    <n v="837"/>
    <x v="6"/>
    <x v="18"/>
    <x v="2"/>
    <x v="3"/>
    <n v="16"/>
    <n v="50.310894482412991"/>
    <s v="south"/>
  </r>
  <r>
    <n v="838"/>
    <x v="5"/>
    <x v="45"/>
    <x v="2"/>
    <x v="1"/>
    <n v="54"/>
    <n v="163.70197903495185"/>
    <s v="west"/>
  </r>
  <r>
    <n v="839"/>
    <x v="3"/>
    <x v="53"/>
    <x v="0"/>
    <x v="0"/>
    <n v="9"/>
    <n v="24.921999927055641"/>
    <s v="east"/>
  </r>
  <r>
    <n v="840"/>
    <x v="3"/>
    <x v="16"/>
    <x v="2"/>
    <x v="3"/>
    <n v="94"/>
    <n v="284.53575317756747"/>
    <s v="west"/>
  </r>
  <r>
    <n v="841"/>
    <x v="7"/>
    <x v="78"/>
    <x v="0"/>
    <x v="1"/>
    <n v="3"/>
    <n v="7.4497114042005954"/>
    <s v="midwest"/>
  </r>
  <r>
    <n v="842"/>
    <x v="5"/>
    <x v="51"/>
    <x v="0"/>
    <x v="4"/>
    <n v="9"/>
    <n v="28.830809944248564"/>
    <s v="west"/>
  </r>
  <r>
    <n v="843"/>
    <x v="1"/>
    <x v="6"/>
    <x v="0"/>
    <x v="1"/>
    <n v="25"/>
    <n v="77.108203405128648"/>
    <s v="east"/>
  </r>
  <r>
    <n v="844"/>
    <x v="2"/>
    <x v="76"/>
    <x v="2"/>
    <x v="0"/>
    <n v="29"/>
    <n v="89.310545900397301"/>
    <s v="south"/>
  </r>
  <r>
    <n v="845"/>
    <x v="8"/>
    <x v="88"/>
    <x v="0"/>
    <x v="3"/>
    <n v="37"/>
    <n v="113.21323460768004"/>
    <s v="east"/>
  </r>
  <r>
    <n v="846"/>
    <x v="3"/>
    <x v="44"/>
    <x v="1"/>
    <x v="1"/>
    <n v="19"/>
    <n v="59.003760475925063"/>
    <s v="west"/>
  </r>
  <r>
    <n v="847"/>
    <x v="5"/>
    <x v="15"/>
    <x v="0"/>
    <x v="0"/>
    <n v="28"/>
    <n v="86.04518510559123"/>
    <s v="midwest"/>
  </r>
  <r>
    <n v="848"/>
    <x v="7"/>
    <x v="29"/>
    <x v="0"/>
    <x v="3"/>
    <n v="18"/>
    <n v="55.858549479616173"/>
    <s v="west"/>
  </r>
  <r>
    <n v="849"/>
    <x v="2"/>
    <x v="18"/>
    <x v="2"/>
    <x v="2"/>
    <n v="84"/>
    <n v="254.04302513210774"/>
    <s v="south"/>
  </r>
  <r>
    <n v="850"/>
    <x v="6"/>
    <x v="79"/>
    <x v="0"/>
    <x v="1"/>
    <n v="79"/>
    <n v="238.82743961542425"/>
    <s v="west"/>
  </r>
  <r>
    <n v="851"/>
    <x v="8"/>
    <x v="51"/>
    <x v="0"/>
    <x v="1"/>
    <n v="31"/>
    <n v="94.972961203791044"/>
    <s v="midwest"/>
  </r>
  <r>
    <n v="852"/>
    <x v="7"/>
    <x v="69"/>
    <x v="2"/>
    <x v="2"/>
    <n v="34"/>
    <n v="103.39863614232333"/>
    <s v="east"/>
  </r>
  <r>
    <n v="853"/>
    <x v="8"/>
    <x v="37"/>
    <x v="1"/>
    <x v="4"/>
    <n v="66"/>
    <n v="201.25536797949457"/>
    <s v="south"/>
  </r>
  <r>
    <n v="854"/>
    <x v="6"/>
    <x v="3"/>
    <x v="2"/>
    <x v="4"/>
    <n v="44"/>
    <n v="134.44985862590835"/>
    <s v="east"/>
  </r>
  <r>
    <n v="855"/>
    <x v="0"/>
    <x v="42"/>
    <x v="1"/>
    <x v="3"/>
    <n v="94"/>
    <n v="284.41944495958916"/>
    <s v="south"/>
  </r>
  <r>
    <n v="856"/>
    <x v="4"/>
    <x v="15"/>
    <x v="0"/>
    <x v="1"/>
    <n v="11"/>
    <n v="35.299860689817372"/>
    <s v="east"/>
  </r>
  <r>
    <n v="857"/>
    <x v="1"/>
    <x v="88"/>
    <x v="0"/>
    <x v="0"/>
    <n v="74"/>
    <n v="223.97457991298864"/>
    <s v="east"/>
  </r>
  <r>
    <n v="858"/>
    <x v="7"/>
    <x v="21"/>
    <x v="2"/>
    <x v="4"/>
    <n v="28"/>
    <n v="86.485564911199845"/>
    <s v="west"/>
  </r>
  <r>
    <n v="859"/>
    <x v="5"/>
    <x v="98"/>
    <x v="1"/>
    <x v="0"/>
    <n v="40"/>
    <n v="121.92180749554807"/>
    <s v="west"/>
  </r>
  <r>
    <n v="860"/>
    <x v="5"/>
    <x v="27"/>
    <x v="0"/>
    <x v="0"/>
    <n v="34"/>
    <n v="104.1689153871453"/>
    <s v="south"/>
  </r>
  <r>
    <n v="861"/>
    <x v="0"/>
    <x v="81"/>
    <x v="1"/>
    <x v="3"/>
    <n v="38"/>
    <n v="115.85180148886141"/>
    <s v="south"/>
  </r>
  <r>
    <n v="862"/>
    <x v="1"/>
    <x v="32"/>
    <x v="1"/>
    <x v="4"/>
    <n v="69"/>
    <n v="209.14336391515394"/>
    <s v="midwest"/>
  </r>
  <r>
    <n v="863"/>
    <x v="2"/>
    <x v="59"/>
    <x v="1"/>
    <x v="3"/>
    <n v="34"/>
    <n v="103.97058317140277"/>
    <s v="midwest"/>
  </r>
  <r>
    <n v="864"/>
    <x v="0"/>
    <x v="30"/>
    <x v="1"/>
    <x v="4"/>
    <n v="29"/>
    <n v="89.383943739445868"/>
    <s v="midwest"/>
  </r>
  <r>
    <n v="865"/>
    <x v="4"/>
    <x v="53"/>
    <x v="0"/>
    <x v="1"/>
    <n v="10"/>
    <n v="27.724939048319342"/>
    <s v="midwest"/>
  </r>
  <r>
    <n v="866"/>
    <x v="8"/>
    <x v="17"/>
    <x v="0"/>
    <x v="2"/>
    <n v="42"/>
    <n v="128.42870398782102"/>
    <s v="midwest"/>
  </r>
  <r>
    <n v="867"/>
    <x v="3"/>
    <x v="64"/>
    <x v="2"/>
    <x v="4"/>
    <n v="58"/>
    <n v="175.97423505292562"/>
    <s v="west"/>
  </r>
  <r>
    <n v="868"/>
    <x v="6"/>
    <x v="1"/>
    <x v="0"/>
    <x v="1"/>
    <n v="27"/>
    <n v="83.01665013993393"/>
    <s v="midwest"/>
  </r>
  <r>
    <n v="869"/>
    <x v="8"/>
    <x v="8"/>
    <x v="2"/>
    <x v="3"/>
    <n v="47"/>
    <n v="143.2742036645771"/>
    <s v="east"/>
  </r>
  <r>
    <n v="870"/>
    <x v="6"/>
    <x v="27"/>
    <x v="0"/>
    <x v="1"/>
    <n v="29"/>
    <n v="88.696716331090727"/>
    <s v="south"/>
  </r>
  <r>
    <n v="871"/>
    <x v="8"/>
    <x v="39"/>
    <x v="2"/>
    <x v="4"/>
    <n v="28"/>
    <n v="86.226420950611285"/>
    <s v="south"/>
  </r>
  <r>
    <n v="872"/>
    <x v="0"/>
    <x v="14"/>
    <x v="2"/>
    <x v="3"/>
    <n v="79"/>
    <n v="239.05774059830441"/>
    <s v="south"/>
  </r>
  <r>
    <n v="873"/>
    <x v="2"/>
    <x v="51"/>
    <x v="0"/>
    <x v="3"/>
    <n v="41"/>
    <n v="124.81786407447923"/>
    <s v="east"/>
  </r>
  <r>
    <n v="874"/>
    <x v="6"/>
    <x v="34"/>
    <x v="1"/>
    <x v="2"/>
    <n v="57"/>
    <n v="172.96188521453885"/>
    <s v="midwest"/>
  </r>
  <r>
    <n v="875"/>
    <x v="8"/>
    <x v="41"/>
    <x v="2"/>
    <x v="0"/>
    <n v="45"/>
    <n v="137.62002289021942"/>
    <s v="west"/>
  </r>
  <r>
    <n v="876"/>
    <x v="7"/>
    <x v="64"/>
    <x v="2"/>
    <x v="4"/>
    <n v="91"/>
    <n v="274.91230216083113"/>
    <s v="west"/>
  </r>
  <r>
    <n v="877"/>
    <x v="6"/>
    <x v="42"/>
    <x v="1"/>
    <x v="4"/>
    <n v="49"/>
    <n v="149.04131306617498"/>
    <s v="west"/>
  </r>
  <r>
    <n v="878"/>
    <x v="0"/>
    <x v="19"/>
    <x v="0"/>
    <x v="0"/>
    <n v="68"/>
    <n v="206.16097800045316"/>
    <s v="west"/>
  </r>
  <r>
    <n v="879"/>
    <x v="4"/>
    <x v="47"/>
    <x v="1"/>
    <x v="2"/>
    <n v="38"/>
    <n v="116.64480895861564"/>
    <s v="west"/>
  </r>
  <r>
    <n v="880"/>
    <x v="2"/>
    <x v="14"/>
    <x v="2"/>
    <x v="1"/>
    <n v="4"/>
    <n v="15.205643253032669"/>
    <s v="south"/>
  </r>
  <r>
    <n v="881"/>
    <x v="6"/>
    <x v="28"/>
    <x v="1"/>
    <x v="4"/>
    <n v="45"/>
    <n v="137.05484034063696"/>
    <s v="east"/>
  </r>
  <r>
    <n v="882"/>
    <x v="5"/>
    <x v="89"/>
    <x v="0"/>
    <x v="4"/>
    <n v="85"/>
    <n v="256.6581063828105"/>
    <s v="midwest"/>
  </r>
  <r>
    <n v="883"/>
    <x v="6"/>
    <x v="34"/>
    <x v="1"/>
    <x v="2"/>
    <n v="57"/>
    <n v="173.05666995199584"/>
    <s v="midwest"/>
  </r>
  <r>
    <n v="884"/>
    <x v="3"/>
    <x v="37"/>
    <x v="1"/>
    <x v="4"/>
    <n v="3"/>
    <n v="6.3637861287644046"/>
    <s v="east"/>
  </r>
  <r>
    <n v="885"/>
    <x v="8"/>
    <x v="9"/>
    <x v="2"/>
    <x v="1"/>
    <n v="9"/>
    <n v="24.858670230760346"/>
    <s v="midwest"/>
  </r>
  <r>
    <n v="886"/>
    <x v="3"/>
    <x v="70"/>
    <x v="0"/>
    <x v="3"/>
    <n v="86"/>
    <n v="260.29381913398618"/>
    <s v="midwest"/>
  </r>
  <r>
    <n v="887"/>
    <x v="7"/>
    <x v="66"/>
    <x v="1"/>
    <x v="1"/>
    <n v="11"/>
    <n v="35.041684359746164"/>
    <s v="east"/>
  </r>
  <r>
    <n v="888"/>
    <x v="4"/>
    <x v="46"/>
    <x v="0"/>
    <x v="4"/>
    <n v="87"/>
    <n v="262.7592489136066"/>
    <s v="midwest"/>
  </r>
  <r>
    <n v="889"/>
    <x v="4"/>
    <x v="96"/>
    <x v="0"/>
    <x v="3"/>
    <n v="86"/>
    <n v="260.00914889996403"/>
    <s v="south"/>
  </r>
  <r>
    <n v="890"/>
    <x v="0"/>
    <x v="20"/>
    <x v="2"/>
    <x v="0"/>
    <n v="62"/>
    <n v="187.81034616092504"/>
    <s v="west"/>
  </r>
  <r>
    <n v="891"/>
    <x v="6"/>
    <x v="41"/>
    <x v="2"/>
    <x v="4"/>
    <n v="80"/>
    <n v="241.85917425037732"/>
    <s v="west"/>
  </r>
  <r>
    <n v="892"/>
    <x v="4"/>
    <x v="86"/>
    <x v="0"/>
    <x v="2"/>
    <n v="11"/>
    <n v="34.782314831792192"/>
    <s v="south"/>
  </r>
  <r>
    <n v="893"/>
    <x v="4"/>
    <x v="36"/>
    <x v="1"/>
    <x v="2"/>
    <n v="11"/>
    <n v="34.680822827797087"/>
    <s v="midwest"/>
  </r>
  <r>
    <n v="894"/>
    <x v="8"/>
    <x v="40"/>
    <x v="1"/>
    <x v="3"/>
    <n v="4"/>
    <n v="9.7904020756587578"/>
    <s v="south"/>
  </r>
  <r>
    <n v="895"/>
    <x v="5"/>
    <x v="89"/>
    <x v="0"/>
    <x v="2"/>
    <n v="42"/>
    <n v="128.02610607664568"/>
    <s v="west"/>
  </r>
  <r>
    <n v="896"/>
    <x v="5"/>
    <x v="35"/>
    <x v="0"/>
    <x v="0"/>
    <n v="51"/>
    <n v="154.71800722699501"/>
    <s v="south"/>
  </r>
  <r>
    <n v="897"/>
    <x v="4"/>
    <x v="86"/>
    <x v="0"/>
    <x v="1"/>
    <n v="91"/>
    <n v="274.77216405152751"/>
    <s v="south"/>
  </r>
  <r>
    <n v="898"/>
    <x v="6"/>
    <x v="57"/>
    <x v="2"/>
    <x v="0"/>
    <n v="24"/>
    <n v="73.406307306618515"/>
    <s v="west"/>
  </r>
  <r>
    <n v="899"/>
    <x v="6"/>
    <x v="97"/>
    <x v="0"/>
    <x v="3"/>
    <n v="19"/>
    <n v="59.122730804832166"/>
    <s v="midwest"/>
  </r>
  <r>
    <n v="900"/>
    <x v="4"/>
    <x v="6"/>
    <x v="0"/>
    <x v="0"/>
    <n v="80"/>
    <n v="241.74723336571216"/>
    <s v="midwest"/>
  </r>
  <r>
    <n v="901"/>
    <x v="0"/>
    <x v="21"/>
    <x v="2"/>
    <x v="1"/>
    <n v="0"/>
    <n v="1.6796900586638657"/>
    <s v="east"/>
  </r>
  <r>
    <n v="902"/>
    <x v="7"/>
    <x v="52"/>
    <x v="2"/>
    <x v="1"/>
    <n v="69"/>
    <n v="209.14203916980014"/>
    <s v="east"/>
  </r>
  <r>
    <n v="903"/>
    <x v="6"/>
    <x v="41"/>
    <x v="2"/>
    <x v="4"/>
    <n v="84"/>
    <n v="253.78421313059829"/>
    <s v="midwest"/>
  </r>
  <r>
    <n v="904"/>
    <x v="1"/>
    <x v="59"/>
    <x v="1"/>
    <x v="2"/>
    <n v="31"/>
    <n v="94.752143463742286"/>
    <s v="west"/>
  </r>
  <r>
    <n v="905"/>
    <x v="3"/>
    <x v="12"/>
    <x v="1"/>
    <x v="3"/>
    <n v="11"/>
    <n v="35.274537093655269"/>
    <s v="south"/>
  </r>
  <r>
    <n v="906"/>
    <x v="2"/>
    <x v="48"/>
    <x v="1"/>
    <x v="0"/>
    <n v="79"/>
    <n v="239.3445563093955"/>
    <s v="midwest"/>
  </r>
  <r>
    <n v="907"/>
    <x v="7"/>
    <x v="26"/>
    <x v="2"/>
    <x v="3"/>
    <n v="22"/>
    <n v="68.549031242200385"/>
    <s v="midwest"/>
  </r>
  <r>
    <n v="908"/>
    <x v="0"/>
    <x v="75"/>
    <x v="1"/>
    <x v="1"/>
    <n v="76"/>
    <n v="231.1298624050425"/>
    <s v="east"/>
  </r>
  <r>
    <n v="909"/>
    <x v="2"/>
    <x v="67"/>
    <x v="0"/>
    <x v="3"/>
    <n v="0"/>
    <n v="2.7444174420335523"/>
    <s v="midwest"/>
  </r>
  <r>
    <n v="910"/>
    <x v="6"/>
    <x v="55"/>
    <x v="1"/>
    <x v="0"/>
    <n v="94"/>
    <n v="283.56226306241973"/>
    <s v="west"/>
  </r>
  <r>
    <n v="911"/>
    <x v="3"/>
    <x v="51"/>
    <x v="0"/>
    <x v="1"/>
    <n v="14"/>
    <n v="44.2457022640235"/>
    <s v="south"/>
  </r>
  <r>
    <n v="912"/>
    <x v="6"/>
    <x v="8"/>
    <x v="2"/>
    <x v="4"/>
    <n v="57"/>
    <n v="172.69724242963656"/>
    <s v="west"/>
  </r>
  <r>
    <n v="913"/>
    <x v="7"/>
    <x v="92"/>
    <x v="1"/>
    <x v="0"/>
    <n v="3"/>
    <n v="11.082849552887902"/>
    <s v="east"/>
  </r>
  <r>
    <n v="914"/>
    <x v="8"/>
    <x v="8"/>
    <x v="2"/>
    <x v="0"/>
    <n v="50"/>
    <n v="151.95954978745411"/>
    <s v="west"/>
  </r>
  <r>
    <n v="915"/>
    <x v="2"/>
    <x v="56"/>
    <x v="2"/>
    <x v="3"/>
    <n v="25"/>
    <n v="76.624560231864265"/>
    <s v="east"/>
  </r>
  <r>
    <n v="916"/>
    <x v="5"/>
    <x v="12"/>
    <x v="1"/>
    <x v="1"/>
    <n v="46"/>
    <n v="140.2736912488281"/>
    <s v="south"/>
  </r>
  <r>
    <n v="917"/>
    <x v="3"/>
    <x v="41"/>
    <x v="2"/>
    <x v="0"/>
    <n v="19"/>
    <n v="58.735580557472737"/>
    <s v="east"/>
  </r>
  <r>
    <n v="918"/>
    <x v="6"/>
    <x v="3"/>
    <x v="2"/>
    <x v="3"/>
    <n v="6"/>
    <n v="20.099629096975125"/>
    <s v="west"/>
  </r>
  <r>
    <n v="919"/>
    <x v="7"/>
    <x v="8"/>
    <x v="2"/>
    <x v="2"/>
    <n v="8"/>
    <n v="26.084862644671222"/>
    <s v="midwest"/>
  </r>
  <r>
    <n v="920"/>
    <x v="6"/>
    <x v="49"/>
    <x v="2"/>
    <x v="4"/>
    <n v="2"/>
    <n v="3.7309676865630421"/>
    <s v="midwest"/>
  </r>
  <r>
    <n v="921"/>
    <x v="3"/>
    <x v="28"/>
    <x v="1"/>
    <x v="0"/>
    <n v="80"/>
    <n v="240.69010526776344"/>
    <s v="east"/>
  </r>
  <r>
    <n v="922"/>
    <x v="7"/>
    <x v="91"/>
    <x v="1"/>
    <x v="1"/>
    <n v="19"/>
    <n v="58.904121420487954"/>
    <s v="south"/>
  </r>
  <r>
    <n v="923"/>
    <x v="0"/>
    <x v="28"/>
    <x v="1"/>
    <x v="2"/>
    <n v="27"/>
    <n v="82.994094545634482"/>
    <s v="south"/>
  </r>
  <r>
    <n v="924"/>
    <x v="2"/>
    <x v="27"/>
    <x v="0"/>
    <x v="4"/>
    <n v="79"/>
    <n v="239.44869651132598"/>
    <s v="west"/>
  </r>
  <r>
    <n v="925"/>
    <x v="7"/>
    <x v="49"/>
    <x v="2"/>
    <x v="1"/>
    <n v="57"/>
    <n v="173.32970466821706"/>
    <s v="south"/>
  </r>
  <r>
    <n v="926"/>
    <x v="8"/>
    <x v="54"/>
    <x v="1"/>
    <x v="0"/>
    <n v="47"/>
    <n v="143.60165141540284"/>
    <s v="east"/>
  </r>
  <r>
    <n v="927"/>
    <x v="8"/>
    <x v="51"/>
    <x v="0"/>
    <x v="0"/>
    <n v="9"/>
    <n v="28.827091013525987"/>
    <s v="south"/>
  </r>
  <r>
    <n v="928"/>
    <x v="7"/>
    <x v="5"/>
    <x v="1"/>
    <x v="0"/>
    <n v="65"/>
    <n v="196.85925384860963"/>
    <s v="midwest"/>
  </r>
  <r>
    <n v="929"/>
    <x v="3"/>
    <x v="1"/>
    <x v="0"/>
    <x v="1"/>
    <n v="58"/>
    <n v="175.22266670553387"/>
    <s v="west"/>
  </r>
  <r>
    <n v="930"/>
    <x v="8"/>
    <x v="65"/>
    <x v="0"/>
    <x v="4"/>
    <n v="48"/>
    <n v="145.9379301268051"/>
    <s v="south"/>
  </r>
  <r>
    <n v="931"/>
    <x v="3"/>
    <x v="84"/>
    <x v="1"/>
    <x v="1"/>
    <n v="75"/>
    <n v="226.61201635446793"/>
    <s v="east"/>
  </r>
  <r>
    <n v="932"/>
    <x v="8"/>
    <x v="61"/>
    <x v="2"/>
    <x v="1"/>
    <n v="59"/>
    <n v="179.37483712712185"/>
    <s v="west"/>
  </r>
  <r>
    <n v="933"/>
    <x v="7"/>
    <x v="42"/>
    <x v="1"/>
    <x v="4"/>
    <n v="34"/>
    <n v="104.445032643001"/>
    <s v="midwest"/>
  </r>
  <r>
    <n v="934"/>
    <x v="3"/>
    <x v="0"/>
    <x v="0"/>
    <x v="2"/>
    <n v="57"/>
    <n v="173.06756590039018"/>
    <s v="east"/>
  </r>
  <r>
    <n v="935"/>
    <x v="6"/>
    <x v="23"/>
    <x v="2"/>
    <x v="0"/>
    <n v="62"/>
    <n v="187.88584432496489"/>
    <s v="south"/>
  </r>
  <r>
    <n v="936"/>
    <x v="5"/>
    <x v="8"/>
    <x v="2"/>
    <x v="2"/>
    <n v="17"/>
    <n v="53.048677008733435"/>
    <s v="south"/>
  </r>
  <r>
    <n v="937"/>
    <x v="2"/>
    <x v="50"/>
    <x v="1"/>
    <x v="1"/>
    <n v="83"/>
    <n v="250.82439492521385"/>
    <s v="west"/>
  </r>
  <r>
    <n v="938"/>
    <x v="2"/>
    <x v="86"/>
    <x v="0"/>
    <x v="0"/>
    <n v="56"/>
    <n v="169.84037281505195"/>
    <s v="east"/>
  </r>
  <r>
    <n v="939"/>
    <x v="1"/>
    <x v="85"/>
    <x v="0"/>
    <x v="0"/>
    <n v="14"/>
    <n v="44.194328055358937"/>
    <s v="west"/>
  </r>
  <r>
    <n v="940"/>
    <x v="4"/>
    <x v="13"/>
    <x v="1"/>
    <x v="2"/>
    <n v="9"/>
    <n v="24.562782237120555"/>
    <s v="west"/>
  </r>
  <r>
    <n v="941"/>
    <x v="0"/>
    <x v="95"/>
    <x v="1"/>
    <x v="1"/>
    <n v="44"/>
    <n v="134.50349016705422"/>
    <s v="south"/>
  </r>
  <r>
    <n v="942"/>
    <x v="3"/>
    <x v="27"/>
    <x v="0"/>
    <x v="3"/>
    <n v="32"/>
    <n v="97.6497815079464"/>
    <s v="east"/>
  </r>
  <r>
    <n v="943"/>
    <x v="7"/>
    <x v="94"/>
    <x v="1"/>
    <x v="3"/>
    <n v="85"/>
    <n v="256.97037064610868"/>
    <s v="east"/>
  </r>
  <r>
    <n v="944"/>
    <x v="0"/>
    <x v="19"/>
    <x v="0"/>
    <x v="0"/>
    <n v="2"/>
    <n v="3.7233562380367276"/>
    <s v="west"/>
  </r>
  <r>
    <n v="945"/>
    <x v="6"/>
    <x v="75"/>
    <x v="1"/>
    <x v="2"/>
    <n v="31"/>
    <n v="94.439645321373334"/>
    <s v="south"/>
  </r>
  <r>
    <n v="946"/>
    <x v="8"/>
    <x v="88"/>
    <x v="0"/>
    <x v="3"/>
    <n v="7"/>
    <n v="19.822062355825821"/>
    <s v="south"/>
  </r>
  <r>
    <n v="947"/>
    <x v="4"/>
    <x v="97"/>
    <x v="0"/>
    <x v="2"/>
    <n v="1"/>
    <n v="0.28735784707427747"/>
    <s v="midwest"/>
  </r>
  <r>
    <n v="948"/>
    <x v="2"/>
    <x v="60"/>
    <x v="2"/>
    <x v="0"/>
    <n v="6"/>
    <n v="20.397135812092845"/>
    <s v="east"/>
  </r>
  <r>
    <n v="949"/>
    <x v="5"/>
    <x v="29"/>
    <x v="0"/>
    <x v="1"/>
    <n v="13"/>
    <n v="41.830169969209855"/>
    <s v="west"/>
  </r>
  <r>
    <n v="950"/>
    <x v="2"/>
    <x v="17"/>
    <x v="0"/>
    <x v="0"/>
    <n v="70"/>
    <n v="212.45510789670757"/>
    <s v="south"/>
  </r>
  <r>
    <n v="951"/>
    <x v="4"/>
    <x v="4"/>
    <x v="0"/>
    <x v="1"/>
    <n v="15"/>
    <n v="47.749438891041251"/>
    <s v="west"/>
  </r>
  <r>
    <n v="952"/>
    <x v="5"/>
    <x v="90"/>
    <x v="2"/>
    <x v="4"/>
    <n v="18"/>
    <n v="56.257832632332345"/>
    <s v="south"/>
  </r>
  <r>
    <n v="953"/>
    <x v="5"/>
    <x v="25"/>
    <x v="2"/>
    <x v="3"/>
    <n v="30"/>
    <n v="92.196479665554932"/>
    <s v="south"/>
  </r>
  <r>
    <n v="954"/>
    <x v="3"/>
    <x v="77"/>
    <x v="2"/>
    <x v="4"/>
    <n v="17"/>
    <n v="53.067953295003726"/>
    <s v="east"/>
  </r>
  <r>
    <n v="955"/>
    <x v="3"/>
    <x v="94"/>
    <x v="1"/>
    <x v="3"/>
    <n v="1"/>
    <n v="1.4540693559294799"/>
    <s v="midwest"/>
  </r>
  <r>
    <n v="956"/>
    <x v="7"/>
    <x v="55"/>
    <x v="1"/>
    <x v="1"/>
    <n v="50"/>
    <n v="152.31719787311525"/>
    <s v="south"/>
  </r>
  <r>
    <n v="957"/>
    <x v="2"/>
    <x v="80"/>
    <x v="1"/>
    <x v="0"/>
    <n v="83"/>
    <n v="251.0948967308864"/>
    <s v="east"/>
  </r>
  <r>
    <n v="958"/>
    <x v="6"/>
    <x v="87"/>
    <x v="0"/>
    <x v="4"/>
    <n v="54"/>
    <n v="164.08170340636366"/>
    <s v="midwest"/>
  </r>
  <r>
    <n v="959"/>
    <x v="2"/>
    <x v="92"/>
    <x v="1"/>
    <x v="0"/>
    <n v="16"/>
    <n v="49.968087631431565"/>
    <s v="south"/>
  </r>
  <r>
    <n v="960"/>
    <x v="6"/>
    <x v="14"/>
    <x v="2"/>
    <x v="0"/>
    <n v="53"/>
    <n v="160.95914621811275"/>
    <s v="east"/>
  </r>
  <r>
    <n v="961"/>
    <x v="5"/>
    <x v="49"/>
    <x v="2"/>
    <x v="3"/>
    <n v="95"/>
    <n v="286.71922939024518"/>
    <s v="west"/>
  </r>
  <r>
    <n v="962"/>
    <x v="2"/>
    <x v="33"/>
    <x v="0"/>
    <x v="4"/>
    <n v="74"/>
    <n v="224.1344883418044"/>
    <s v="south"/>
  </r>
  <r>
    <n v="963"/>
    <x v="4"/>
    <x v="59"/>
    <x v="1"/>
    <x v="4"/>
    <n v="11"/>
    <n v="35.126507167926178"/>
    <s v="midwest"/>
  </r>
  <r>
    <n v="964"/>
    <x v="1"/>
    <x v="14"/>
    <x v="2"/>
    <x v="1"/>
    <n v="63"/>
    <n v="191.00092010309442"/>
    <s v="west"/>
  </r>
  <r>
    <n v="965"/>
    <x v="0"/>
    <x v="12"/>
    <x v="1"/>
    <x v="3"/>
    <n v="53"/>
    <n v="161.23768017364921"/>
    <s v="east"/>
  </r>
  <r>
    <n v="966"/>
    <x v="3"/>
    <x v="69"/>
    <x v="2"/>
    <x v="0"/>
    <n v="1"/>
    <n v="5.2816840348822387"/>
    <s v="south"/>
  </r>
  <r>
    <n v="967"/>
    <x v="5"/>
    <x v="11"/>
    <x v="0"/>
    <x v="1"/>
    <n v="24"/>
    <n v="74.30729541001925"/>
    <s v="midwest"/>
  </r>
  <r>
    <n v="968"/>
    <x v="3"/>
    <x v="99"/>
    <x v="2"/>
    <x v="2"/>
    <n v="5"/>
    <n v="16.422750032809695"/>
    <s v="west"/>
  </r>
  <r>
    <n v="969"/>
    <x v="0"/>
    <x v="2"/>
    <x v="1"/>
    <x v="0"/>
    <n v="35"/>
    <n v="107.34237990295979"/>
    <s v="east"/>
  </r>
  <r>
    <n v="970"/>
    <x v="0"/>
    <x v="3"/>
    <x v="2"/>
    <x v="3"/>
    <n v="33"/>
    <n v="100.6187200673516"/>
    <s v="south"/>
  </r>
  <r>
    <n v="971"/>
    <x v="6"/>
    <x v="20"/>
    <x v="2"/>
    <x v="4"/>
    <n v="65"/>
    <n v="196.63630077143569"/>
    <s v="south"/>
  </r>
  <r>
    <n v="972"/>
    <x v="8"/>
    <x v="71"/>
    <x v="2"/>
    <x v="4"/>
    <n v="52"/>
    <n v="158.33506008490392"/>
    <s v="east"/>
  </r>
  <r>
    <n v="973"/>
    <x v="8"/>
    <x v="57"/>
    <x v="2"/>
    <x v="4"/>
    <n v="44"/>
    <n v="133.42498328468113"/>
    <s v="east"/>
  </r>
  <r>
    <n v="974"/>
    <x v="2"/>
    <x v="83"/>
    <x v="2"/>
    <x v="2"/>
    <n v="72"/>
    <n v="218.057153790916"/>
    <s v="east"/>
  </r>
  <r>
    <n v="975"/>
    <x v="6"/>
    <x v="65"/>
    <x v="0"/>
    <x v="4"/>
    <n v="13"/>
    <n v="41.138712352864658"/>
    <s v="east"/>
  </r>
  <r>
    <n v="976"/>
    <x v="3"/>
    <x v="24"/>
    <x v="2"/>
    <x v="1"/>
    <n v="16"/>
    <n v="50.15918619514666"/>
    <s v="south"/>
  </r>
  <r>
    <n v="977"/>
    <x v="8"/>
    <x v="71"/>
    <x v="2"/>
    <x v="1"/>
    <n v="19"/>
    <n v="59.265314003350476"/>
    <s v="west"/>
  </r>
  <r>
    <n v="978"/>
    <x v="3"/>
    <x v="63"/>
    <x v="1"/>
    <x v="4"/>
    <n v="67"/>
    <n v="203.43497713652508"/>
    <s v="west"/>
  </r>
  <r>
    <n v="979"/>
    <x v="6"/>
    <x v="71"/>
    <x v="2"/>
    <x v="0"/>
    <n v="2"/>
    <n v="8.3122868755040553"/>
    <s v="midwest"/>
  </r>
  <r>
    <n v="980"/>
    <x v="3"/>
    <x v="18"/>
    <x v="2"/>
    <x v="4"/>
    <n v="28"/>
    <n v="85.787320991735939"/>
    <s v="south"/>
  </r>
  <r>
    <n v="981"/>
    <x v="4"/>
    <x v="59"/>
    <x v="1"/>
    <x v="1"/>
    <n v="6"/>
    <n v="15.854559071603056"/>
    <s v="midwest"/>
  </r>
  <r>
    <n v="982"/>
    <x v="2"/>
    <x v="48"/>
    <x v="1"/>
    <x v="4"/>
    <n v="70"/>
    <n v="212.03178089307775"/>
    <s v="midwest"/>
  </r>
  <r>
    <n v="983"/>
    <x v="1"/>
    <x v="25"/>
    <x v="2"/>
    <x v="0"/>
    <n v="65"/>
    <n v="197.18663086835969"/>
    <s v="south"/>
  </r>
  <r>
    <n v="984"/>
    <x v="6"/>
    <x v="74"/>
    <x v="2"/>
    <x v="1"/>
    <n v="39"/>
    <n v="119.05118285965317"/>
    <s v="east"/>
  </r>
  <r>
    <n v="985"/>
    <x v="1"/>
    <x v="93"/>
    <x v="2"/>
    <x v="1"/>
    <n v="72"/>
    <n v="218.19229267045282"/>
    <s v="west"/>
  </r>
  <r>
    <n v="986"/>
    <x v="0"/>
    <x v="91"/>
    <x v="1"/>
    <x v="2"/>
    <n v="47"/>
    <n v="142.53694145811323"/>
    <s v="west"/>
  </r>
  <r>
    <n v="987"/>
    <x v="6"/>
    <x v="39"/>
    <x v="2"/>
    <x v="0"/>
    <n v="94"/>
    <n v="283.57943523104291"/>
    <s v="east"/>
  </r>
  <r>
    <n v="988"/>
    <x v="0"/>
    <x v="63"/>
    <x v="1"/>
    <x v="0"/>
    <n v="58"/>
    <n v="175.8230061159172"/>
    <s v="west"/>
  </r>
  <r>
    <n v="989"/>
    <x v="7"/>
    <x v="82"/>
    <x v="0"/>
    <x v="3"/>
    <n v="6"/>
    <n v="17.288821571122082"/>
    <s v="east"/>
  </r>
  <r>
    <n v="990"/>
    <x v="4"/>
    <x v="53"/>
    <x v="0"/>
    <x v="3"/>
    <n v="38"/>
    <n v="115.96163338782357"/>
    <s v="south"/>
  </r>
  <r>
    <n v="991"/>
    <x v="5"/>
    <x v="46"/>
    <x v="0"/>
    <x v="3"/>
    <n v="1"/>
    <n v="1.0160108133922805"/>
    <s v="midwest"/>
  </r>
  <r>
    <n v="992"/>
    <x v="7"/>
    <x v="37"/>
    <x v="1"/>
    <x v="3"/>
    <n v="34"/>
    <n v="104.57917159926555"/>
    <s v="west"/>
  </r>
  <r>
    <n v="993"/>
    <x v="3"/>
    <x v="0"/>
    <x v="0"/>
    <x v="0"/>
    <n v="30"/>
    <n v="91.71732531853138"/>
    <s v="west"/>
  </r>
  <r>
    <n v="994"/>
    <x v="4"/>
    <x v="58"/>
    <x v="0"/>
    <x v="1"/>
    <n v="62"/>
    <n v="187.43238539805822"/>
    <s v="south"/>
  </r>
  <r>
    <n v="995"/>
    <x v="0"/>
    <x v="71"/>
    <x v="2"/>
    <x v="0"/>
    <n v="24"/>
    <n v="74.211669903196139"/>
    <s v="east"/>
  </r>
  <r>
    <n v="996"/>
    <x v="4"/>
    <x v="65"/>
    <x v="0"/>
    <x v="3"/>
    <n v="4"/>
    <n v="13.654188955553082"/>
    <s v="west"/>
  </r>
  <r>
    <n v="997"/>
    <x v="6"/>
    <x v="29"/>
    <x v="0"/>
    <x v="0"/>
    <n v="88"/>
    <n v="265.2916292071763"/>
    <s v="west"/>
  </r>
  <r>
    <n v="998"/>
    <x v="6"/>
    <x v="62"/>
    <x v="1"/>
    <x v="3"/>
    <n v="78"/>
    <n v="235.69356375172592"/>
    <s v="east"/>
  </r>
  <r>
    <n v="999"/>
    <x v="2"/>
    <x v="84"/>
    <x v="1"/>
    <x v="3"/>
    <n v="82"/>
    <n v="248.12045570070282"/>
    <s v="west"/>
  </r>
  <r>
    <n v="1000"/>
    <x v="5"/>
    <x v="63"/>
    <x v="1"/>
    <x v="0"/>
    <n v="68"/>
    <n v="206.8704837754205"/>
    <s v="east"/>
  </r>
  <r>
    <n v="1001"/>
    <x v="5"/>
    <x v="53"/>
    <x v="0"/>
    <x v="1"/>
    <n v="20"/>
    <n v="61.598286646601295"/>
    <s v="midwest"/>
  </r>
  <r>
    <n v="1002"/>
    <x v="4"/>
    <x v="67"/>
    <x v="0"/>
    <x v="0"/>
    <n v="10"/>
    <n v="28.326133240637468"/>
    <s v="south"/>
  </r>
  <r>
    <n v="1003"/>
    <x v="3"/>
    <x v="19"/>
    <x v="0"/>
    <x v="3"/>
    <n v="94"/>
    <n v="283.987112843305"/>
    <s v="south"/>
  </r>
  <r>
    <n v="1004"/>
    <x v="3"/>
    <x v="99"/>
    <x v="2"/>
    <x v="1"/>
    <n v="62"/>
    <n v="188.00253303300292"/>
    <s v="east"/>
  </r>
  <r>
    <n v="1005"/>
    <x v="6"/>
    <x v="73"/>
    <x v="0"/>
    <x v="4"/>
    <n v="71"/>
    <n v="215.02251352159234"/>
    <s v="west"/>
  </r>
  <r>
    <n v="1006"/>
    <x v="2"/>
    <x v="6"/>
    <x v="0"/>
    <x v="2"/>
    <n v="70"/>
    <n v="211.5224440500217"/>
    <s v="west"/>
  </r>
  <r>
    <n v="1007"/>
    <x v="8"/>
    <x v="15"/>
    <x v="0"/>
    <x v="1"/>
    <n v="17"/>
    <n v="52.007206372460615"/>
    <s v="east"/>
  </r>
  <r>
    <n v="1008"/>
    <x v="2"/>
    <x v="36"/>
    <x v="1"/>
    <x v="3"/>
    <n v="51"/>
    <n v="154.86582287521293"/>
    <s v="east"/>
  </r>
  <r>
    <n v="1009"/>
    <x v="0"/>
    <x v="16"/>
    <x v="2"/>
    <x v="4"/>
    <n v="70"/>
    <n v="212.18684363818184"/>
    <s v="midwest"/>
  </r>
  <r>
    <n v="1010"/>
    <x v="3"/>
    <x v="26"/>
    <x v="2"/>
    <x v="3"/>
    <n v="94"/>
    <n v="283.91906780587465"/>
    <s v="west"/>
  </r>
  <r>
    <n v="1011"/>
    <x v="4"/>
    <x v="89"/>
    <x v="0"/>
    <x v="4"/>
    <n v="70"/>
    <n v="211.85016457637715"/>
    <s v="midwest"/>
  </r>
  <r>
    <n v="1012"/>
    <x v="2"/>
    <x v="63"/>
    <x v="1"/>
    <x v="0"/>
    <n v="89"/>
    <n v="269.18851021987467"/>
    <s v="west"/>
  </r>
  <r>
    <n v="1013"/>
    <x v="4"/>
    <x v="84"/>
    <x v="1"/>
    <x v="0"/>
    <n v="26"/>
    <n v="79.311492307621293"/>
    <s v="midwest"/>
  </r>
  <r>
    <n v="1014"/>
    <x v="8"/>
    <x v="36"/>
    <x v="1"/>
    <x v="3"/>
    <n v="8"/>
    <n v="26.096472599703908"/>
    <s v="midwest"/>
  </r>
  <r>
    <n v="1015"/>
    <x v="2"/>
    <x v="20"/>
    <x v="2"/>
    <x v="1"/>
    <n v="8"/>
    <n v="26.08199028619465"/>
    <s v="midwest"/>
  </r>
  <r>
    <n v="1016"/>
    <x v="8"/>
    <x v="83"/>
    <x v="2"/>
    <x v="3"/>
    <n v="62"/>
    <n v="187.69110116385426"/>
    <s v="east"/>
  </r>
  <r>
    <n v="1017"/>
    <x v="7"/>
    <x v="57"/>
    <x v="2"/>
    <x v="3"/>
    <n v="9"/>
    <n v="24.819632815121537"/>
    <s v="south"/>
  </r>
  <r>
    <n v="1018"/>
    <x v="3"/>
    <x v="88"/>
    <x v="0"/>
    <x v="1"/>
    <n v="55"/>
    <n v="166.81971361139639"/>
    <s v="east"/>
  </r>
  <r>
    <n v="1019"/>
    <x v="1"/>
    <x v="78"/>
    <x v="0"/>
    <x v="2"/>
    <n v="71"/>
    <n v="215.35336056441088"/>
    <s v="midwest"/>
  </r>
  <r>
    <n v="1020"/>
    <x v="6"/>
    <x v="64"/>
    <x v="2"/>
    <x v="4"/>
    <n v="5"/>
    <n v="17.428217544434208"/>
    <s v="south"/>
  </r>
  <r>
    <n v="1021"/>
    <x v="4"/>
    <x v="12"/>
    <x v="1"/>
    <x v="1"/>
    <n v="28"/>
    <n v="86.322091823923344"/>
    <s v="east"/>
  </r>
  <r>
    <n v="1022"/>
    <x v="6"/>
    <x v="39"/>
    <x v="2"/>
    <x v="2"/>
    <n v="95"/>
    <n v="286.92674877229024"/>
    <s v="south"/>
  </r>
  <r>
    <n v="1023"/>
    <x v="0"/>
    <x v="22"/>
    <x v="1"/>
    <x v="3"/>
    <n v="56"/>
    <n v="169.66853559743345"/>
    <s v="south"/>
  </r>
  <r>
    <n v="1024"/>
    <x v="8"/>
    <x v="68"/>
    <x v="1"/>
    <x v="1"/>
    <n v="79"/>
    <n v="238.71622982310416"/>
    <s v="south"/>
  </r>
  <r>
    <n v="1025"/>
    <x v="8"/>
    <x v="50"/>
    <x v="1"/>
    <x v="3"/>
    <n v="10"/>
    <n v="32.241149527753471"/>
    <s v="south"/>
  </r>
  <r>
    <n v="1026"/>
    <x v="1"/>
    <x v="19"/>
    <x v="0"/>
    <x v="2"/>
    <n v="69"/>
    <n v="208.61631773052886"/>
    <s v="west"/>
  </r>
  <r>
    <n v="1027"/>
    <x v="4"/>
    <x v="64"/>
    <x v="2"/>
    <x v="0"/>
    <n v="15"/>
    <n v="46.772430431730463"/>
    <s v="midwest"/>
  </r>
  <r>
    <n v="1028"/>
    <x v="8"/>
    <x v="20"/>
    <x v="2"/>
    <x v="3"/>
    <n v="0"/>
    <n v="1.7760594332285693"/>
    <s v="west"/>
  </r>
  <r>
    <n v="1029"/>
    <x v="8"/>
    <x v="34"/>
    <x v="1"/>
    <x v="2"/>
    <n v="78"/>
    <n v="236.10178950758817"/>
    <s v="east"/>
  </r>
  <r>
    <n v="1030"/>
    <x v="1"/>
    <x v="31"/>
    <x v="1"/>
    <x v="4"/>
    <n v="89"/>
    <n v="268.45127891867156"/>
    <s v="south"/>
  </r>
  <r>
    <n v="1031"/>
    <x v="8"/>
    <x v="47"/>
    <x v="1"/>
    <x v="4"/>
    <n v="94"/>
    <n v="284.11176896611153"/>
    <s v="east"/>
  </r>
  <r>
    <n v="1032"/>
    <x v="0"/>
    <x v="53"/>
    <x v="0"/>
    <x v="4"/>
    <n v="5"/>
    <n v="13.090742445919402"/>
    <s v="west"/>
  </r>
  <r>
    <n v="1033"/>
    <x v="1"/>
    <x v="21"/>
    <x v="2"/>
    <x v="0"/>
    <n v="42"/>
    <n v="127.95167625422781"/>
    <s v="midwest"/>
  </r>
  <r>
    <n v="1034"/>
    <x v="6"/>
    <x v="14"/>
    <x v="2"/>
    <x v="3"/>
    <n v="9"/>
    <n v="29.027293052396654"/>
    <s v="west"/>
  </r>
  <r>
    <n v="1035"/>
    <x v="6"/>
    <x v="28"/>
    <x v="1"/>
    <x v="1"/>
    <n v="8"/>
    <n v="26.399425452966565"/>
    <s v="east"/>
  </r>
  <r>
    <n v="1036"/>
    <x v="0"/>
    <x v="38"/>
    <x v="0"/>
    <x v="1"/>
    <n v="69"/>
    <n v="209.14573718458519"/>
    <s v="south"/>
  </r>
  <r>
    <n v="1037"/>
    <x v="5"/>
    <x v="83"/>
    <x v="2"/>
    <x v="4"/>
    <n v="2"/>
    <n v="7.7270735524440131"/>
    <s v="south"/>
  </r>
  <r>
    <n v="1038"/>
    <x v="8"/>
    <x v="19"/>
    <x v="0"/>
    <x v="3"/>
    <n v="3"/>
    <n v="10.487455049777733"/>
    <s v="midwest"/>
  </r>
  <r>
    <n v="1039"/>
    <x v="6"/>
    <x v="32"/>
    <x v="1"/>
    <x v="2"/>
    <n v="76"/>
    <n v="230.14134634452847"/>
    <s v="midwest"/>
  </r>
  <r>
    <n v="1040"/>
    <x v="5"/>
    <x v="35"/>
    <x v="0"/>
    <x v="3"/>
    <n v="7"/>
    <n v="18.434662066971001"/>
    <s v="west"/>
  </r>
  <r>
    <n v="1041"/>
    <x v="4"/>
    <x v="8"/>
    <x v="2"/>
    <x v="4"/>
    <n v="24"/>
    <n v="74.040343042743388"/>
    <s v="west"/>
  </r>
  <r>
    <n v="1042"/>
    <x v="7"/>
    <x v="24"/>
    <x v="2"/>
    <x v="1"/>
    <n v="35"/>
    <n v="106.66944991477989"/>
    <s v="west"/>
  </r>
  <r>
    <n v="1043"/>
    <x v="8"/>
    <x v="6"/>
    <x v="0"/>
    <x v="1"/>
    <n v="23"/>
    <n v="71.099513118305453"/>
    <s v="west"/>
  </r>
  <r>
    <n v="1044"/>
    <x v="3"/>
    <x v="16"/>
    <x v="2"/>
    <x v="3"/>
    <n v="32"/>
    <n v="97.982599723305"/>
    <s v="east"/>
  </r>
  <r>
    <n v="1045"/>
    <x v="5"/>
    <x v="78"/>
    <x v="0"/>
    <x v="4"/>
    <n v="46"/>
    <n v="139.82203886104327"/>
    <s v="midwest"/>
  </r>
  <r>
    <n v="1046"/>
    <x v="8"/>
    <x v="27"/>
    <x v="0"/>
    <x v="0"/>
    <n v="28"/>
    <n v="85.913586896960894"/>
    <s v="midwest"/>
  </r>
  <r>
    <n v="1047"/>
    <x v="8"/>
    <x v="75"/>
    <x v="1"/>
    <x v="2"/>
    <n v="58"/>
    <n v="176.38262351251041"/>
    <s v="south"/>
  </r>
  <r>
    <n v="1048"/>
    <x v="6"/>
    <x v="37"/>
    <x v="1"/>
    <x v="0"/>
    <n v="19"/>
    <n v="59.083968230358913"/>
    <s v="south"/>
  </r>
  <r>
    <n v="1049"/>
    <x v="4"/>
    <x v="38"/>
    <x v="0"/>
    <x v="0"/>
    <n v="79"/>
    <n v="238.63617965265877"/>
    <s v="east"/>
  </r>
  <r>
    <n v="1050"/>
    <x v="0"/>
    <x v="89"/>
    <x v="0"/>
    <x v="4"/>
    <n v="31"/>
    <n v="94.124548214467538"/>
    <s v="midwest"/>
  </r>
  <r>
    <n v="1051"/>
    <x v="8"/>
    <x v="37"/>
    <x v="1"/>
    <x v="3"/>
    <n v="4"/>
    <n v="14.292798170188892"/>
    <s v="south"/>
  </r>
  <r>
    <n v="1052"/>
    <x v="4"/>
    <x v="23"/>
    <x v="2"/>
    <x v="1"/>
    <n v="91"/>
    <n v="275.5094232943423"/>
    <s v="midwest"/>
  </r>
  <r>
    <n v="1053"/>
    <x v="1"/>
    <x v="32"/>
    <x v="1"/>
    <x v="0"/>
    <n v="51"/>
    <n v="154.74630946716462"/>
    <s v="south"/>
  </r>
  <r>
    <n v="1054"/>
    <x v="6"/>
    <x v="46"/>
    <x v="0"/>
    <x v="3"/>
    <n v="2"/>
    <n v="8.3443048208269879"/>
    <s v="south"/>
  </r>
  <r>
    <n v="1055"/>
    <x v="7"/>
    <x v="34"/>
    <x v="1"/>
    <x v="2"/>
    <n v="42"/>
    <n v="127.68402675435583"/>
    <s v="west"/>
  </r>
  <r>
    <n v="1056"/>
    <x v="0"/>
    <x v="11"/>
    <x v="0"/>
    <x v="0"/>
    <n v="57"/>
    <n v="173.09988607692904"/>
    <s v="east"/>
  </r>
  <r>
    <n v="1057"/>
    <x v="4"/>
    <x v="19"/>
    <x v="0"/>
    <x v="1"/>
    <n v="63"/>
    <n v="190.20945346469671"/>
    <s v="east"/>
  </r>
  <r>
    <n v="1058"/>
    <x v="0"/>
    <x v="87"/>
    <x v="0"/>
    <x v="4"/>
    <n v="37"/>
    <n v="112.97090107811077"/>
    <s v="midwest"/>
  </r>
  <r>
    <n v="1059"/>
    <x v="0"/>
    <x v="1"/>
    <x v="0"/>
    <x v="0"/>
    <n v="30"/>
    <n v="92.612099918838155"/>
    <s v="south"/>
  </r>
  <r>
    <n v="1060"/>
    <x v="1"/>
    <x v="23"/>
    <x v="2"/>
    <x v="1"/>
    <n v="31"/>
    <n v="95.22083891239123"/>
    <s v="east"/>
  </r>
  <r>
    <n v="1061"/>
    <x v="5"/>
    <x v="1"/>
    <x v="0"/>
    <x v="3"/>
    <n v="55"/>
    <n v="167.32540465961139"/>
    <s v="east"/>
  </r>
  <r>
    <n v="1062"/>
    <x v="7"/>
    <x v="54"/>
    <x v="1"/>
    <x v="3"/>
    <n v="5"/>
    <n v="12.643881441117404"/>
    <s v="south"/>
  </r>
  <r>
    <n v="1063"/>
    <x v="3"/>
    <x v="70"/>
    <x v="0"/>
    <x v="0"/>
    <n v="28"/>
    <n v="85.460904685258157"/>
    <s v="east"/>
  </r>
  <r>
    <n v="1064"/>
    <x v="6"/>
    <x v="59"/>
    <x v="1"/>
    <x v="3"/>
    <n v="93"/>
    <n v="280.15032356040319"/>
    <s v="midwest"/>
  </r>
  <r>
    <n v="1065"/>
    <x v="7"/>
    <x v="84"/>
    <x v="1"/>
    <x v="2"/>
    <n v="13"/>
    <n v="40.969412971677201"/>
    <s v="midwest"/>
  </r>
  <r>
    <n v="1066"/>
    <x v="0"/>
    <x v="45"/>
    <x v="2"/>
    <x v="1"/>
    <n v="94"/>
    <n v="283.90021520553751"/>
    <s v="east"/>
  </r>
  <r>
    <n v="1067"/>
    <x v="7"/>
    <x v="55"/>
    <x v="1"/>
    <x v="1"/>
    <n v="1"/>
    <n v="4.8568701800652914"/>
    <s v="east"/>
  </r>
  <r>
    <n v="1068"/>
    <x v="8"/>
    <x v="62"/>
    <x v="1"/>
    <x v="1"/>
    <n v="5"/>
    <n v="16.493067805841463"/>
    <s v="west"/>
  </r>
  <r>
    <n v="1069"/>
    <x v="4"/>
    <x v="18"/>
    <x v="2"/>
    <x v="4"/>
    <n v="60"/>
    <n v="181.32960345577825"/>
    <s v="south"/>
  </r>
  <r>
    <n v="1070"/>
    <x v="1"/>
    <x v="86"/>
    <x v="0"/>
    <x v="0"/>
    <n v="67"/>
    <n v="203.02085582320817"/>
    <s v="south"/>
  </r>
  <r>
    <n v="1071"/>
    <x v="1"/>
    <x v="89"/>
    <x v="0"/>
    <x v="1"/>
    <n v="87"/>
    <n v="263.51929625786306"/>
    <s v="south"/>
  </r>
  <r>
    <n v="1072"/>
    <x v="1"/>
    <x v="11"/>
    <x v="0"/>
    <x v="4"/>
    <n v="53"/>
    <n v="161.06925467832338"/>
    <s v="west"/>
  </r>
  <r>
    <n v="1073"/>
    <x v="7"/>
    <x v="30"/>
    <x v="1"/>
    <x v="0"/>
    <n v="74"/>
    <n v="224.19731799549618"/>
    <s v="south"/>
  </r>
  <r>
    <n v="1074"/>
    <x v="0"/>
    <x v="72"/>
    <x v="2"/>
    <x v="0"/>
    <n v="83"/>
    <n v="251.40105252927455"/>
    <s v="east"/>
  </r>
  <r>
    <n v="1075"/>
    <x v="8"/>
    <x v="84"/>
    <x v="1"/>
    <x v="4"/>
    <n v="45"/>
    <n v="136.79350682205418"/>
    <s v="midwest"/>
  </r>
  <r>
    <n v="1076"/>
    <x v="7"/>
    <x v="35"/>
    <x v="0"/>
    <x v="0"/>
    <n v="36"/>
    <n v="109.96021821591992"/>
    <s v="east"/>
  </r>
  <r>
    <n v="1077"/>
    <x v="1"/>
    <x v="54"/>
    <x v="1"/>
    <x v="1"/>
    <n v="82"/>
    <n v="248.19651758376037"/>
    <s v="midwest"/>
  </r>
  <r>
    <n v="1078"/>
    <x v="2"/>
    <x v="93"/>
    <x v="2"/>
    <x v="1"/>
    <n v="18"/>
    <n v="56.505060708421091"/>
    <s v="east"/>
  </r>
  <r>
    <n v="1079"/>
    <x v="6"/>
    <x v="15"/>
    <x v="0"/>
    <x v="1"/>
    <n v="21"/>
    <n v="64.56759924886002"/>
    <s v="south"/>
  </r>
  <r>
    <n v="1080"/>
    <x v="4"/>
    <x v="44"/>
    <x v="1"/>
    <x v="1"/>
    <n v="56"/>
    <n v="170.16525129894848"/>
    <s v="south"/>
  </r>
  <r>
    <n v="1081"/>
    <x v="8"/>
    <x v="16"/>
    <x v="2"/>
    <x v="3"/>
    <n v="51"/>
    <n v="154.96390627719521"/>
    <s v="east"/>
  </r>
  <r>
    <n v="1082"/>
    <x v="5"/>
    <x v="45"/>
    <x v="2"/>
    <x v="1"/>
    <n v="88"/>
    <n v="266.15496391241169"/>
    <s v="west"/>
  </r>
  <r>
    <n v="1083"/>
    <x v="6"/>
    <x v="92"/>
    <x v="1"/>
    <x v="3"/>
    <n v="93"/>
    <n v="280.95785849203958"/>
    <s v="east"/>
  </r>
  <r>
    <n v="1084"/>
    <x v="2"/>
    <x v="19"/>
    <x v="0"/>
    <x v="0"/>
    <n v="4"/>
    <n v="9.79509378079055"/>
    <s v="west"/>
  </r>
  <r>
    <n v="1085"/>
    <x v="4"/>
    <x v="92"/>
    <x v="1"/>
    <x v="3"/>
    <n v="30"/>
    <n v="91.838519584417725"/>
    <s v="south"/>
  </r>
  <r>
    <n v="1086"/>
    <x v="7"/>
    <x v="54"/>
    <x v="1"/>
    <x v="1"/>
    <n v="81"/>
    <n v="245.61829415980108"/>
    <s v="south"/>
  </r>
  <r>
    <n v="1087"/>
    <x v="4"/>
    <x v="92"/>
    <x v="1"/>
    <x v="1"/>
    <n v="58"/>
    <n v="175.7935070061545"/>
    <s v="midwest"/>
  </r>
  <r>
    <n v="1088"/>
    <x v="2"/>
    <x v="33"/>
    <x v="0"/>
    <x v="4"/>
    <n v="50"/>
    <n v="151.96180824733827"/>
    <s v="midwest"/>
  </r>
  <r>
    <n v="1089"/>
    <x v="3"/>
    <x v="35"/>
    <x v="0"/>
    <x v="0"/>
    <n v="92"/>
    <n v="277.64731000872155"/>
    <s v="south"/>
  </r>
  <r>
    <n v="1090"/>
    <x v="2"/>
    <x v="72"/>
    <x v="2"/>
    <x v="1"/>
    <n v="27"/>
    <n v="82.124904169698794"/>
    <s v="south"/>
  </r>
  <r>
    <n v="1091"/>
    <x v="3"/>
    <x v="88"/>
    <x v="0"/>
    <x v="1"/>
    <n v="61"/>
    <n v="184.45390394551416"/>
    <s v="south"/>
  </r>
  <r>
    <n v="1092"/>
    <x v="4"/>
    <x v="69"/>
    <x v="2"/>
    <x v="4"/>
    <n v="7"/>
    <n v="23.198272342782062"/>
    <s v="south"/>
  </r>
  <r>
    <n v="1093"/>
    <x v="0"/>
    <x v="89"/>
    <x v="0"/>
    <x v="0"/>
    <n v="25"/>
    <n v="76.517978614258837"/>
    <s v="midwest"/>
  </r>
  <r>
    <n v="1094"/>
    <x v="2"/>
    <x v="88"/>
    <x v="0"/>
    <x v="0"/>
    <n v="84"/>
    <n v="254.21310769001889"/>
    <s v="south"/>
  </r>
  <r>
    <n v="1095"/>
    <x v="0"/>
    <x v="0"/>
    <x v="0"/>
    <x v="3"/>
    <n v="66"/>
    <n v="199.92451734594025"/>
    <s v="west"/>
  </r>
  <r>
    <n v="1096"/>
    <x v="6"/>
    <x v="87"/>
    <x v="0"/>
    <x v="3"/>
    <n v="89"/>
    <n v="269.23471780277339"/>
    <s v="east"/>
  </r>
  <r>
    <n v="1097"/>
    <x v="5"/>
    <x v="63"/>
    <x v="1"/>
    <x v="1"/>
    <n v="32"/>
    <n v="97.883310582745409"/>
    <s v="midwest"/>
  </r>
  <r>
    <n v="1098"/>
    <x v="5"/>
    <x v="8"/>
    <x v="2"/>
    <x v="0"/>
    <n v="78"/>
    <n v="236.26032561473036"/>
    <s v="midwest"/>
  </r>
  <r>
    <n v="1099"/>
    <x v="6"/>
    <x v="64"/>
    <x v="2"/>
    <x v="2"/>
    <n v="56"/>
    <n v="169.98666558680949"/>
    <s v="west"/>
  </r>
  <r>
    <n v="1100"/>
    <x v="4"/>
    <x v="74"/>
    <x v="2"/>
    <x v="1"/>
    <n v="80"/>
    <n v="241.53786763068013"/>
    <s v="midwest"/>
  </r>
  <r>
    <n v="1101"/>
    <x v="8"/>
    <x v="75"/>
    <x v="1"/>
    <x v="4"/>
    <n v="72"/>
    <n v="218.32896513434619"/>
    <s v="midwest"/>
  </r>
  <r>
    <n v="1102"/>
    <x v="3"/>
    <x v="37"/>
    <x v="1"/>
    <x v="0"/>
    <n v="23"/>
    <n v="71.298686579104526"/>
    <s v="east"/>
  </r>
  <r>
    <n v="1103"/>
    <x v="8"/>
    <x v="45"/>
    <x v="2"/>
    <x v="4"/>
    <n v="2"/>
    <n v="3.6886090441469834"/>
    <s v="west"/>
  </r>
  <r>
    <n v="1104"/>
    <x v="4"/>
    <x v="67"/>
    <x v="0"/>
    <x v="0"/>
    <n v="81"/>
    <n v="245.36857839567088"/>
    <s v="south"/>
  </r>
  <r>
    <n v="1105"/>
    <x v="6"/>
    <x v="40"/>
    <x v="1"/>
    <x v="2"/>
    <n v="4"/>
    <n v="10.626598892969428"/>
    <s v="west"/>
  </r>
  <r>
    <n v="1106"/>
    <x v="0"/>
    <x v="13"/>
    <x v="1"/>
    <x v="4"/>
    <n v="81"/>
    <n v="245.47079100584946"/>
    <s v="south"/>
  </r>
  <r>
    <n v="1107"/>
    <x v="4"/>
    <x v="1"/>
    <x v="0"/>
    <x v="2"/>
    <n v="9"/>
    <n v="24.901607770449246"/>
    <s v="midwest"/>
  </r>
  <r>
    <n v="1108"/>
    <x v="1"/>
    <x v="66"/>
    <x v="1"/>
    <x v="3"/>
    <n v="67"/>
    <n v="203.3886615347389"/>
    <s v="west"/>
  </r>
  <r>
    <n v="1109"/>
    <x v="0"/>
    <x v="75"/>
    <x v="1"/>
    <x v="4"/>
    <n v="27"/>
    <n v="83.259650238493791"/>
    <s v="west"/>
  </r>
  <r>
    <n v="1110"/>
    <x v="4"/>
    <x v="45"/>
    <x v="2"/>
    <x v="4"/>
    <n v="1"/>
    <n v="1.4486502930593175"/>
    <s v="east"/>
  </r>
  <r>
    <n v="1111"/>
    <x v="2"/>
    <x v="12"/>
    <x v="1"/>
    <x v="4"/>
    <n v="24"/>
    <n v="74.448442468444156"/>
    <s v="east"/>
  </r>
  <r>
    <n v="1112"/>
    <x v="1"/>
    <x v="20"/>
    <x v="2"/>
    <x v="3"/>
    <n v="80"/>
    <n v="241.96811222876255"/>
    <s v="east"/>
  </r>
  <r>
    <n v="1113"/>
    <x v="3"/>
    <x v="67"/>
    <x v="0"/>
    <x v="0"/>
    <n v="82"/>
    <n v="248.20917526875209"/>
    <s v="south"/>
  </r>
  <r>
    <n v="1114"/>
    <x v="7"/>
    <x v="80"/>
    <x v="1"/>
    <x v="1"/>
    <n v="1"/>
    <n v="5.5518623429739176"/>
    <s v="east"/>
  </r>
  <r>
    <n v="1115"/>
    <x v="5"/>
    <x v="15"/>
    <x v="0"/>
    <x v="1"/>
    <n v="11"/>
    <n v="35.277547883231819"/>
    <s v="west"/>
  </r>
  <r>
    <n v="1116"/>
    <x v="0"/>
    <x v="41"/>
    <x v="2"/>
    <x v="4"/>
    <n v="12"/>
    <n v="37.331388811713445"/>
    <s v="east"/>
  </r>
  <r>
    <n v="1117"/>
    <x v="8"/>
    <x v="89"/>
    <x v="0"/>
    <x v="3"/>
    <n v="54"/>
    <n v="164.38171569287022"/>
    <s v="east"/>
  </r>
  <r>
    <n v="1118"/>
    <x v="7"/>
    <x v="77"/>
    <x v="2"/>
    <x v="4"/>
    <n v="78"/>
    <n v="236.65619273355256"/>
    <s v="west"/>
  </r>
  <r>
    <n v="1119"/>
    <x v="8"/>
    <x v="27"/>
    <x v="0"/>
    <x v="4"/>
    <n v="8"/>
    <n v="21.770000035096253"/>
    <s v="west"/>
  </r>
  <r>
    <n v="1120"/>
    <x v="0"/>
    <x v="53"/>
    <x v="0"/>
    <x v="3"/>
    <n v="6"/>
    <n v="19.844298491399009"/>
    <s v="south"/>
  </r>
  <r>
    <n v="1121"/>
    <x v="3"/>
    <x v="67"/>
    <x v="0"/>
    <x v="1"/>
    <n v="30"/>
    <n v="91.748243472806891"/>
    <s v="west"/>
  </r>
  <r>
    <n v="1122"/>
    <x v="4"/>
    <x v="20"/>
    <x v="2"/>
    <x v="0"/>
    <n v="55"/>
    <n v="166.81449022634519"/>
    <s v="south"/>
  </r>
  <r>
    <n v="1123"/>
    <x v="8"/>
    <x v="23"/>
    <x v="2"/>
    <x v="3"/>
    <n v="53"/>
    <n v="161.24130416457103"/>
    <s v="east"/>
  </r>
  <r>
    <n v="1124"/>
    <x v="2"/>
    <x v="47"/>
    <x v="1"/>
    <x v="4"/>
    <n v="29"/>
    <n v="88.931035912155679"/>
    <s v="east"/>
  </r>
  <r>
    <n v="1125"/>
    <x v="0"/>
    <x v="15"/>
    <x v="0"/>
    <x v="0"/>
    <n v="75"/>
    <n v="227.03788190973427"/>
    <s v="midwest"/>
  </r>
  <r>
    <n v="1126"/>
    <x v="2"/>
    <x v="10"/>
    <x v="0"/>
    <x v="1"/>
    <n v="78"/>
    <n v="235.68084148847547"/>
    <s v="south"/>
  </r>
  <r>
    <n v="1127"/>
    <x v="3"/>
    <x v="14"/>
    <x v="2"/>
    <x v="1"/>
    <n v="6"/>
    <n v="20.386126115237083"/>
    <s v="south"/>
  </r>
  <r>
    <n v="1128"/>
    <x v="4"/>
    <x v="50"/>
    <x v="1"/>
    <x v="0"/>
    <n v="57"/>
    <n v="172.66966829976792"/>
    <s v="west"/>
  </r>
  <r>
    <n v="1129"/>
    <x v="1"/>
    <x v="28"/>
    <x v="1"/>
    <x v="3"/>
    <n v="35"/>
    <n v="106.52782470569326"/>
    <s v="south"/>
  </r>
  <r>
    <n v="1130"/>
    <x v="8"/>
    <x v="72"/>
    <x v="2"/>
    <x v="3"/>
    <n v="72"/>
    <n v="217.3653218325137"/>
    <s v="midwest"/>
  </r>
  <r>
    <n v="1131"/>
    <x v="7"/>
    <x v="4"/>
    <x v="0"/>
    <x v="4"/>
    <n v="79"/>
    <n v="238.31546571286182"/>
    <s v="south"/>
  </r>
  <r>
    <n v="1132"/>
    <x v="8"/>
    <x v="92"/>
    <x v="1"/>
    <x v="0"/>
    <n v="89"/>
    <n v="269.0186169961018"/>
    <s v="west"/>
  </r>
  <r>
    <n v="1133"/>
    <x v="7"/>
    <x v="91"/>
    <x v="1"/>
    <x v="3"/>
    <n v="84"/>
    <n v="252.58494974261927"/>
    <s v="east"/>
  </r>
  <r>
    <n v="1134"/>
    <x v="5"/>
    <x v="24"/>
    <x v="2"/>
    <x v="4"/>
    <n v="43"/>
    <n v="130.65515170314279"/>
    <s v="west"/>
  </r>
  <r>
    <n v="1135"/>
    <x v="6"/>
    <x v="61"/>
    <x v="2"/>
    <x v="0"/>
    <n v="4"/>
    <n v="9.965195042789297"/>
    <s v="midwest"/>
  </r>
  <r>
    <n v="1136"/>
    <x v="6"/>
    <x v="94"/>
    <x v="1"/>
    <x v="1"/>
    <n v="51"/>
    <n v="154.66031011925435"/>
    <s v="west"/>
  </r>
  <r>
    <n v="1137"/>
    <x v="0"/>
    <x v="3"/>
    <x v="2"/>
    <x v="0"/>
    <n v="17"/>
    <n v="53.072576846761372"/>
    <s v="west"/>
  </r>
  <r>
    <n v="1138"/>
    <x v="1"/>
    <x v="72"/>
    <x v="2"/>
    <x v="4"/>
    <n v="51"/>
    <n v="155.23584686430669"/>
    <s v="west"/>
  </r>
  <r>
    <n v="1139"/>
    <x v="7"/>
    <x v="45"/>
    <x v="2"/>
    <x v="3"/>
    <n v="14"/>
    <n v="44.195651647644979"/>
    <s v="west"/>
  </r>
  <r>
    <n v="1140"/>
    <x v="2"/>
    <x v="7"/>
    <x v="2"/>
    <x v="0"/>
    <n v="60"/>
    <n v="181.87259058007896"/>
    <s v="east"/>
  </r>
  <r>
    <n v="1141"/>
    <x v="8"/>
    <x v="11"/>
    <x v="0"/>
    <x v="4"/>
    <n v="8"/>
    <n v="21.981669305596434"/>
    <s v="west"/>
  </r>
  <r>
    <n v="1142"/>
    <x v="4"/>
    <x v="44"/>
    <x v="1"/>
    <x v="1"/>
    <n v="95"/>
    <n v="286.66171116702549"/>
    <s v="south"/>
  </r>
  <r>
    <n v="1143"/>
    <x v="3"/>
    <x v="20"/>
    <x v="2"/>
    <x v="1"/>
    <n v="66"/>
    <n v="199.59386136754239"/>
    <s v="east"/>
  </r>
  <r>
    <n v="1144"/>
    <x v="3"/>
    <x v="43"/>
    <x v="0"/>
    <x v="0"/>
    <n v="77"/>
    <n v="232.62615004199816"/>
    <s v="midwest"/>
  </r>
  <r>
    <n v="1145"/>
    <x v="1"/>
    <x v="89"/>
    <x v="0"/>
    <x v="3"/>
    <n v="65"/>
    <n v="197.3309600781289"/>
    <s v="east"/>
  </r>
  <r>
    <n v="1146"/>
    <x v="1"/>
    <x v="92"/>
    <x v="1"/>
    <x v="4"/>
    <n v="29"/>
    <n v="89.184247826635968"/>
    <s v="midwest"/>
  </r>
  <r>
    <n v="1147"/>
    <x v="3"/>
    <x v="73"/>
    <x v="0"/>
    <x v="2"/>
    <n v="8"/>
    <n v="26.088167418036129"/>
    <s v="east"/>
  </r>
  <r>
    <n v="1148"/>
    <x v="2"/>
    <x v="49"/>
    <x v="2"/>
    <x v="2"/>
    <n v="42"/>
    <n v="127.86858054734927"/>
    <s v="east"/>
  </r>
  <r>
    <n v="1149"/>
    <x v="0"/>
    <x v="85"/>
    <x v="0"/>
    <x v="1"/>
    <n v="93"/>
    <n v="280.72118754503384"/>
    <s v="midwest"/>
  </r>
  <r>
    <n v="1150"/>
    <x v="3"/>
    <x v="29"/>
    <x v="0"/>
    <x v="1"/>
    <n v="69"/>
    <n v="209.153628171767"/>
    <s v="south"/>
  </r>
  <r>
    <n v="1151"/>
    <x v="4"/>
    <x v="8"/>
    <x v="2"/>
    <x v="4"/>
    <n v="91"/>
    <n v="274.80447122686729"/>
    <s v="south"/>
  </r>
  <r>
    <n v="1152"/>
    <x v="1"/>
    <x v="75"/>
    <x v="1"/>
    <x v="3"/>
    <n v="11"/>
    <n v="34.520998663564384"/>
    <s v="south"/>
  </r>
  <r>
    <n v="1153"/>
    <x v="1"/>
    <x v="13"/>
    <x v="1"/>
    <x v="0"/>
    <n v="1"/>
    <n v="1.5629041843202898"/>
    <s v="midwest"/>
  </r>
  <r>
    <n v="1154"/>
    <x v="7"/>
    <x v="43"/>
    <x v="0"/>
    <x v="4"/>
    <n v="52"/>
    <n v="158.21071487768182"/>
    <s v="south"/>
  </r>
  <r>
    <n v="1155"/>
    <x v="0"/>
    <x v="45"/>
    <x v="2"/>
    <x v="2"/>
    <n v="10"/>
    <n v="28.635014383965792"/>
    <s v="south"/>
  </r>
  <r>
    <n v="1156"/>
    <x v="3"/>
    <x v="60"/>
    <x v="2"/>
    <x v="4"/>
    <n v="33"/>
    <n v="100.50696775814504"/>
    <s v="south"/>
  </r>
  <r>
    <n v="1157"/>
    <x v="0"/>
    <x v="67"/>
    <x v="0"/>
    <x v="2"/>
    <n v="1"/>
    <n v="1.1155837084126869"/>
    <s v="west"/>
  </r>
  <r>
    <n v="1158"/>
    <x v="4"/>
    <x v="93"/>
    <x v="2"/>
    <x v="4"/>
    <n v="24"/>
    <n v="73.541516730294589"/>
    <s v="west"/>
  </r>
  <r>
    <n v="1159"/>
    <x v="7"/>
    <x v="82"/>
    <x v="0"/>
    <x v="1"/>
    <n v="71"/>
    <n v="214.70316225183416"/>
    <s v="midwest"/>
  </r>
  <r>
    <n v="1160"/>
    <x v="1"/>
    <x v="11"/>
    <x v="0"/>
    <x v="0"/>
    <n v="88"/>
    <n v="265.86483001134803"/>
    <s v="south"/>
  </r>
  <r>
    <n v="1161"/>
    <x v="0"/>
    <x v="50"/>
    <x v="1"/>
    <x v="0"/>
    <n v="16"/>
    <n v="49.990501805612737"/>
    <s v="west"/>
  </r>
  <r>
    <n v="1162"/>
    <x v="8"/>
    <x v="32"/>
    <x v="1"/>
    <x v="1"/>
    <n v="7"/>
    <n v="23.192150694784473"/>
    <s v="east"/>
  </r>
  <r>
    <n v="1163"/>
    <x v="6"/>
    <x v="19"/>
    <x v="0"/>
    <x v="4"/>
    <n v="46"/>
    <n v="140.4791075192903"/>
    <s v="south"/>
  </r>
  <r>
    <n v="1164"/>
    <x v="2"/>
    <x v="10"/>
    <x v="0"/>
    <x v="1"/>
    <n v="10"/>
    <n v="27.584277375696701"/>
    <s v="midwest"/>
  </r>
  <r>
    <n v="1165"/>
    <x v="1"/>
    <x v="26"/>
    <x v="2"/>
    <x v="0"/>
    <n v="83"/>
    <n v="251.13323611062162"/>
    <s v="west"/>
  </r>
  <r>
    <n v="1166"/>
    <x v="7"/>
    <x v="64"/>
    <x v="2"/>
    <x v="0"/>
    <n v="85"/>
    <n v="256.22552874700915"/>
    <s v="south"/>
  </r>
  <r>
    <n v="1167"/>
    <x v="3"/>
    <x v="81"/>
    <x v="1"/>
    <x v="3"/>
    <n v="18"/>
    <n v="56.221796879126835"/>
    <s v="midwest"/>
  </r>
  <r>
    <n v="1168"/>
    <x v="5"/>
    <x v="19"/>
    <x v="0"/>
    <x v="2"/>
    <n v="83"/>
    <n v="251.40375169999851"/>
    <s v="midwest"/>
  </r>
  <r>
    <n v="1169"/>
    <x v="8"/>
    <x v="60"/>
    <x v="2"/>
    <x v="0"/>
    <n v="71"/>
    <n v="214.72037779298833"/>
    <s v="south"/>
  </r>
  <r>
    <n v="1170"/>
    <x v="6"/>
    <x v="78"/>
    <x v="0"/>
    <x v="3"/>
    <n v="2"/>
    <n v="7.9324854406454115"/>
    <s v="east"/>
  </r>
  <r>
    <n v="1171"/>
    <x v="0"/>
    <x v="72"/>
    <x v="2"/>
    <x v="1"/>
    <n v="71"/>
    <n v="215.03086098171244"/>
    <s v="west"/>
  </r>
  <r>
    <n v="1172"/>
    <x v="3"/>
    <x v="22"/>
    <x v="1"/>
    <x v="2"/>
    <n v="68"/>
    <n v="206.20589088795145"/>
    <s v="south"/>
  </r>
  <r>
    <n v="1173"/>
    <x v="6"/>
    <x v="51"/>
    <x v="0"/>
    <x v="3"/>
    <n v="30"/>
    <n v="92.33205932019861"/>
    <s v="east"/>
  </r>
  <r>
    <n v="1174"/>
    <x v="1"/>
    <x v="20"/>
    <x v="2"/>
    <x v="2"/>
    <n v="72"/>
    <n v="217.8071938981364"/>
    <s v="west"/>
  </r>
  <r>
    <n v="1175"/>
    <x v="7"/>
    <x v="88"/>
    <x v="0"/>
    <x v="3"/>
    <n v="73"/>
    <n v="221.36652611293488"/>
    <s v="east"/>
  </r>
  <r>
    <n v="1176"/>
    <x v="0"/>
    <x v="61"/>
    <x v="2"/>
    <x v="0"/>
    <n v="28"/>
    <n v="86.468421123864729"/>
    <s v="east"/>
  </r>
  <r>
    <n v="1177"/>
    <x v="8"/>
    <x v="64"/>
    <x v="2"/>
    <x v="4"/>
    <n v="40"/>
    <n v="122.63642805944112"/>
    <s v="midwest"/>
  </r>
  <r>
    <n v="1178"/>
    <x v="6"/>
    <x v="21"/>
    <x v="2"/>
    <x v="1"/>
    <n v="8"/>
    <n v="22.295514644563095"/>
    <s v="west"/>
  </r>
  <r>
    <n v="1179"/>
    <x v="2"/>
    <x v="28"/>
    <x v="1"/>
    <x v="2"/>
    <n v="70"/>
    <n v="211.69145448851842"/>
    <s v="east"/>
  </r>
  <r>
    <n v="1180"/>
    <x v="0"/>
    <x v="54"/>
    <x v="1"/>
    <x v="3"/>
    <n v="3"/>
    <n v="10.721781338210716"/>
    <s v="midwest"/>
  </r>
  <r>
    <n v="1181"/>
    <x v="0"/>
    <x v="89"/>
    <x v="0"/>
    <x v="3"/>
    <n v="33"/>
    <n v="100.68258329871269"/>
    <s v="midwest"/>
  </r>
  <r>
    <n v="1182"/>
    <x v="4"/>
    <x v="88"/>
    <x v="0"/>
    <x v="0"/>
    <n v="88"/>
    <n v="265.74766319973446"/>
    <s v="east"/>
  </r>
  <r>
    <n v="1183"/>
    <x v="6"/>
    <x v="13"/>
    <x v="1"/>
    <x v="4"/>
    <n v="39"/>
    <n v="119.1661098521913"/>
    <s v="east"/>
  </r>
  <r>
    <n v="1184"/>
    <x v="8"/>
    <x v="44"/>
    <x v="1"/>
    <x v="2"/>
    <n v="64"/>
    <n v="193.63735378454803"/>
    <s v="midwest"/>
  </r>
  <r>
    <n v="1185"/>
    <x v="7"/>
    <x v="26"/>
    <x v="2"/>
    <x v="0"/>
    <n v="0"/>
    <n v="2.1318123006760317"/>
    <s v="east"/>
  </r>
  <r>
    <n v="1186"/>
    <x v="5"/>
    <x v="6"/>
    <x v="0"/>
    <x v="2"/>
    <n v="26"/>
    <n v="80.373766797749937"/>
    <s v="south"/>
  </r>
  <r>
    <n v="1187"/>
    <x v="2"/>
    <x v="1"/>
    <x v="0"/>
    <x v="0"/>
    <n v="0"/>
    <n v="1.4880685060494558"/>
    <s v="west"/>
  </r>
  <r>
    <n v="1188"/>
    <x v="0"/>
    <x v="56"/>
    <x v="2"/>
    <x v="1"/>
    <n v="76"/>
    <n v="229.77238860248113"/>
    <s v="east"/>
  </r>
  <r>
    <n v="1189"/>
    <x v="6"/>
    <x v="17"/>
    <x v="0"/>
    <x v="3"/>
    <n v="75"/>
    <n v="227.61957571703351"/>
    <s v="midwest"/>
  </r>
  <r>
    <n v="1190"/>
    <x v="6"/>
    <x v="4"/>
    <x v="0"/>
    <x v="0"/>
    <n v="61"/>
    <n v="184.47481128177199"/>
    <s v="south"/>
  </r>
  <r>
    <n v="1191"/>
    <x v="8"/>
    <x v="95"/>
    <x v="1"/>
    <x v="3"/>
    <n v="2"/>
    <n v="4.2806028749734537"/>
    <s v="midwest"/>
  </r>
  <r>
    <n v="1192"/>
    <x v="1"/>
    <x v="27"/>
    <x v="0"/>
    <x v="2"/>
    <n v="40"/>
    <n v="122.55161793559111"/>
    <s v="east"/>
  </r>
  <r>
    <n v="1193"/>
    <x v="4"/>
    <x v="47"/>
    <x v="1"/>
    <x v="3"/>
    <n v="5"/>
    <n v="17.384002396298932"/>
    <s v="west"/>
  </r>
  <r>
    <n v="1194"/>
    <x v="4"/>
    <x v="14"/>
    <x v="2"/>
    <x v="3"/>
    <n v="57"/>
    <n v="172.52313391180516"/>
    <s v="south"/>
  </r>
  <r>
    <n v="1195"/>
    <x v="7"/>
    <x v="23"/>
    <x v="2"/>
    <x v="3"/>
    <n v="86"/>
    <n v="259.81646524411644"/>
    <s v="midwest"/>
  </r>
  <r>
    <n v="1196"/>
    <x v="0"/>
    <x v="4"/>
    <x v="0"/>
    <x v="2"/>
    <n v="15"/>
    <n v="46.529110883082438"/>
    <s v="east"/>
  </r>
  <r>
    <n v="1197"/>
    <x v="8"/>
    <x v="24"/>
    <x v="2"/>
    <x v="3"/>
    <n v="39"/>
    <n v="118.84027043467471"/>
    <s v="east"/>
  </r>
  <r>
    <n v="1198"/>
    <x v="0"/>
    <x v="87"/>
    <x v="0"/>
    <x v="1"/>
    <n v="94"/>
    <n v="284.28308169489765"/>
    <s v="midwest"/>
  </r>
  <r>
    <n v="1199"/>
    <x v="0"/>
    <x v="23"/>
    <x v="2"/>
    <x v="0"/>
    <n v="78"/>
    <n v="235.94909602444432"/>
    <s v="south"/>
  </r>
  <r>
    <n v="1200"/>
    <x v="8"/>
    <x v="61"/>
    <x v="2"/>
    <x v="3"/>
    <n v="65"/>
    <n v="196.94723752480948"/>
    <s v="east"/>
  </r>
  <r>
    <n v="1201"/>
    <x v="2"/>
    <x v="7"/>
    <x v="2"/>
    <x v="3"/>
    <n v="66"/>
    <n v="199.89422548511391"/>
    <s v="south"/>
  </r>
  <r>
    <n v="1202"/>
    <x v="6"/>
    <x v="63"/>
    <x v="1"/>
    <x v="4"/>
    <n v="84"/>
    <n v="254.09765790734036"/>
    <s v="east"/>
  </r>
  <r>
    <n v="1203"/>
    <x v="0"/>
    <x v="64"/>
    <x v="2"/>
    <x v="4"/>
    <n v="35"/>
    <n v="107.42230334811192"/>
    <s v="south"/>
  </r>
  <r>
    <n v="1204"/>
    <x v="5"/>
    <x v="29"/>
    <x v="0"/>
    <x v="4"/>
    <n v="94"/>
    <n v="284.44960047674812"/>
    <s v="west"/>
  </r>
  <r>
    <n v="1205"/>
    <x v="4"/>
    <x v="28"/>
    <x v="1"/>
    <x v="0"/>
    <n v="26"/>
    <n v="80.008907895331433"/>
    <s v="midwest"/>
  </r>
  <r>
    <n v="1206"/>
    <x v="7"/>
    <x v="69"/>
    <x v="2"/>
    <x v="3"/>
    <n v="80"/>
    <n v="242.68960514739433"/>
    <s v="east"/>
  </r>
  <r>
    <n v="1207"/>
    <x v="5"/>
    <x v="58"/>
    <x v="0"/>
    <x v="0"/>
    <n v="7"/>
    <n v="22.749084769262449"/>
    <s v="west"/>
  </r>
  <r>
    <n v="1208"/>
    <x v="1"/>
    <x v="69"/>
    <x v="2"/>
    <x v="4"/>
    <n v="47"/>
    <n v="142.45293344391169"/>
    <s v="midwest"/>
  </r>
  <r>
    <n v="1209"/>
    <x v="4"/>
    <x v="65"/>
    <x v="0"/>
    <x v="0"/>
    <n v="32"/>
    <n v="98.66880662051085"/>
    <s v="west"/>
  </r>
  <r>
    <n v="1210"/>
    <x v="1"/>
    <x v="5"/>
    <x v="1"/>
    <x v="0"/>
    <n v="8"/>
    <n v="25.397181435002494"/>
    <s v="west"/>
  </r>
  <r>
    <n v="1211"/>
    <x v="2"/>
    <x v="96"/>
    <x v="0"/>
    <x v="4"/>
    <n v="33"/>
    <n v="100.90835792644413"/>
    <s v="midwest"/>
  </r>
  <r>
    <n v="1212"/>
    <x v="7"/>
    <x v="78"/>
    <x v="0"/>
    <x v="3"/>
    <n v="22"/>
    <n v="68.443266596535878"/>
    <s v="east"/>
  </r>
  <r>
    <n v="1213"/>
    <x v="8"/>
    <x v="68"/>
    <x v="1"/>
    <x v="0"/>
    <n v="81"/>
    <n v="244.7024907032648"/>
    <s v="south"/>
  </r>
  <r>
    <n v="1214"/>
    <x v="8"/>
    <x v="56"/>
    <x v="2"/>
    <x v="2"/>
    <n v="81"/>
    <n v="244.87385074051761"/>
    <s v="midwest"/>
  </r>
  <r>
    <n v="1215"/>
    <x v="2"/>
    <x v="96"/>
    <x v="0"/>
    <x v="1"/>
    <n v="30"/>
    <n v="91.738843901415805"/>
    <s v="south"/>
  </r>
  <r>
    <n v="1216"/>
    <x v="3"/>
    <x v="65"/>
    <x v="0"/>
    <x v="0"/>
    <n v="1"/>
    <n v="1.145171893891844"/>
    <s v="west"/>
  </r>
  <r>
    <n v="1217"/>
    <x v="1"/>
    <x v="3"/>
    <x v="2"/>
    <x v="4"/>
    <n v="35"/>
    <n v="106.85440305953027"/>
    <s v="midwest"/>
  </r>
  <r>
    <n v="1218"/>
    <x v="8"/>
    <x v="64"/>
    <x v="2"/>
    <x v="4"/>
    <n v="78"/>
    <n v="235.96052865922752"/>
    <s v="west"/>
  </r>
  <r>
    <n v="1219"/>
    <x v="0"/>
    <x v="9"/>
    <x v="2"/>
    <x v="0"/>
    <n v="15"/>
    <n v="47.22639965086119"/>
    <s v="south"/>
  </r>
  <r>
    <n v="1220"/>
    <x v="7"/>
    <x v="42"/>
    <x v="1"/>
    <x v="4"/>
    <n v="75"/>
    <n v="226.87742764461669"/>
    <s v="east"/>
  </r>
  <r>
    <n v="1221"/>
    <x v="6"/>
    <x v="83"/>
    <x v="2"/>
    <x v="3"/>
    <n v="12"/>
    <n v="38.143038750044731"/>
    <s v="south"/>
  </r>
  <r>
    <n v="1222"/>
    <x v="5"/>
    <x v="37"/>
    <x v="1"/>
    <x v="4"/>
    <n v="30"/>
    <n v="91.983337200833716"/>
    <s v="midwest"/>
  </r>
  <r>
    <n v="1223"/>
    <x v="5"/>
    <x v="63"/>
    <x v="1"/>
    <x v="3"/>
    <n v="42"/>
    <n v="128.0454928316145"/>
    <s v="west"/>
  </r>
  <r>
    <n v="1224"/>
    <x v="6"/>
    <x v="33"/>
    <x v="0"/>
    <x v="3"/>
    <n v="8"/>
    <n v="22.146929145267091"/>
    <s v="east"/>
  </r>
  <r>
    <n v="1225"/>
    <x v="7"/>
    <x v="15"/>
    <x v="0"/>
    <x v="2"/>
    <n v="93"/>
    <n v="280.73714428830147"/>
    <s v="west"/>
  </r>
  <r>
    <n v="1226"/>
    <x v="1"/>
    <x v="93"/>
    <x v="2"/>
    <x v="3"/>
    <n v="55"/>
    <n v="167.57524533229733"/>
    <s v="east"/>
  </r>
  <r>
    <n v="1227"/>
    <x v="2"/>
    <x v="2"/>
    <x v="1"/>
    <x v="0"/>
    <n v="53"/>
    <n v="161.16756896250922"/>
    <s v="south"/>
  </r>
  <r>
    <n v="1228"/>
    <x v="6"/>
    <x v="8"/>
    <x v="2"/>
    <x v="3"/>
    <n v="20"/>
    <n v="61.771223708788817"/>
    <s v="west"/>
  </r>
  <r>
    <n v="1229"/>
    <x v="3"/>
    <x v="92"/>
    <x v="1"/>
    <x v="2"/>
    <n v="19"/>
    <n v="58.720890783599678"/>
    <s v="midwest"/>
  </r>
  <r>
    <n v="1230"/>
    <x v="8"/>
    <x v="42"/>
    <x v="1"/>
    <x v="4"/>
    <n v="23"/>
    <n v="70.867520556192943"/>
    <s v="south"/>
  </r>
  <r>
    <n v="1231"/>
    <x v="0"/>
    <x v="45"/>
    <x v="2"/>
    <x v="1"/>
    <n v="68"/>
    <n v="205.90903893366013"/>
    <s v="south"/>
  </r>
  <r>
    <n v="1232"/>
    <x v="4"/>
    <x v="61"/>
    <x v="2"/>
    <x v="2"/>
    <n v="52"/>
    <n v="157.86201256059277"/>
    <s v="east"/>
  </r>
  <r>
    <n v="1233"/>
    <x v="2"/>
    <x v="95"/>
    <x v="1"/>
    <x v="3"/>
    <n v="40"/>
    <n v="121.95606531866419"/>
    <s v="south"/>
  </r>
  <r>
    <n v="1234"/>
    <x v="4"/>
    <x v="25"/>
    <x v="2"/>
    <x v="4"/>
    <n v="22"/>
    <n v="67.708397118863431"/>
    <s v="west"/>
  </r>
  <r>
    <n v="1235"/>
    <x v="4"/>
    <x v="28"/>
    <x v="1"/>
    <x v="2"/>
    <n v="5"/>
    <n v="16.990101124103898"/>
    <s v="west"/>
  </r>
  <r>
    <n v="1236"/>
    <x v="4"/>
    <x v="99"/>
    <x v="2"/>
    <x v="4"/>
    <n v="30"/>
    <n v="92.283774629578076"/>
    <s v="south"/>
  </r>
  <r>
    <n v="1237"/>
    <x v="4"/>
    <x v="0"/>
    <x v="0"/>
    <x v="3"/>
    <n v="6"/>
    <n v="20.244957158318631"/>
    <s v="west"/>
  </r>
  <r>
    <n v="1238"/>
    <x v="7"/>
    <x v="19"/>
    <x v="0"/>
    <x v="2"/>
    <n v="92"/>
    <n v="277.63010190908926"/>
    <s v="east"/>
  </r>
  <r>
    <n v="1239"/>
    <x v="3"/>
    <x v="3"/>
    <x v="2"/>
    <x v="4"/>
    <n v="5"/>
    <n v="12.432490366118355"/>
    <s v="midwest"/>
  </r>
  <r>
    <n v="1240"/>
    <x v="5"/>
    <x v="39"/>
    <x v="2"/>
    <x v="0"/>
    <n v="20"/>
    <n v="61.840740307042338"/>
    <s v="west"/>
  </r>
  <r>
    <n v="1241"/>
    <x v="6"/>
    <x v="74"/>
    <x v="2"/>
    <x v="4"/>
    <n v="54"/>
    <n v="163.08588736802977"/>
    <s v="midwest"/>
  </r>
  <r>
    <n v="1242"/>
    <x v="4"/>
    <x v="28"/>
    <x v="1"/>
    <x v="3"/>
    <n v="9"/>
    <n v="29.206434361888643"/>
    <s v="east"/>
  </r>
  <r>
    <n v="1243"/>
    <x v="3"/>
    <x v="63"/>
    <x v="1"/>
    <x v="3"/>
    <n v="6"/>
    <n v="19.957821441994636"/>
    <s v="south"/>
  </r>
  <r>
    <n v="1244"/>
    <x v="6"/>
    <x v="87"/>
    <x v="0"/>
    <x v="0"/>
    <n v="47"/>
    <n v="142.82940012407209"/>
    <s v="east"/>
  </r>
  <r>
    <n v="1245"/>
    <x v="2"/>
    <x v="37"/>
    <x v="1"/>
    <x v="4"/>
    <n v="10"/>
    <n v="27.091257616513943"/>
    <s v="south"/>
  </r>
  <r>
    <n v="1246"/>
    <x v="8"/>
    <x v="82"/>
    <x v="0"/>
    <x v="4"/>
    <n v="90"/>
    <n v="272.34042411677569"/>
    <s v="midwest"/>
  </r>
  <r>
    <n v="1247"/>
    <x v="0"/>
    <x v="27"/>
    <x v="0"/>
    <x v="1"/>
    <n v="48"/>
    <n v="146.4346102431829"/>
    <s v="midwest"/>
  </r>
  <r>
    <n v="1248"/>
    <x v="6"/>
    <x v="28"/>
    <x v="1"/>
    <x v="1"/>
    <n v="55"/>
    <n v="167.32527262577906"/>
    <s v="south"/>
  </r>
  <r>
    <n v="1249"/>
    <x v="0"/>
    <x v="26"/>
    <x v="2"/>
    <x v="4"/>
    <n v="42"/>
    <n v="128.47869059837046"/>
    <s v="east"/>
  </r>
  <r>
    <n v="1250"/>
    <x v="8"/>
    <x v="20"/>
    <x v="2"/>
    <x v="3"/>
    <n v="39"/>
    <n v="119.42558225930649"/>
    <s v="west"/>
  </r>
  <r>
    <n v="1251"/>
    <x v="4"/>
    <x v="37"/>
    <x v="1"/>
    <x v="4"/>
    <n v="26"/>
    <n v="79.641106811056247"/>
    <s v="south"/>
  </r>
  <r>
    <n v="1252"/>
    <x v="0"/>
    <x v="71"/>
    <x v="2"/>
    <x v="4"/>
    <n v="26"/>
    <n v="79.499321772308136"/>
    <s v="east"/>
  </r>
  <r>
    <n v="1253"/>
    <x v="0"/>
    <x v="54"/>
    <x v="1"/>
    <x v="3"/>
    <n v="52"/>
    <n v="158.28266649648856"/>
    <s v="east"/>
  </r>
  <r>
    <n v="1254"/>
    <x v="4"/>
    <x v="11"/>
    <x v="0"/>
    <x v="1"/>
    <n v="19"/>
    <n v="58.769535018680784"/>
    <s v="south"/>
  </r>
  <r>
    <n v="1255"/>
    <x v="2"/>
    <x v="38"/>
    <x v="0"/>
    <x v="4"/>
    <n v="18"/>
    <n v="55.683739721262491"/>
    <s v="east"/>
  </r>
  <r>
    <n v="1256"/>
    <x v="1"/>
    <x v="60"/>
    <x v="2"/>
    <x v="4"/>
    <n v="87"/>
    <n v="263.04139351081579"/>
    <s v="east"/>
  </r>
  <r>
    <n v="1257"/>
    <x v="4"/>
    <x v="79"/>
    <x v="0"/>
    <x v="3"/>
    <n v="46"/>
    <n v="139.93969189998913"/>
    <s v="midwest"/>
  </r>
  <r>
    <n v="1258"/>
    <x v="0"/>
    <x v="41"/>
    <x v="2"/>
    <x v="4"/>
    <n v="54"/>
    <n v="163.69364721145854"/>
    <s v="midwest"/>
  </r>
  <r>
    <n v="1259"/>
    <x v="3"/>
    <x v="85"/>
    <x v="0"/>
    <x v="4"/>
    <n v="21"/>
    <n v="64.701803739735197"/>
    <s v="south"/>
  </r>
  <r>
    <n v="1260"/>
    <x v="4"/>
    <x v="27"/>
    <x v="0"/>
    <x v="1"/>
    <n v="6"/>
    <n v="16.23714349589131"/>
    <s v="west"/>
  </r>
  <r>
    <n v="1261"/>
    <x v="5"/>
    <x v="11"/>
    <x v="0"/>
    <x v="1"/>
    <n v="47"/>
    <n v="142.41301237194139"/>
    <s v="east"/>
  </r>
  <r>
    <n v="1262"/>
    <x v="7"/>
    <x v="70"/>
    <x v="0"/>
    <x v="1"/>
    <n v="14"/>
    <n v="44.23662693928393"/>
    <s v="west"/>
  </r>
  <r>
    <n v="1263"/>
    <x v="7"/>
    <x v="52"/>
    <x v="2"/>
    <x v="1"/>
    <n v="73"/>
    <n v="220.5000128058029"/>
    <s v="west"/>
  </r>
  <r>
    <n v="1264"/>
    <x v="7"/>
    <x v="7"/>
    <x v="2"/>
    <x v="0"/>
    <n v="14"/>
    <n v="44.424699895790788"/>
    <s v="south"/>
  </r>
  <r>
    <n v="1265"/>
    <x v="1"/>
    <x v="99"/>
    <x v="2"/>
    <x v="0"/>
    <n v="95"/>
    <n v="286.75698716058628"/>
    <s v="midwest"/>
  </r>
  <r>
    <n v="1266"/>
    <x v="5"/>
    <x v="53"/>
    <x v="0"/>
    <x v="3"/>
    <n v="64"/>
    <n v="193.36768203630285"/>
    <s v="south"/>
  </r>
  <r>
    <n v="1267"/>
    <x v="8"/>
    <x v="67"/>
    <x v="0"/>
    <x v="3"/>
    <n v="47"/>
    <n v="143.14314267064674"/>
    <s v="midwest"/>
  </r>
  <r>
    <n v="1268"/>
    <x v="5"/>
    <x v="10"/>
    <x v="0"/>
    <x v="1"/>
    <n v="20"/>
    <n v="61.937788372758583"/>
    <s v="west"/>
  </r>
  <r>
    <n v="1269"/>
    <x v="3"/>
    <x v="43"/>
    <x v="0"/>
    <x v="0"/>
    <n v="71"/>
    <n v="215.32844026172367"/>
    <s v="west"/>
  </r>
  <r>
    <n v="1270"/>
    <x v="5"/>
    <x v="84"/>
    <x v="1"/>
    <x v="3"/>
    <n v="66"/>
    <n v="199.49732716580834"/>
    <s v="west"/>
  </r>
  <r>
    <n v="1271"/>
    <x v="1"/>
    <x v="67"/>
    <x v="0"/>
    <x v="1"/>
    <n v="79"/>
    <n v="239.43592811272299"/>
    <s v="west"/>
  </r>
  <r>
    <n v="1272"/>
    <x v="1"/>
    <x v="68"/>
    <x v="1"/>
    <x v="4"/>
    <n v="7"/>
    <n v="18.401268878071164"/>
    <s v="east"/>
  </r>
  <r>
    <n v="1273"/>
    <x v="0"/>
    <x v="62"/>
    <x v="1"/>
    <x v="1"/>
    <n v="72"/>
    <n v="217.35308480664631"/>
    <s v="west"/>
  </r>
  <r>
    <n v="1274"/>
    <x v="1"/>
    <x v="67"/>
    <x v="0"/>
    <x v="2"/>
    <n v="91"/>
    <n v="275.36823907836589"/>
    <s v="midwest"/>
  </r>
  <r>
    <n v="1275"/>
    <x v="4"/>
    <x v="1"/>
    <x v="0"/>
    <x v="4"/>
    <n v="57"/>
    <n v="173.47781647307619"/>
    <s v="south"/>
  </r>
  <r>
    <n v="1276"/>
    <x v="8"/>
    <x v="19"/>
    <x v="0"/>
    <x v="1"/>
    <n v="8"/>
    <n v="21.82749489869385"/>
    <s v="south"/>
  </r>
  <r>
    <n v="1277"/>
    <x v="5"/>
    <x v="81"/>
    <x v="1"/>
    <x v="1"/>
    <n v="45"/>
    <n v="136.95599465560394"/>
    <s v="east"/>
  </r>
  <r>
    <n v="1278"/>
    <x v="3"/>
    <x v="17"/>
    <x v="0"/>
    <x v="3"/>
    <n v="92"/>
    <n v="278.04523769732305"/>
    <s v="south"/>
  </r>
  <r>
    <n v="1279"/>
    <x v="4"/>
    <x v="78"/>
    <x v="0"/>
    <x v="4"/>
    <n v="28"/>
    <n v="86.457557586126669"/>
    <s v="midwest"/>
  </r>
  <r>
    <n v="1280"/>
    <x v="0"/>
    <x v="42"/>
    <x v="1"/>
    <x v="2"/>
    <n v="79"/>
    <n v="238.98646128992934"/>
    <s v="west"/>
  </r>
  <r>
    <n v="1281"/>
    <x v="7"/>
    <x v="42"/>
    <x v="1"/>
    <x v="1"/>
    <n v="92"/>
    <n v="277.53792590877345"/>
    <s v="west"/>
  </r>
  <r>
    <n v="1282"/>
    <x v="5"/>
    <x v="70"/>
    <x v="0"/>
    <x v="4"/>
    <n v="11"/>
    <n v="34.457391966440007"/>
    <s v="midwest"/>
  </r>
  <r>
    <n v="1283"/>
    <x v="4"/>
    <x v="42"/>
    <x v="1"/>
    <x v="3"/>
    <n v="23"/>
    <n v="70.69661605650883"/>
    <s v="east"/>
  </r>
  <r>
    <n v="1284"/>
    <x v="0"/>
    <x v="90"/>
    <x v="2"/>
    <x v="3"/>
    <n v="2"/>
    <n v="8.8023773142157893"/>
    <s v="midwest"/>
  </r>
  <r>
    <n v="1285"/>
    <x v="6"/>
    <x v="13"/>
    <x v="1"/>
    <x v="3"/>
    <n v="2"/>
    <n v="3.4493356628035219"/>
    <s v="east"/>
  </r>
  <r>
    <n v="1286"/>
    <x v="1"/>
    <x v="98"/>
    <x v="1"/>
    <x v="0"/>
    <n v="33"/>
    <n v="100.68617590777907"/>
    <s v="west"/>
  </r>
  <r>
    <n v="1287"/>
    <x v="6"/>
    <x v="26"/>
    <x v="2"/>
    <x v="4"/>
    <n v="10"/>
    <n v="31.300935347132732"/>
    <s v="midwest"/>
  </r>
  <r>
    <n v="1288"/>
    <x v="2"/>
    <x v="10"/>
    <x v="0"/>
    <x v="2"/>
    <n v="84"/>
    <n v="254.11937205363179"/>
    <s v="east"/>
  </r>
  <r>
    <n v="1289"/>
    <x v="1"/>
    <x v="43"/>
    <x v="0"/>
    <x v="4"/>
    <n v="88"/>
    <n v="266.39334034313327"/>
    <s v="midwest"/>
  </r>
  <r>
    <n v="1290"/>
    <x v="0"/>
    <x v="34"/>
    <x v="1"/>
    <x v="3"/>
    <n v="95"/>
    <n v="286.60843219410157"/>
    <s v="east"/>
  </r>
  <r>
    <n v="1291"/>
    <x v="3"/>
    <x v="47"/>
    <x v="1"/>
    <x v="4"/>
    <n v="3"/>
    <n v="11.903882144888168"/>
    <s v="midwest"/>
  </r>
  <r>
    <n v="1292"/>
    <x v="0"/>
    <x v="16"/>
    <x v="2"/>
    <x v="0"/>
    <n v="72"/>
    <n v="217.58131494729014"/>
    <s v="west"/>
  </r>
  <r>
    <n v="1293"/>
    <x v="8"/>
    <x v="66"/>
    <x v="1"/>
    <x v="3"/>
    <n v="58"/>
    <n v="176.65394036929425"/>
    <s v="midwest"/>
  </r>
  <r>
    <n v="1294"/>
    <x v="2"/>
    <x v="29"/>
    <x v="0"/>
    <x v="3"/>
    <n v="19"/>
    <n v="59.643357077362239"/>
    <s v="west"/>
  </r>
  <r>
    <n v="1295"/>
    <x v="0"/>
    <x v="92"/>
    <x v="1"/>
    <x v="4"/>
    <n v="35"/>
    <n v="106.5070892872302"/>
    <s v="south"/>
  </r>
  <r>
    <n v="1296"/>
    <x v="1"/>
    <x v="10"/>
    <x v="0"/>
    <x v="1"/>
    <n v="80"/>
    <n v="242.63330478636408"/>
    <s v="west"/>
  </r>
  <r>
    <n v="1297"/>
    <x v="5"/>
    <x v="97"/>
    <x v="0"/>
    <x v="3"/>
    <n v="26"/>
    <n v="80.048584690277565"/>
    <s v="south"/>
  </r>
  <r>
    <n v="1298"/>
    <x v="3"/>
    <x v="34"/>
    <x v="1"/>
    <x v="0"/>
    <n v="93"/>
    <n v="280.93222292224493"/>
    <s v="west"/>
  </r>
  <r>
    <n v="1299"/>
    <x v="4"/>
    <x v="40"/>
    <x v="1"/>
    <x v="3"/>
    <n v="29"/>
    <n v="90.05707639133125"/>
    <s v="midwest"/>
  </r>
  <r>
    <n v="1300"/>
    <x v="4"/>
    <x v="70"/>
    <x v="0"/>
    <x v="1"/>
    <n v="88"/>
    <n v="266.36925289616937"/>
    <s v="midwest"/>
  </r>
  <r>
    <n v="1301"/>
    <x v="7"/>
    <x v="57"/>
    <x v="2"/>
    <x v="3"/>
    <n v="5"/>
    <n v="16.874201572948834"/>
    <s v="east"/>
  </r>
  <r>
    <n v="1302"/>
    <x v="4"/>
    <x v="30"/>
    <x v="1"/>
    <x v="4"/>
    <n v="64"/>
    <n v="194.02715866543952"/>
    <s v="west"/>
  </r>
  <r>
    <n v="1303"/>
    <x v="6"/>
    <x v="80"/>
    <x v="1"/>
    <x v="0"/>
    <n v="38"/>
    <n v="116.02781429818391"/>
    <s v="east"/>
  </r>
  <r>
    <n v="1304"/>
    <x v="7"/>
    <x v="79"/>
    <x v="0"/>
    <x v="1"/>
    <n v="21"/>
    <n v="65.60411466769294"/>
    <s v="west"/>
  </r>
  <r>
    <n v="1305"/>
    <x v="1"/>
    <x v="95"/>
    <x v="1"/>
    <x v="3"/>
    <n v="61"/>
    <n v="184.44189289759726"/>
    <s v="west"/>
  </r>
  <r>
    <n v="1306"/>
    <x v="3"/>
    <x v="87"/>
    <x v="0"/>
    <x v="3"/>
    <n v="53"/>
    <n v="160.79564195236946"/>
    <s v="west"/>
  </r>
  <r>
    <n v="1307"/>
    <x v="0"/>
    <x v="20"/>
    <x v="2"/>
    <x v="4"/>
    <n v="28"/>
    <n v="86.322863736189788"/>
    <s v="east"/>
  </r>
  <r>
    <n v="1308"/>
    <x v="3"/>
    <x v="93"/>
    <x v="2"/>
    <x v="4"/>
    <n v="39"/>
    <n v="119.49155300741148"/>
    <s v="east"/>
  </r>
  <r>
    <n v="1309"/>
    <x v="3"/>
    <x v="77"/>
    <x v="2"/>
    <x v="0"/>
    <n v="89"/>
    <n v="268.72040652792879"/>
    <s v="west"/>
  </r>
  <r>
    <n v="1310"/>
    <x v="0"/>
    <x v="70"/>
    <x v="0"/>
    <x v="1"/>
    <n v="72"/>
    <n v="218.15784251474992"/>
    <s v="south"/>
  </r>
  <r>
    <n v="1311"/>
    <x v="4"/>
    <x v="88"/>
    <x v="0"/>
    <x v="0"/>
    <n v="63"/>
    <n v="191.07967670509865"/>
    <s v="south"/>
  </r>
  <r>
    <n v="1312"/>
    <x v="5"/>
    <x v="74"/>
    <x v="2"/>
    <x v="1"/>
    <n v="47"/>
    <n v="142.1470812441363"/>
    <s v="west"/>
  </r>
  <r>
    <n v="1313"/>
    <x v="2"/>
    <x v="34"/>
    <x v="1"/>
    <x v="4"/>
    <n v="8"/>
    <n v="25.619997788473359"/>
    <s v="midwest"/>
  </r>
  <r>
    <n v="1314"/>
    <x v="0"/>
    <x v="51"/>
    <x v="0"/>
    <x v="0"/>
    <n v="88"/>
    <n v="265.56717139256853"/>
    <s v="east"/>
  </r>
  <r>
    <n v="1315"/>
    <x v="2"/>
    <x v="88"/>
    <x v="0"/>
    <x v="0"/>
    <n v="12"/>
    <n v="37.818679875987904"/>
    <s v="midwest"/>
  </r>
  <r>
    <n v="1316"/>
    <x v="7"/>
    <x v="5"/>
    <x v="1"/>
    <x v="4"/>
    <n v="79"/>
    <n v="239.17519679611866"/>
    <s v="midwest"/>
  </r>
  <r>
    <n v="1317"/>
    <x v="4"/>
    <x v="4"/>
    <x v="0"/>
    <x v="2"/>
    <n v="39"/>
    <n v="118.94488443291594"/>
    <s v="south"/>
  </r>
  <r>
    <n v="1318"/>
    <x v="7"/>
    <x v="71"/>
    <x v="2"/>
    <x v="4"/>
    <n v="61"/>
    <n v="185.05613481266943"/>
    <s v="west"/>
  </r>
  <r>
    <n v="1319"/>
    <x v="7"/>
    <x v="14"/>
    <x v="2"/>
    <x v="0"/>
    <n v="12"/>
    <n v="38.275233428944262"/>
    <s v="west"/>
  </r>
  <r>
    <n v="1320"/>
    <x v="3"/>
    <x v="51"/>
    <x v="0"/>
    <x v="4"/>
    <n v="25"/>
    <n v="76.651168243814681"/>
    <s v="east"/>
  </r>
  <r>
    <n v="1321"/>
    <x v="8"/>
    <x v="5"/>
    <x v="1"/>
    <x v="1"/>
    <n v="82"/>
    <n v="248.26100726872076"/>
    <s v="south"/>
  </r>
  <r>
    <n v="1322"/>
    <x v="2"/>
    <x v="43"/>
    <x v="0"/>
    <x v="4"/>
    <n v="4"/>
    <n v="14.48265398333678"/>
    <s v="west"/>
  </r>
  <r>
    <n v="1323"/>
    <x v="2"/>
    <x v="7"/>
    <x v="2"/>
    <x v="2"/>
    <n v="22"/>
    <n v="68.226854446694333"/>
    <s v="south"/>
  </r>
  <r>
    <n v="1324"/>
    <x v="2"/>
    <x v="52"/>
    <x v="2"/>
    <x v="4"/>
    <n v="81"/>
    <n v="244.6243385117169"/>
    <s v="midwest"/>
  </r>
  <r>
    <n v="1325"/>
    <x v="3"/>
    <x v="2"/>
    <x v="1"/>
    <x v="3"/>
    <n v="34"/>
    <n v="103.85172808433745"/>
    <s v="south"/>
  </r>
  <r>
    <n v="1326"/>
    <x v="2"/>
    <x v="11"/>
    <x v="0"/>
    <x v="4"/>
    <n v="89"/>
    <n v="269.74478909487721"/>
    <s v="east"/>
  </r>
  <r>
    <n v="1327"/>
    <x v="3"/>
    <x v="75"/>
    <x v="1"/>
    <x v="4"/>
    <n v="6"/>
    <n v="20.30969002976488"/>
    <s v="midwest"/>
  </r>
  <r>
    <n v="1328"/>
    <x v="7"/>
    <x v="44"/>
    <x v="1"/>
    <x v="3"/>
    <n v="78"/>
    <n v="235.99588000674026"/>
    <s v="south"/>
  </r>
  <r>
    <n v="1329"/>
    <x v="8"/>
    <x v="63"/>
    <x v="1"/>
    <x v="0"/>
    <n v="9"/>
    <n v="28.852711267429889"/>
    <s v="south"/>
  </r>
  <r>
    <n v="1330"/>
    <x v="5"/>
    <x v="74"/>
    <x v="2"/>
    <x v="4"/>
    <n v="9"/>
    <n v="29.718118103947955"/>
    <s v="east"/>
  </r>
  <r>
    <n v="1331"/>
    <x v="5"/>
    <x v="90"/>
    <x v="2"/>
    <x v="1"/>
    <n v="73"/>
    <n v="221.1834991910803"/>
    <s v="east"/>
  </r>
  <r>
    <n v="1332"/>
    <x v="0"/>
    <x v="46"/>
    <x v="0"/>
    <x v="0"/>
    <n v="13"/>
    <n v="41.92379193182763"/>
    <s v="midwest"/>
  </r>
  <r>
    <n v="1333"/>
    <x v="4"/>
    <x v="66"/>
    <x v="1"/>
    <x v="3"/>
    <n v="14"/>
    <n v="43.998808725631548"/>
    <s v="midwest"/>
  </r>
  <r>
    <n v="1334"/>
    <x v="0"/>
    <x v="31"/>
    <x v="1"/>
    <x v="2"/>
    <n v="33"/>
    <n v="100.31195245129152"/>
    <s v="midwest"/>
  </r>
  <r>
    <n v="1335"/>
    <x v="0"/>
    <x v="0"/>
    <x v="0"/>
    <x v="1"/>
    <n v="17"/>
    <n v="53.123119444085049"/>
    <s v="east"/>
  </r>
  <r>
    <n v="1336"/>
    <x v="1"/>
    <x v="8"/>
    <x v="2"/>
    <x v="0"/>
    <n v="9"/>
    <n v="29.501152192037068"/>
    <s v="south"/>
  </r>
  <r>
    <n v="1337"/>
    <x v="7"/>
    <x v="25"/>
    <x v="2"/>
    <x v="4"/>
    <n v="15"/>
    <n v="47.311523584864588"/>
    <s v="midwest"/>
  </r>
  <r>
    <n v="1338"/>
    <x v="2"/>
    <x v="24"/>
    <x v="2"/>
    <x v="2"/>
    <n v="50"/>
    <n v="152.31019163589909"/>
    <s v="east"/>
  </r>
  <r>
    <n v="1339"/>
    <x v="7"/>
    <x v="51"/>
    <x v="0"/>
    <x v="2"/>
    <n v="13"/>
    <n v="40.558759872429341"/>
    <s v="west"/>
  </r>
  <r>
    <n v="1340"/>
    <x v="1"/>
    <x v="65"/>
    <x v="0"/>
    <x v="0"/>
    <n v="24"/>
    <n v="74.731137309505712"/>
    <s v="west"/>
  </r>
  <r>
    <n v="1341"/>
    <x v="0"/>
    <x v="80"/>
    <x v="1"/>
    <x v="0"/>
    <n v="77"/>
    <n v="232.89275600525073"/>
    <s v="south"/>
  </r>
  <r>
    <n v="1342"/>
    <x v="1"/>
    <x v="39"/>
    <x v="2"/>
    <x v="4"/>
    <n v="21"/>
    <n v="65.214588826582613"/>
    <s v="east"/>
  </r>
  <r>
    <n v="1343"/>
    <x v="8"/>
    <x v="34"/>
    <x v="1"/>
    <x v="4"/>
    <n v="80"/>
    <n v="240.76226876969253"/>
    <s v="midwest"/>
  </r>
  <r>
    <n v="1344"/>
    <x v="1"/>
    <x v="51"/>
    <x v="0"/>
    <x v="4"/>
    <n v="56"/>
    <n v="170.50901918623575"/>
    <s v="south"/>
  </r>
  <r>
    <n v="1345"/>
    <x v="5"/>
    <x v="28"/>
    <x v="1"/>
    <x v="1"/>
    <n v="28"/>
    <n v="86.002698245868487"/>
    <s v="west"/>
  </r>
  <r>
    <n v="1346"/>
    <x v="7"/>
    <x v="5"/>
    <x v="1"/>
    <x v="2"/>
    <n v="50"/>
    <n v="151.56909496566121"/>
    <s v="midwest"/>
  </r>
  <r>
    <n v="1347"/>
    <x v="5"/>
    <x v="28"/>
    <x v="1"/>
    <x v="3"/>
    <n v="23"/>
    <n v="71.405303018372905"/>
    <s v="east"/>
  </r>
  <r>
    <n v="1348"/>
    <x v="7"/>
    <x v="29"/>
    <x v="0"/>
    <x v="0"/>
    <n v="77"/>
    <n v="232.85049996581651"/>
    <s v="midwest"/>
  </r>
  <r>
    <n v="1349"/>
    <x v="0"/>
    <x v="53"/>
    <x v="0"/>
    <x v="4"/>
    <n v="56"/>
    <n v="170.26270071526079"/>
    <s v="east"/>
  </r>
  <r>
    <n v="1350"/>
    <x v="8"/>
    <x v="90"/>
    <x v="2"/>
    <x v="0"/>
    <n v="26"/>
    <n v="79.7600955182413"/>
    <s v="east"/>
  </r>
  <r>
    <n v="1351"/>
    <x v="2"/>
    <x v="53"/>
    <x v="0"/>
    <x v="1"/>
    <n v="18"/>
    <n v="55.931706737093798"/>
    <s v="south"/>
  </r>
  <r>
    <n v="1352"/>
    <x v="5"/>
    <x v="53"/>
    <x v="0"/>
    <x v="0"/>
    <n v="40"/>
    <n v="121.10292526674064"/>
    <s v="south"/>
  </r>
  <r>
    <n v="1353"/>
    <x v="1"/>
    <x v="53"/>
    <x v="0"/>
    <x v="4"/>
    <n v="75"/>
    <n v="227.06641475515934"/>
    <s v="south"/>
  </r>
  <r>
    <n v="1354"/>
    <x v="4"/>
    <x v="2"/>
    <x v="1"/>
    <x v="2"/>
    <n v="61"/>
    <n v="184.75393471553485"/>
    <s v="midwest"/>
  </r>
  <r>
    <n v="1355"/>
    <x v="2"/>
    <x v="43"/>
    <x v="0"/>
    <x v="2"/>
    <n v="35"/>
    <n v="106.73579162164692"/>
    <s v="west"/>
  </r>
  <r>
    <n v="1356"/>
    <x v="8"/>
    <x v="50"/>
    <x v="1"/>
    <x v="1"/>
    <n v="42"/>
    <n v="127.74297314827389"/>
    <s v="west"/>
  </r>
  <r>
    <n v="1357"/>
    <x v="1"/>
    <x v="11"/>
    <x v="0"/>
    <x v="3"/>
    <n v="47"/>
    <n v="142.58640939942609"/>
    <s v="south"/>
  </r>
  <r>
    <n v="1358"/>
    <x v="2"/>
    <x v="79"/>
    <x v="0"/>
    <x v="4"/>
    <n v="74"/>
    <n v="225.01925553650543"/>
    <s v="south"/>
  </r>
  <r>
    <n v="1359"/>
    <x v="2"/>
    <x v="31"/>
    <x v="1"/>
    <x v="4"/>
    <n v="55"/>
    <n v="166.25169597348713"/>
    <s v="west"/>
  </r>
  <r>
    <n v="1360"/>
    <x v="3"/>
    <x v="22"/>
    <x v="1"/>
    <x v="0"/>
    <n v="87"/>
    <n v="263.11074857106775"/>
    <s v="west"/>
  </r>
  <r>
    <n v="1361"/>
    <x v="2"/>
    <x v="35"/>
    <x v="0"/>
    <x v="1"/>
    <n v="75"/>
    <n v="227.32916430473495"/>
    <s v="south"/>
  </r>
  <r>
    <n v="1362"/>
    <x v="6"/>
    <x v="56"/>
    <x v="2"/>
    <x v="1"/>
    <n v="91"/>
    <n v="274.60744776638205"/>
    <s v="west"/>
  </r>
  <r>
    <n v="1363"/>
    <x v="2"/>
    <x v="54"/>
    <x v="1"/>
    <x v="0"/>
    <n v="79"/>
    <n v="238.20578213903983"/>
    <s v="south"/>
  </r>
  <r>
    <n v="1364"/>
    <x v="8"/>
    <x v="4"/>
    <x v="0"/>
    <x v="4"/>
    <n v="31"/>
    <n v="94.915314626942674"/>
    <s v="midwest"/>
  </r>
  <r>
    <n v="1365"/>
    <x v="1"/>
    <x v="67"/>
    <x v="0"/>
    <x v="3"/>
    <n v="36"/>
    <n v="109.8683994875889"/>
    <s v="midwest"/>
  </r>
  <r>
    <n v="1366"/>
    <x v="7"/>
    <x v="35"/>
    <x v="0"/>
    <x v="4"/>
    <n v="80"/>
    <n v="242.06313932235889"/>
    <s v="south"/>
  </r>
  <r>
    <n v="1367"/>
    <x v="0"/>
    <x v="64"/>
    <x v="2"/>
    <x v="0"/>
    <n v="32"/>
    <n v="98.105863423861408"/>
    <s v="east"/>
  </r>
  <r>
    <n v="1368"/>
    <x v="3"/>
    <x v="35"/>
    <x v="0"/>
    <x v="2"/>
    <n v="29"/>
    <n v="89.172802878693929"/>
    <s v="west"/>
  </r>
  <r>
    <n v="1369"/>
    <x v="1"/>
    <x v="63"/>
    <x v="1"/>
    <x v="1"/>
    <n v="64"/>
    <n v="193.51676296767636"/>
    <s v="west"/>
  </r>
  <r>
    <n v="1370"/>
    <x v="5"/>
    <x v="1"/>
    <x v="0"/>
    <x v="0"/>
    <n v="27"/>
    <n v="83.668497347720773"/>
    <s v="west"/>
  </r>
  <r>
    <n v="1371"/>
    <x v="8"/>
    <x v="19"/>
    <x v="0"/>
    <x v="0"/>
    <n v="36"/>
    <n v="109.80928591136637"/>
    <s v="west"/>
  </r>
  <r>
    <n v="1372"/>
    <x v="0"/>
    <x v="21"/>
    <x v="2"/>
    <x v="4"/>
    <n v="36"/>
    <n v="109.45657773500436"/>
    <s v="west"/>
  </r>
  <r>
    <n v="1373"/>
    <x v="7"/>
    <x v="76"/>
    <x v="2"/>
    <x v="4"/>
    <n v="32"/>
    <n v="97.343399963409695"/>
    <s v="south"/>
  </r>
  <r>
    <n v="1374"/>
    <x v="5"/>
    <x v="93"/>
    <x v="2"/>
    <x v="4"/>
    <n v="9"/>
    <n v="29.173034652532433"/>
    <s v="east"/>
  </r>
  <r>
    <n v="1375"/>
    <x v="3"/>
    <x v="3"/>
    <x v="2"/>
    <x v="1"/>
    <n v="78"/>
    <n v="235.63570757894917"/>
    <s v="east"/>
  </r>
  <r>
    <n v="1376"/>
    <x v="3"/>
    <x v="42"/>
    <x v="1"/>
    <x v="2"/>
    <n v="55"/>
    <n v="167.69300314757166"/>
    <s v="west"/>
  </r>
  <r>
    <n v="1377"/>
    <x v="1"/>
    <x v="88"/>
    <x v="0"/>
    <x v="4"/>
    <n v="79"/>
    <n v="239.25822655633112"/>
    <s v="south"/>
  </r>
  <r>
    <n v="1378"/>
    <x v="1"/>
    <x v="33"/>
    <x v="0"/>
    <x v="3"/>
    <n v="9"/>
    <n v="29.36931208514244"/>
    <s v="south"/>
  </r>
  <r>
    <n v="1379"/>
    <x v="0"/>
    <x v="7"/>
    <x v="2"/>
    <x v="1"/>
    <n v="4"/>
    <n v="14.276329980408619"/>
    <s v="west"/>
  </r>
  <r>
    <n v="1380"/>
    <x v="1"/>
    <x v="90"/>
    <x v="2"/>
    <x v="4"/>
    <n v="6"/>
    <n v="20.165246376870389"/>
    <s v="midwest"/>
  </r>
  <r>
    <n v="1381"/>
    <x v="8"/>
    <x v="31"/>
    <x v="1"/>
    <x v="3"/>
    <n v="18"/>
    <n v="55.91901948813328"/>
    <s v="midwest"/>
  </r>
  <r>
    <n v="1382"/>
    <x v="3"/>
    <x v="68"/>
    <x v="1"/>
    <x v="3"/>
    <n v="14"/>
    <n v="44.491260768813873"/>
    <s v="west"/>
  </r>
  <r>
    <n v="1383"/>
    <x v="5"/>
    <x v="57"/>
    <x v="2"/>
    <x v="0"/>
    <n v="91"/>
    <n v="275.50447930379551"/>
    <s v="east"/>
  </r>
  <r>
    <n v="1384"/>
    <x v="3"/>
    <x v="36"/>
    <x v="1"/>
    <x v="3"/>
    <n v="74"/>
    <n v="224.07187760825997"/>
    <s v="south"/>
  </r>
  <r>
    <n v="1385"/>
    <x v="0"/>
    <x v="96"/>
    <x v="0"/>
    <x v="0"/>
    <n v="47"/>
    <n v="143.8575641603407"/>
    <s v="west"/>
  </r>
  <r>
    <n v="1386"/>
    <x v="4"/>
    <x v="77"/>
    <x v="2"/>
    <x v="1"/>
    <n v="28"/>
    <n v="86.468289532216389"/>
    <s v="south"/>
  </r>
  <r>
    <n v="1387"/>
    <x v="4"/>
    <x v="14"/>
    <x v="2"/>
    <x v="3"/>
    <n v="21"/>
    <n v="64.784207766072953"/>
    <s v="west"/>
  </r>
  <r>
    <n v="1388"/>
    <x v="5"/>
    <x v="48"/>
    <x v="1"/>
    <x v="1"/>
    <n v="52"/>
    <n v="157.69424365413772"/>
    <s v="south"/>
  </r>
  <r>
    <n v="1389"/>
    <x v="3"/>
    <x v="35"/>
    <x v="0"/>
    <x v="2"/>
    <n v="33"/>
    <n v="101.08856134949143"/>
    <s v="south"/>
  </r>
  <r>
    <n v="1390"/>
    <x v="4"/>
    <x v="27"/>
    <x v="0"/>
    <x v="4"/>
    <n v="7"/>
    <n v="19.437923961194201"/>
    <s v="east"/>
  </r>
  <r>
    <n v="1391"/>
    <x v="5"/>
    <x v="0"/>
    <x v="0"/>
    <x v="0"/>
    <n v="12"/>
    <n v="38.2380881700618"/>
    <s v="south"/>
  </r>
  <r>
    <n v="1392"/>
    <x v="3"/>
    <x v="85"/>
    <x v="0"/>
    <x v="3"/>
    <n v="1"/>
    <n v="4.5049727728030682"/>
    <s v="south"/>
  </r>
  <r>
    <n v="1393"/>
    <x v="0"/>
    <x v="97"/>
    <x v="0"/>
    <x v="4"/>
    <n v="56"/>
    <n v="169.75770217815491"/>
    <s v="south"/>
  </r>
  <r>
    <n v="1394"/>
    <x v="5"/>
    <x v="44"/>
    <x v="1"/>
    <x v="1"/>
    <n v="34"/>
    <n v="104.47706646910852"/>
    <s v="south"/>
  </r>
  <r>
    <n v="1395"/>
    <x v="8"/>
    <x v="2"/>
    <x v="1"/>
    <x v="1"/>
    <n v="83"/>
    <n v="250.38974883045833"/>
    <s v="midwest"/>
  </r>
  <r>
    <n v="1396"/>
    <x v="4"/>
    <x v="55"/>
    <x v="1"/>
    <x v="3"/>
    <n v="4"/>
    <n v="10.155624843092607"/>
    <s v="south"/>
  </r>
  <r>
    <n v="1397"/>
    <x v="5"/>
    <x v="75"/>
    <x v="1"/>
    <x v="1"/>
    <n v="9"/>
    <n v="29.703664221901175"/>
    <s v="south"/>
  </r>
  <r>
    <n v="1398"/>
    <x v="1"/>
    <x v="82"/>
    <x v="0"/>
    <x v="3"/>
    <n v="64"/>
    <n v="193.99078398349641"/>
    <s v="west"/>
  </r>
  <r>
    <n v="1399"/>
    <x v="8"/>
    <x v="82"/>
    <x v="0"/>
    <x v="0"/>
    <n v="13"/>
    <n v="40.947424828889474"/>
    <s v="south"/>
  </r>
  <r>
    <n v="1400"/>
    <x v="3"/>
    <x v="70"/>
    <x v="0"/>
    <x v="0"/>
    <n v="9"/>
    <n v="28.683682099948655"/>
    <s v="south"/>
  </r>
  <r>
    <n v="1401"/>
    <x v="6"/>
    <x v="14"/>
    <x v="2"/>
    <x v="0"/>
    <n v="6"/>
    <n v="19.546281446888681"/>
    <s v="west"/>
  </r>
  <r>
    <n v="1402"/>
    <x v="2"/>
    <x v="3"/>
    <x v="2"/>
    <x v="1"/>
    <n v="55"/>
    <n v="167.0921059108752"/>
    <s v="midwest"/>
  </r>
  <r>
    <n v="1403"/>
    <x v="7"/>
    <x v="18"/>
    <x v="2"/>
    <x v="2"/>
    <n v="64"/>
    <n v="194.83490930195086"/>
    <s v="south"/>
  </r>
  <r>
    <n v="1404"/>
    <x v="0"/>
    <x v="32"/>
    <x v="1"/>
    <x v="0"/>
    <n v="27"/>
    <n v="82.654748876430304"/>
    <s v="east"/>
  </r>
  <r>
    <n v="1405"/>
    <x v="7"/>
    <x v="79"/>
    <x v="0"/>
    <x v="0"/>
    <n v="4"/>
    <n v="14.358367110038117"/>
    <s v="west"/>
  </r>
  <r>
    <n v="1406"/>
    <x v="8"/>
    <x v="40"/>
    <x v="1"/>
    <x v="0"/>
    <n v="17"/>
    <n v="53.450226015325889"/>
    <s v="midwest"/>
  </r>
  <r>
    <n v="1407"/>
    <x v="2"/>
    <x v="57"/>
    <x v="2"/>
    <x v="0"/>
    <n v="24"/>
    <n v="74.287417398883491"/>
    <s v="east"/>
  </r>
  <r>
    <n v="1408"/>
    <x v="6"/>
    <x v="36"/>
    <x v="1"/>
    <x v="0"/>
    <n v="87"/>
    <n v="262.8805946680697"/>
    <s v="west"/>
  </r>
  <r>
    <n v="1409"/>
    <x v="3"/>
    <x v="11"/>
    <x v="0"/>
    <x v="4"/>
    <n v="10"/>
    <n v="31.759227784320323"/>
    <s v="east"/>
  </r>
  <r>
    <n v="1410"/>
    <x v="5"/>
    <x v="79"/>
    <x v="0"/>
    <x v="4"/>
    <n v="0"/>
    <n v="1.8311339455634805"/>
    <s v="midwest"/>
  </r>
  <r>
    <n v="1411"/>
    <x v="5"/>
    <x v="42"/>
    <x v="1"/>
    <x v="0"/>
    <n v="73"/>
    <n v="221.0091797499388"/>
    <s v="midwest"/>
  </r>
  <r>
    <n v="1412"/>
    <x v="1"/>
    <x v="6"/>
    <x v="0"/>
    <x v="0"/>
    <n v="66"/>
    <n v="200.12198246327054"/>
    <s v="midwest"/>
  </r>
  <r>
    <n v="1413"/>
    <x v="0"/>
    <x v="57"/>
    <x v="2"/>
    <x v="0"/>
    <n v="70"/>
    <n v="211.75333647455852"/>
    <s v="west"/>
  </r>
  <r>
    <n v="1414"/>
    <x v="3"/>
    <x v="89"/>
    <x v="0"/>
    <x v="1"/>
    <n v="78"/>
    <n v="235.90596023209099"/>
    <s v="east"/>
  </r>
  <r>
    <n v="1415"/>
    <x v="7"/>
    <x v="40"/>
    <x v="1"/>
    <x v="4"/>
    <n v="22"/>
    <n v="66.965065793990505"/>
    <s v="east"/>
  </r>
  <r>
    <n v="1416"/>
    <x v="6"/>
    <x v="67"/>
    <x v="0"/>
    <x v="4"/>
    <n v="21"/>
    <n v="65.217462708012192"/>
    <s v="south"/>
  </r>
  <r>
    <n v="1417"/>
    <x v="0"/>
    <x v="79"/>
    <x v="0"/>
    <x v="0"/>
    <n v="8"/>
    <n v="25.824952877477109"/>
    <s v="east"/>
  </r>
  <r>
    <n v="1418"/>
    <x v="2"/>
    <x v="53"/>
    <x v="0"/>
    <x v="4"/>
    <n v="62"/>
    <n v="187.80112722106594"/>
    <s v="west"/>
  </r>
  <r>
    <n v="1419"/>
    <x v="4"/>
    <x v="39"/>
    <x v="2"/>
    <x v="4"/>
    <n v="81"/>
    <n v="244.50746507200088"/>
    <s v="east"/>
  </r>
  <r>
    <n v="1420"/>
    <x v="3"/>
    <x v="43"/>
    <x v="0"/>
    <x v="0"/>
    <n v="72"/>
    <n v="218.17265722795503"/>
    <s v="east"/>
  </r>
  <r>
    <n v="1421"/>
    <x v="1"/>
    <x v="83"/>
    <x v="2"/>
    <x v="3"/>
    <n v="13"/>
    <n v="41.356875522020459"/>
    <s v="west"/>
  </r>
  <r>
    <n v="1422"/>
    <x v="0"/>
    <x v="12"/>
    <x v="1"/>
    <x v="2"/>
    <n v="52"/>
    <n v="157.41873231061072"/>
    <s v="south"/>
  </r>
  <r>
    <n v="1423"/>
    <x v="5"/>
    <x v="61"/>
    <x v="2"/>
    <x v="3"/>
    <n v="49"/>
    <n v="148.10679359164916"/>
    <s v="west"/>
  </r>
  <r>
    <n v="1424"/>
    <x v="5"/>
    <x v="6"/>
    <x v="0"/>
    <x v="3"/>
    <n v="82"/>
    <n v="248.16915651860171"/>
    <s v="south"/>
  </r>
  <r>
    <n v="1425"/>
    <x v="3"/>
    <x v="99"/>
    <x v="2"/>
    <x v="3"/>
    <n v="5"/>
    <n v="17.015690322490627"/>
    <s v="midwest"/>
  </r>
  <r>
    <n v="1426"/>
    <x v="7"/>
    <x v="22"/>
    <x v="1"/>
    <x v="4"/>
    <n v="45"/>
    <n v="136.85630897508477"/>
    <s v="west"/>
  </r>
  <r>
    <n v="1427"/>
    <x v="6"/>
    <x v="36"/>
    <x v="1"/>
    <x v="4"/>
    <n v="10"/>
    <n v="27.350902782330042"/>
    <s v="midwest"/>
  </r>
  <r>
    <n v="1428"/>
    <x v="2"/>
    <x v="21"/>
    <x v="2"/>
    <x v="3"/>
    <n v="53"/>
    <n v="160.85164058435507"/>
    <s v="midwest"/>
  </r>
  <r>
    <n v="1429"/>
    <x v="1"/>
    <x v="48"/>
    <x v="1"/>
    <x v="2"/>
    <n v="24"/>
    <n v="73.616064458141409"/>
    <s v="east"/>
  </r>
  <r>
    <n v="1430"/>
    <x v="5"/>
    <x v="41"/>
    <x v="2"/>
    <x v="0"/>
    <n v="27"/>
    <n v="83.23212229417976"/>
    <s v="midwest"/>
  </r>
  <r>
    <n v="1431"/>
    <x v="7"/>
    <x v="16"/>
    <x v="2"/>
    <x v="1"/>
    <n v="52"/>
    <n v="158.63001694196066"/>
    <s v="west"/>
  </r>
  <r>
    <n v="1432"/>
    <x v="3"/>
    <x v="76"/>
    <x v="2"/>
    <x v="1"/>
    <n v="0"/>
    <n v="1.7815728693963861"/>
    <s v="east"/>
  </r>
  <r>
    <n v="1433"/>
    <x v="5"/>
    <x v="4"/>
    <x v="0"/>
    <x v="4"/>
    <n v="92"/>
    <n v="278.65173044503393"/>
    <s v="east"/>
  </r>
  <r>
    <n v="1434"/>
    <x v="6"/>
    <x v="76"/>
    <x v="2"/>
    <x v="4"/>
    <n v="22"/>
    <n v="67.706785390101601"/>
    <s v="east"/>
  </r>
  <r>
    <n v="1435"/>
    <x v="8"/>
    <x v="16"/>
    <x v="2"/>
    <x v="3"/>
    <n v="67"/>
    <n v="202.90370530776514"/>
    <s v="west"/>
  </r>
  <r>
    <n v="1436"/>
    <x v="3"/>
    <x v="84"/>
    <x v="1"/>
    <x v="4"/>
    <n v="7"/>
    <n v="23.034327347174614"/>
    <s v="west"/>
  </r>
  <r>
    <n v="1437"/>
    <x v="8"/>
    <x v="82"/>
    <x v="0"/>
    <x v="3"/>
    <n v="10"/>
    <n v="27.962734354764166"/>
    <s v="south"/>
  </r>
  <r>
    <n v="1438"/>
    <x v="4"/>
    <x v="57"/>
    <x v="2"/>
    <x v="4"/>
    <n v="10"/>
    <n v="31.667217946817743"/>
    <s v="midwest"/>
  </r>
  <r>
    <n v="1439"/>
    <x v="5"/>
    <x v="44"/>
    <x v="1"/>
    <x v="1"/>
    <n v="15"/>
    <n v="46.477551483409364"/>
    <s v="midwest"/>
  </r>
  <r>
    <n v="1440"/>
    <x v="2"/>
    <x v="44"/>
    <x v="1"/>
    <x v="2"/>
    <n v="0"/>
    <n v="2.1309055922780948"/>
    <s v="south"/>
  </r>
  <r>
    <n v="1441"/>
    <x v="3"/>
    <x v="64"/>
    <x v="2"/>
    <x v="1"/>
    <n v="93"/>
    <n v="280.90891395594838"/>
    <s v="east"/>
  </r>
  <r>
    <n v="1442"/>
    <x v="1"/>
    <x v="61"/>
    <x v="2"/>
    <x v="1"/>
    <n v="57"/>
    <n v="172.62177980113168"/>
    <s v="west"/>
  </r>
  <r>
    <n v="1443"/>
    <x v="5"/>
    <x v="19"/>
    <x v="0"/>
    <x v="0"/>
    <n v="69"/>
    <n v="208.76551379204989"/>
    <s v="west"/>
  </r>
  <r>
    <n v="1444"/>
    <x v="8"/>
    <x v="80"/>
    <x v="1"/>
    <x v="1"/>
    <n v="53"/>
    <n v="161.64817183248223"/>
    <s v="south"/>
  </r>
  <r>
    <n v="1445"/>
    <x v="2"/>
    <x v="76"/>
    <x v="2"/>
    <x v="2"/>
    <n v="67"/>
    <n v="203.5655299819017"/>
    <s v="south"/>
  </r>
  <r>
    <n v="1446"/>
    <x v="8"/>
    <x v="0"/>
    <x v="0"/>
    <x v="3"/>
    <n v="23"/>
    <n v="70.708152765050201"/>
    <s v="east"/>
  </r>
  <r>
    <n v="1447"/>
    <x v="4"/>
    <x v="4"/>
    <x v="0"/>
    <x v="4"/>
    <n v="43"/>
    <n v="131.16019141346013"/>
    <s v="west"/>
  </r>
  <r>
    <n v="1448"/>
    <x v="7"/>
    <x v="76"/>
    <x v="2"/>
    <x v="0"/>
    <n v="69"/>
    <n v="209.39515625574666"/>
    <s v="west"/>
  </r>
  <r>
    <n v="1449"/>
    <x v="1"/>
    <x v="52"/>
    <x v="2"/>
    <x v="2"/>
    <n v="45"/>
    <n v="136.50342219375273"/>
    <s v="midwest"/>
  </r>
  <r>
    <n v="1450"/>
    <x v="3"/>
    <x v="40"/>
    <x v="1"/>
    <x v="3"/>
    <n v="70"/>
    <n v="211.70097135907523"/>
    <s v="west"/>
  </r>
  <r>
    <n v="1451"/>
    <x v="4"/>
    <x v="76"/>
    <x v="2"/>
    <x v="4"/>
    <n v="91"/>
    <n v="274.50140154950032"/>
    <s v="east"/>
  </r>
  <r>
    <n v="1452"/>
    <x v="6"/>
    <x v="7"/>
    <x v="2"/>
    <x v="4"/>
    <n v="33"/>
    <n v="100.48140496751634"/>
    <s v="midwest"/>
  </r>
  <r>
    <n v="1453"/>
    <x v="4"/>
    <x v="9"/>
    <x v="2"/>
    <x v="1"/>
    <n v="90"/>
    <n v="272.35779457225038"/>
    <s v="midwest"/>
  </r>
  <r>
    <n v="1454"/>
    <x v="4"/>
    <x v="43"/>
    <x v="0"/>
    <x v="4"/>
    <n v="17"/>
    <n v="52.516260583580817"/>
    <s v="east"/>
  </r>
  <r>
    <n v="1455"/>
    <x v="3"/>
    <x v="96"/>
    <x v="0"/>
    <x v="3"/>
    <n v="7"/>
    <n v="18.916737992903691"/>
    <s v="east"/>
  </r>
  <r>
    <n v="1456"/>
    <x v="2"/>
    <x v="78"/>
    <x v="0"/>
    <x v="4"/>
    <n v="21"/>
    <n v="64.912642276982112"/>
    <s v="west"/>
  </r>
  <r>
    <n v="1457"/>
    <x v="7"/>
    <x v="30"/>
    <x v="1"/>
    <x v="1"/>
    <n v="14"/>
    <n v="44.327818174178198"/>
    <s v="midwest"/>
  </r>
  <r>
    <n v="1458"/>
    <x v="3"/>
    <x v="90"/>
    <x v="2"/>
    <x v="2"/>
    <n v="84"/>
    <n v="254.27232164491826"/>
    <s v="east"/>
  </r>
  <r>
    <n v="1459"/>
    <x v="5"/>
    <x v="61"/>
    <x v="2"/>
    <x v="2"/>
    <n v="92"/>
    <n v="278.12892270091868"/>
    <s v="west"/>
  </r>
  <r>
    <n v="1460"/>
    <x v="3"/>
    <x v="76"/>
    <x v="2"/>
    <x v="0"/>
    <n v="1"/>
    <n v="0.12859943512322669"/>
    <s v="west"/>
  </r>
  <r>
    <n v="1461"/>
    <x v="3"/>
    <x v="63"/>
    <x v="1"/>
    <x v="0"/>
    <n v="73"/>
    <n v="222.08676582590357"/>
    <s v="south"/>
  </r>
  <r>
    <n v="1462"/>
    <x v="8"/>
    <x v="49"/>
    <x v="2"/>
    <x v="1"/>
    <n v="48"/>
    <n v="146.42108275927566"/>
    <s v="east"/>
  </r>
  <r>
    <n v="1463"/>
    <x v="8"/>
    <x v="89"/>
    <x v="0"/>
    <x v="3"/>
    <n v="72"/>
    <n v="217.08233008534265"/>
    <s v="south"/>
  </r>
  <r>
    <n v="1464"/>
    <x v="0"/>
    <x v="8"/>
    <x v="2"/>
    <x v="1"/>
    <n v="42"/>
    <n v="127.6087139856683"/>
    <s v="east"/>
  </r>
  <r>
    <n v="1465"/>
    <x v="3"/>
    <x v="43"/>
    <x v="0"/>
    <x v="1"/>
    <n v="80"/>
    <n v="242.20754620036109"/>
    <s v="west"/>
  </r>
  <r>
    <n v="1466"/>
    <x v="3"/>
    <x v="12"/>
    <x v="1"/>
    <x v="1"/>
    <n v="56"/>
    <n v="170.85558875726406"/>
    <s v="south"/>
  </r>
  <r>
    <n v="1467"/>
    <x v="7"/>
    <x v="97"/>
    <x v="0"/>
    <x v="4"/>
    <n v="46"/>
    <n v="140.57686436306247"/>
    <s v="east"/>
  </r>
  <r>
    <n v="1468"/>
    <x v="0"/>
    <x v="18"/>
    <x v="2"/>
    <x v="3"/>
    <n v="45"/>
    <n v="136.77216386728932"/>
    <s v="west"/>
  </r>
  <r>
    <n v="1469"/>
    <x v="2"/>
    <x v="98"/>
    <x v="1"/>
    <x v="1"/>
    <n v="53"/>
    <n v="160.40163840433979"/>
    <s v="east"/>
  </r>
  <r>
    <n v="1470"/>
    <x v="2"/>
    <x v="62"/>
    <x v="1"/>
    <x v="3"/>
    <n v="51"/>
    <n v="155.05152823672236"/>
    <s v="west"/>
  </r>
  <r>
    <n v="1471"/>
    <x v="5"/>
    <x v="54"/>
    <x v="1"/>
    <x v="4"/>
    <n v="64"/>
    <n v="193.29903203964747"/>
    <s v="east"/>
  </r>
  <r>
    <n v="1472"/>
    <x v="0"/>
    <x v="51"/>
    <x v="0"/>
    <x v="3"/>
    <n v="15"/>
    <n v="47.086660569111189"/>
    <s v="west"/>
  </r>
  <r>
    <n v="1473"/>
    <x v="3"/>
    <x v="0"/>
    <x v="0"/>
    <x v="2"/>
    <n v="33"/>
    <n v="101.69988655484008"/>
    <s v="east"/>
  </r>
  <r>
    <n v="1474"/>
    <x v="6"/>
    <x v="39"/>
    <x v="2"/>
    <x v="3"/>
    <n v="31"/>
    <n v="95.050667546988379"/>
    <s v="west"/>
  </r>
  <r>
    <n v="1475"/>
    <x v="2"/>
    <x v="54"/>
    <x v="1"/>
    <x v="2"/>
    <n v="51"/>
    <n v="155.18472828999515"/>
    <s v="east"/>
  </r>
  <r>
    <n v="1476"/>
    <x v="5"/>
    <x v="57"/>
    <x v="2"/>
    <x v="1"/>
    <n v="7"/>
    <n v="18.636086701073594"/>
    <s v="east"/>
  </r>
  <r>
    <n v="1477"/>
    <x v="2"/>
    <x v="63"/>
    <x v="1"/>
    <x v="3"/>
    <n v="37"/>
    <n v="112.07406400171799"/>
    <s v="east"/>
  </r>
  <r>
    <n v="1478"/>
    <x v="0"/>
    <x v="32"/>
    <x v="1"/>
    <x v="1"/>
    <n v="43"/>
    <n v="130.97379554914517"/>
    <s v="south"/>
  </r>
  <r>
    <n v="1479"/>
    <x v="8"/>
    <x v="3"/>
    <x v="2"/>
    <x v="4"/>
    <n v="63"/>
    <n v="190.69209828626822"/>
    <s v="south"/>
  </r>
  <r>
    <n v="1480"/>
    <x v="4"/>
    <x v="73"/>
    <x v="0"/>
    <x v="3"/>
    <n v="29"/>
    <n v="89.589016206328608"/>
    <s v="west"/>
  </r>
  <r>
    <n v="1481"/>
    <x v="8"/>
    <x v="36"/>
    <x v="1"/>
    <x v="4"/>
    <n v="20"/>
    <n v="61.944091716082518"/>
    <s v="midwest"/>
  </r>
  <r>
    <n v="1482"/>
    <x v="6"/>
    <x v="23"/>
    <x v="2"/>
    <x v="3"/>
    <n v="48"/>
    <n v="146.44223986116381"/>
    <s v="west"/>
  </r>
  <r>
    <n v="1483"/>
    <x v="0"/>
    <x v="50"/>
    <x v="1"/>
    <x v="3"/>
    <n v="94"/>
    <n v="284.30651580761617"/>
    <s v="midwest"/>
  </r>
  <r>
    <n v="1484"/>
    <x v="0"/>
    <x v="24"/>
    <x v="2"/>
    <x v="1"/>
    <n v="41"/>
    <n v="124.88343538167078"/>
    <s v="midwest"/>
  </r>
  <r>
    <n v="1485"/>
    <x v="0"/>
    <x v="42"/>
    <x v="1"/>
    <x v="3"/>
    <n v="45"/>
    <n v="137.54620754134569"/>
    <s v="south"/>
  </r>
  <r>
    <n v="1486"/>
    <x v="7"/>
    <x v="63"/>
    <x v="1"/>
    <x v="0"/>
    <n v="69"/>
    <n v="208.60656085319707"/>
    <s v="west"/>
  </r>
  <r>
    <n v="1487"/>
    <x v="2"/>
    <x v="0"/>
    <x v="0"/>
    <x v="4"/>
    <n v="48"/>
    <n v="146.16733998853596"/>
    <s v="south"/>
  </r>
  <r>
    <n v="1488"/>
    <x v="5"/>
    <x v="42"/>
    <x v="1"/>
    <x v="4"/>
    <n v="38"/>
    <n v="115.70319467233371"/>
    <s v="west"/>
  </r>
  <r>
    <n v="1489"/>
    <x v="0"/>
    <x v="61"/>
    <x v="2"/>
    <x v="0"/>
    <n v="49"/>
    <n v="149.11052069470631"/>
    <s v="south"/>
  </r>
  <r>
    <n v="1490"/>
    <x v="4"/>
    <x v="78"/>
    <x v="0"/>
    <x v="1"/>
    <n v="79"/>
    <n v="239.15028034352162"/>
    <s v="west"/>
  </r>
  <r>
    <n v="1491"/>
    <x v="2"/>
    <x v="95"/>
    <x v="1"/>
    <x v="1"/>
    <n v="93"/>
    <n v="281.34133684394243"/>
    <s v="south"/>
  </r>
  <r>
    <n v="1492"/>
    <x v="4"/>
    <x v="43"/>
    <x v="0"/>
    <x v="1"/>
    <n v="67"/>
    <n v="202.43601829550036"/>
    <s v="west"/>
  </r>
  <r>
    <n v="1493"/>
    <x v="0"/>
    <x v="3"/>
    <x v="2"/>
    <x v="1"/>
    <n v="13"/>
    <n v="41.318769528122459"/>
    <s v="east"/>
  </r>
  <r>
    <n v="1494"/>
    <x v="2"/>
    <x v="84"/>
    <x v="1"/>
    <x v="0"/>
    <n v="71"/>
    <n v="215.36222588622564"/>
    <s v="west"/>
  </r>
  <r>
    <n v="1495"/>
    <x v="0"/>
    <x v="76"/>
    <x v="2"/>
    <x v="1"/>
    <n v="15"/>
    <n v="46.386549546936031"/>
    <s v="west"/>
  </r>
  <r>
    <n v="1496"/>
    <x v="3"/>
    <x v="81"/>
    <x v="1"/>
    <x v="3"/>
    <n v="89"/>
    <n v="269.12365453676284"/>
    <s v="south"/>
  </r>
  <r>
    <n v="1497"/>
    <x v="3"/>
    <x v="68"/>
    <x v="1"/>
    <x v="4"/>
    <n v="65"/>
    <n v="197.49619907968821"/>
    <s v="midwest"/>
  </r>
  <r>
    <n v="1498"/>
    <x v="3"/>
    <x v="43"/>
    <x v="0"/>
    <x v="3"/>
    <n v="16"/>
    <n v="49.977621498939477"/>
    <s v="midwest"/>
  </r>
  <r>
    <n v="1499"/>
    <x v="0"/>
    <x v="18"/>
    <x v="2"/>
    <x v="0"/>
    <n v="48"/>
    <n v="146.12940219412363"/>
    <s v="east"/>
  </r>
  <r>
    <n v="1500"/>
    <x v="1"/>
    <x v="12"/>
    <x v="1"/>
    <x v="3"/>
    <n v="78"/>
    <n v="235.9430418370726"/>
    <s v="midwest"/>
  </r>
  <r>
    <n v="1501"/>
    <x v="8"/>
    <x v="97"/>
    <x v="0"/>
    <x v="0"/>
    <n v="5"/>
    <n v="17.19135783501677"/>
    <s v="west"/>
  </r>
  <r>
    <n v="1502"/>
    <x v="6"/>
    <x v="49"/>
    <x v="2"/>
    <x v="0"/>
    <n v="33"/>
    <n v="101.70689339051272"/>
    <s v="west"/>
  </r>
  <r>
    <n v="1503"/>
    <x v="2"/>
    <x v="23"/>
    <x v="2"/>
    <x v="1"/>
    <n v="73"/>
    <n v="220.6254493831498"/>
    <s v="midwest"/>
  </r>
  <r>
    <n v="1504"/>
    <x v="0"/>
    <x v="86"/>
    <x v="0"/>
    <x v="4"/>
    <n v="93"/>
    <n v="280.86225864864616"/>
    <s v="south"/>
  </r>
  <r>
    <n v="1505"/>
    <x v="0"/>
    <x v="80"/>
    <x v="1"/>
    <x v="1"/>
    <n v="37"/>
    <n v="113.24236035613511"/>
    <s v="east"/>
  </r>
  <r>
    <n v="1506"/>
    <x v="4"/>
    <x v="50"/>
    <x v="1"/>
    <x v="0"/>
    <n v="23"/>
    <n v="70.338092994751676"/>
    <s v="south"/>
  </r>
  <r>
    <n v="1507"/>
    <x v="4"/>
    <x v="5"/>
    <x v="1"/>
    <x v="0"/>
    <n v="3"/>
    <n v="7.2085961879253206"/>
    <s v="west"/>
  </r>
  <r>
    <n v="1508"/>
    <x v="7"/>
    <x v="25"/>
    <x v="2"/>
    <x v="3"/>
    <n v="39"/>
    <n v="118.95540899877352"/>
    <s v="south"/>
  </r>
  <r>
    <n v="1509"/>
    <x v="0"/>
    <x v="16"/>
    <x v="2"/>
    <x v="3"/>
    <n v="83"/>
    <n v="251.40370686680004"/>
    <s v="midwest"/>
  </r>
  <r>
    <n v="1510"/>
    <x v="6"/>
    <x v="93"/>
    <x v="2"/>
    <x v="1"/>
    <n v="65"/>
    <n v="197.80862125573833"/>
    <s v="south"/>
  </r>
  <r>
    <n v="1511"/>
    <x v="0"/>
    <x v="10"/>
    <x v="0"/>
    <x v="0"/>
    <n v="13"/>
    <n v="41.739412502907776"/>
    <s v="east"/>
  </r>
  <r>
    <n v="1512"/>
    <x v="6"/>
    <x v="37"/>
    <x v="1"/>
    <x v="1"/>
    <n v="9"/>
    <n v="28.855899545684331"/>
    <s v="east"/>
  </r>
  <r>
    <n v="1513"/>
    <x v="5"/>
    <x v="7"/>
    <x v="2"/>
    <x v="3"/>
    <n v="4"/>
    <n v="10.353255411982897"/>
    <s v="south"/>
  </r>
  <r>
    <n v="1514"/>
    <x v="2"/>
    <x v="17"/>
    <x v="0"/>
    <x v="4"/>
    <n v="22"/>
    <n v="67.745285115132006"/>
    <s v="south"/>
  </r>
  <r>
    <n v="1515"/>
    <x v="1"/>
    <x v="48"/>
    <x v="1"/>
    <x v="4"/>
    <n v="3"/>
    <n v="6.8920180610801349"/>
    <s v="south"/>
  </r>
  <r>
    <n v="1516"/>
    <x v="4"/>
    <x v="96"/>
    <x v="0"/>
    <x v="4"/>
    <n v="58"/>
    <n v="176.19804950784601"/>
    <s v="south"/>
  </r>
  <r>
    <n v="1517"/>
    <x v="5"/>
    <x v="88"/>
    <x v="0"/>
    <x v="3"/>
    <n v="65"/>
    <n v="196.63911479091979"/>
    <s v="south"/>
  </r>
  <r>
    <n v="1518"/>
    <x v="4"/>
    <x v="35"/>
    <x v="0"/>
    <x v="3"/>
    <n v="9"/>
    <n v="28.459065178844462"/>
    <s v="midwest"/>
  </r>
  <r>
    <n v="1519"/>
    <x v="6"/>
    <x v="76"/>
    <x v="2"/>
    <x v="2"/>
    <n v="18"/>
    <n v="56.300241442258397"/>
    <s v="south"/>
  </r>
  <r>
    <n v="1520"/>
    <x v="1"/>
    <x v="87"/>
    <x v="0"/>
    <x v="1"/>
    <n v="55"/>
    <n v="166.7781249229084"/>
    <s v="east"/>
  </r>
  <r>
    <n v="1521"/>
    <x v="5"/>
    <x v="94"/>
    <x v="1"/>
    <x v="3"/>
    <n v="69"/>
    <n v="209.56822946203218"/>
    <s v="south"/>
  </r>
  <r>
    <n v="1522"/>
    <x v="3"/>
    <x v="15"/>
    <x v="0"/>
    <x v="3"/>
    <n v="51"/>
    <n v="155.55960489398822"/>
    <s v="west"/>
  </r>
  <r>
    <n v="1523"/>
    <x v="2"/>
    <x v="61"/>
    <x v="2"/>
    <x v="2"/>
    <n v="23"/>
    <n v="71.150007929550512"/>
    <s v="south"/>
  </r>
  <r>
    <n v="1524"/>
    <x v="0"/>
    <x v="90"/>
    <x v="2"/>
    <x v="0"/>
    <n v="38"/>
    <n v="115.80895982640449"/>
    <s v="west"/>
  </r>
  <r>
    <n v="1525"/>
    <x v="3"/>
    <x v="10"/>
    <x v="0"/>
    <x v="2"/>
    <n v="8"/>
    <n v="22.286591550898308"/>
    <s v="midwest"/>
  </r>
  <r>
    <n v="1526"/>
    <x v="1"/>
    <x v="76"/>
    <x v="2"/>
    <x v="3"/>
    <n v="20"/>
    <n v="61.782563000840952"/>
    <s v="west"/>
  </r>
  <r>
    <n v="1527"/>
    <x v="5"/>
    <x v="34"/>
    <x v="1"/>
    <x v="0"/>
    <n v="25"/>
    <n v="76.800582511934167"/>
    <s v="west"/>
  </r>
  <r>
    <n v="1528"/>
    <x v="0"/>
    <x v="76"/>
    <x v="2"/>
    <x v="3"/>
    <n v="6"/>
    <n v="16.105946140968253"/>
    <s v="west"/>
  </r>
  <r>
    <n v="1529"/>
    <x v="3"/>
    <x v="69"/>
    <x v="2"/>
    <x v="0"/>
    <n v="88"/>
    <n v="266.77209888218033"/>
    <s v="midwest"/>
  </r>
  <r>
    <n v="1530"/>
    <x v="7"/>
    <x v="3"/>
    <x v="2"/>
    <x v="3"/>
    <n v="62"/>
    <n v="187.54179752226122"/>
    <s v="south"/>
  </r>
  <r>
    <n v="1531"/>
    <x v="1"/>
    <x v="33"/>
    <x v="0"/>
    <x v="2"/>
    <n v="80"/>
    <n v="242.16012405865823"/>
    <s v="south"/>
  </r>
  <r>
    <n v="1532"/>
    <x v="8"/>
    <x v="1"/>
    <x v="0"/>
    <x v="2"/>
    <n v="66"/>
    <n v="199.70376718058844"/>
    <s v="west"/>
  </r>
  <r>
    <n v="1533"/>
    <x v="6"/>
    <x v="51"/>
    <x v="0"/>
    <x v="1"/>
    <n v="34"/>
    <n v="104.44930690558964"/>
    <s v="west"/>
  </r>
  <r>
    <n v="1534"/>
    <x v="1"/>
    <x v="89"/>
    <x v="0"/>
    <x v="3"/>
    <n v="49"/>
    <n v="149.81621502008079"/>
    <s v="midwest"/>
  </r>
  <r>
    <n v="1535"/>
    <x v="8"/>
    <x v="86"/>
    <x v="0"/>
    <x v="0"/>
    <n v="45"/>
    <n v="136.92331868568616"/>
    <s v="south"/>
  </r>
  <r>
    <n v="1536"/>
    <x v="5"/>
    <x v="54"/>
    <x v="1"/>
    <x v="1"/>
    <n v="16"/>
    <n v="49.650187557976459"/>
    <s v="west"/>
  </r>
  <r>
    <n v="1537"/>
    <x v="7"/>
    <x v="59"/>
    <x v="1"/>
    <x v="2"/>
    <n v="45"/>
    <n v="136.63786720901078"/>
    <s v="west"/>
  </r>
  <r>
    <n v="1538"/>
    <x v="2"/>
    <x v="4"/>
    <x v="0"/>
    <x v="3"/>
    <n v="1"/>
    <n v="5.7263479599581428"/>
    <s v="midwest"/>
  </r>
  <r>
    <n v="1539"/>
    <x v="8"/>
    <x v="50"/>
    <x v="1"/>
    <x v="4"/>
    <n v="33"/>
    <n v="100.97055324855179"/>
    <s v="south"/>
  </r>
  <r>
    <n v="1540"/>
    <x v="1"/>
    <x v="12"/>
    <x v="1"/>
    <x v="2"/>
    <n v="37"/>
    <n v="113.03930108234786"/>
    <s v="south"/>
  </r>
  <r>
    <n v="1541"/>
    <x v="2"/>
    <x v="34"/>
    <x v="1"/>
    <x v="3"/>
    <n v="46"/>
    <n v="139.33709070957588"/>
    <s v="west"/>
  </r>
  <r>
    <n v="1542"/>
    <x v="0"/>
    <x v="27"/>
    <x v="0"/>
    <x v="1"/>
    <n v="71"/>
    <n v="215.35016800732583"/>
    <s v="south"/>
  </r>
  <r>
    <n v="1543"/>
    <x v="3"/>
    <x v="10"/>
    <x v="0"/>
    <x v="4"/>
    <n v="59"/>
    <n v="179.11705650607632"/>
    <s v="west"/>
  </r>
  <r>
    <n v="1544"/>
    <x v="3"/>
    <x v="92"/>
    <x v="1"/>
    <x v="2"/>
    <n v="84"/>
    <n v="253.54108298185832"/>
    <s v="west"/>
  </r>
  <r>
    <n v="1545"/>
    <x v="3"/>
    <x v="26"/>
    <x v="2"/>
    <x v="3"/>
    <n v="91"/>
    <n v="274.23356541008826"/>
    <s v="west"/>
  </r>
  <r>
    <n v="1546"/>
    <x v="5"/>
    <x v="1"/>
    <x v="0"/>
    <x v="0"/>
    <n v="33"/>
    <n v="100.22871812086524"/>
    <s v="west"/>
  </r>
  <r>
    <n v="1547"/>
    <x v="8"/>
    <x v="43"/>
    <x v="0"/>
    <x v="3"/>
    <n v="34"/>
    <n v="104.04142923037654"/>
    <s v="east"/>
  </r>
  <r>
    <n v="1548"/>
    <x v="3"/>
    <x v="76"/>
    <x v="2"/>
    <x v="0"/>
    <n v="1"/>
    <n v="5.3199136076983713"/>
    <s v="west"/>
  </r>
  <r>
    <n v="1549"/>
    <x v="1"/>
    <x v="85"/>
    <x v="0"/>
    <x v="3"/>
    <n v="42"/>
    <n v="128.72768952762647"/>
    <s v="west"/>
  </r>
  <r>
    <n v="1550"/>
    <x v="8"/>
    <x v="54"/>
    <x v="1"/>
    <x v="3"/>
    <n v="45"/>
    <n v="137.92982227055688"/>
    <s v="east"/>
  </r>
  <r>
    <n v="1551"/>
    <x v="6"/>
    <x v="79"/>
    <x v="0"/>
    <x v="0"/>
    <n v="26"/>
    <n v="80.031587793648399"/>
    <s v="east"/>
  </r>
  <r>
    <n v="1552"/>
    <x v="2"/>
    <x v="97"/>
    <x v="0"/>
    <x v="3"/>
    <n v="72"/>
    <n v="218.32830582807657"/>
    <s v="south"/>
  </r>
  <r>
    <n v="1553"/>
    <x v="3"/>
    <x v="69"/>
    <x v="2"/>
    <x v="3"/>
    <n v="5"/>
    <n v="13.390709583317436"/>
    <s v="west"/>
  </r>
  <r>
    <n v="1554"/>
    <x v="4"/>
    <x v="6"/>
    <x v="0"/>
    <x v="1"/>
    <n v="31"/>
    <n v="94.662914692651583"/>
    <s v="south"/>
  </r>
  <r>
    <n v="1555"/>
    <x v="8"/>
    <x v="33"/>
    <x v="0"/>
    <x v="0"/>
    <n v="48"/>
    <n v="145.90859800554551"/>
    <s v="south"/>
  </r>
  <r>
    <n v="1556"/>
    <x v="4"/>
    <x v="77"/>
    <x v="2"/>
    <x v="4"/>
    <n v="84"/>
    <n v="253.59713370537463"/>
    <s v="midwest"/>
  </r>
  <r>
    <n v="1557"/>
    <x v="3"/>
    <x v="25"/>
    <x v="2"/>
    <x v="3"/>
    <n v="54"/>
    <n v="163.89560832413773"/>
    <s v="south"/>
  </r>
  <r>
    <n v="1558"/>
    <x v="4"/>
    <x v="46"/>
    <x v="0"/>
    <x v="4"/>
    <n v="44"/>
    <n v="134.18925327531994"/>
    <s v="west"/>
  </r>
  <r>
    <n v="1559"/>
    <x v="5"/>
    <x v="17"/>
    <x v="0"/>
    <x v="0"/>
    <n v="40"/>
    <n v="122.05331563226824"/>
    <s v="south"/>
  </r>
  <r>
    <n v="1560"/>
    <x v="0"/>
    <x v="12"/>
    <x v="1"/>
    <x v="0"/>
    <n v="25"/>
    <n v="76.896265241705308"/>
    <s v="west"/>
  </r>
  <r>
    <n v="1561"/>
    <x v="6"/>
    <x v="85"/>
    <x v="0"/>
    <x v="0"/>
    <n v="8"/>
    <n v="21.481967764977714"/>
    <s v="south"/>
  </r>
  <r>
    <n v="1562"/>
    <x v="5"/>
    <x v="39"/>
    <x v="2"/>
    <x v="3"/>
    <n v="59"/>
    <n v="178.70076770818625"/>
    <s v="west"/>
  </r>
  <r>
    <n v="1563"/>
    <x v="3"/>
    <x v="43"/>
    <x v="0"/>
    <x v="3"/>
    <n v="59"/>
    <n v="179.09938274190853"/>
    <s v="east"/>
  </r>
  <r>
    <n v="1564"/>
    <x v="6"/>
    <x v="37"/>
    <x v="1"/>
    <x v="1"/>
    <n v="34"/>
    <n v="103.72320973361035"/>
    <s v="midwest"/>
  </r>
  <r>
    <n v="1565"/>
    <x v="6"/>
    <x v="10"/>
    <x v="0"/>
    <x v="4"/>
    <n v="27"/>
    <n v="82.680755879941501"/>
    <s v="midwest"/>
  </r>
  <r>
    <n v="1566"/>
    <x v="8"/>
    <x v="76"/>
    <x v="2"/>
    <x v="1"/>
    <n v="3"/>
    <n v="10.695067513438698"/>
    <s v="south"/>
  </r>
  <r>
    <n v="1567"/>
    <x v="1"/>
    <x v="59"/>
    <x v="1"/>
    <x v="4"/>
    <n v="89"/>
    <n v="269.11976111617605"/>
    <s v="west"/>
  </r>
  <r>
    <n v="1568"/>
    <x v="1"/>
    <x v="63"/>
    <x v="1"/>
    <x v="3"/>
    <n v="58"/>
    <n v="175.98159998303569"/>
    <s v="south"/>
  </r>
  <r>
    <n v="1569"/>
    <x v="8"/>
    <x v="94"/>
    <x v="1"/>
    <x v="2"/>
    <n v="52"/>
    <n v="158.04571793449091"/>
    <s v="west"/>
  </r>
  <r>
    <n v="1570"/>
    <x v="8"/>
    <x v="69"/>
    <x v="2"/>
    <x v="4"/>
    <n v="32"/>
    <n v="98.04752721295516"/>
    <s v="east"/>
  </r>
  <r>
    <n v="1571"/>
    <x v="5"/>
    <x v="81"/>
    <x v="1"/>
    <x v="4"/>
    <n v="3"/>
    <n v="10.584064694476611"/>
    <s v="south"/>
  </r>
  <r>
    <n v="1572"/>
    <x v="3"/>
    <x v="11"/>
    <x v="0"/>
    <x v="3"/>
    <n v="45"/>
    <n v="137.07935411238626"/>
    <s v="west"/>
  </r>
  <r>
    <n v="1573"/>
    <x v="4"/>
    <x v="10"/>
    <x v="0"/>
    <x v="3"/>
    <n v="91"/>
    <n v="275.55805251311767"/>
    <s v="east"/>
  </r>
  <r>
    <n v="1574"/>
    <x v="3"/>
    <x v="71"/>
    <x v="2"/>
    <x v="1"/>
    <n v="8"/>
    <n v="21.448768772248492"/>
    <s v="south"/>
  </r>
  <r>
    <n v="1575"/>
    <x v="0"/>
    <x v="55"/>
    <x v="1"/>
    <x v="4"/>
    <n v="7"/>
    <n v="19.136046094162346"/>
    <s v="midwest"/>
  </r>
  <r>
    <n v="1576"/>
    <x v="1"/>
    <x v="40"/>
    <x v="1"/>
    <x v="1"/>
    <n v="33"/>
    <n v="100.88649672562114"/>
    <s v="west"/>
  </r>
  <r>
    <n v="1577"/>
    <x v="4"/>
    <x v="63"/>
    <x v="1"/>
    <x v="0"/>
    <n v="7"/>
    <n v="18.807164790570987"/>
    <s v="south"/>
  </r>
  <r>
    <n v="1578"/>
    <x v="4"/>
    <x v="83"/>
    <x v="2"/>
    <x v="1"/>
    <n v="82"/>
    <n v="248.42543228494586"/>
    <s v="east"/>
  </r>
  <r>
    <n v="1579"/>
    <x v="2"/>
    <x v="29"/>
    <x v="0"/>
    <x v="3"/>
    <n v="87"/>
    <n v="262.84645942190497"/>
    <s v="east"/>
  </r>
  <r>
    <n v="1580"/>
    <x v="8"/>
    <x v="47"/>
    <x v="1"/>
    <x v="4"/>
    <n v="93"/>
    <n v="281.52944446781271"/>
    <s v="midwest"/>
  </r>
  <r>
    <n v="1581"/>
    <x v="5"/>
    <x v="84"/>
    <x v="1"/>
    <x v="1"/>
    <n v="72"/>
    <n v="218.16905589645697"/>
    <s v="south"/>
  </r>
  <r>
    <n v="1582"/>
    <x v="7"/>
    <x v="79"/>
    <x v="0"/>
    <x v="4"/>
    <n v="11"/>
    <n v="35.116221937392133"/>
    <s v="east"/>
  </r>
  <r>
    <n v="1583"/>
    <x v="4"/>
    <x v="41"/>
    <x v="2"/>
    <x v="0"/>
    <n v="18"/>
    <n v="55.780124801169777"/>
    <s v="south"/>
  </r>
  <r>
    <n v="1584"/>
    <x v="0"/>
    <x v="57"/>
    <x v="2"/>
    <x v="1"/>
    <n v="93"/>
    <n v="281.25885991416516"/>
    <s v="east"/>
  </r>
  <r>
    <n v="1585"/>
    <x v="1"/>
    <x v="59"/>
    <x v="1"/>
    <x v="1"/>
    <n v="56"/>
    <n v="170.42559015332697"/>
    <s v="west"/>
  </r>
  <r>
    <n v="1586"/>
    <x v="2"/>
    <x v="19"/>
    <x v="0"/>
    <x v="0"/>
    <n v="66"/>
    <n v="199.70274563442874"/>
    <s v="midwest"/>
  </r>
  <r>
    <n v="1587"/>
    <x v="2"/>
    <x v="94"/>
    <x v="1"/>
    <x v="0"/>
    <n v="95"/>
    <n v="286.75530123408925"/>
    <s v="west"/>
  </r>
  <r>
    <n v="1588"/>
    <x v="3"/>
    <x v="34"/>
    <x v="1"/>
    <x v="4"/>
    <n v="61"/>
    <n v="184.83908498989172"/>
    <s v="midwest"/>
  </r>
  <r>
    <n v="1589"/>
    <x v="4"/>
    <x v="41"/>
    <x v="2"/>
    <x v="0"/>
    <n v="26"/>
    <n v="79.322466776997217"/>
    <s v="east"/>
  </r>
  <r>
    <n v="1590"/>
    <x v="6"/>
    <x v="36"/>
    <x v="1"/>
    <x v="4"/>
    <n v="29"/>
    <n v="89.116436100256237"/>
    <s v="west"/>
  </r>
  <r>
    <n v="1591"/>
    <x v="6"/>
    <x v="47"/>
    <x v="1"/>
    <x v="0"/>
    <n v="61"/>
    <n v="184.79269376899887"/>
    <s v="east"/>
  </r>
  <r>
    <n v="1592"/>
    <x v="1"/>
    <x v="56"/>
    <x v="2"/>
    <x v="4"/>
    <n v="3"/>
    <n v="7.0063461933355882"/>
    <s v="south"/>
  </r>
  <r>
    <n v="1593"/>
    <x v="8"/>
    <x v="49"/>
    <x v="2"/>
    <x v="1"/>
    <n v="40"/>
    <n v="122.05274122201725"/>
    <s v="south"/>
  </r>
  <r>
    <n v="1594"/>
    <x v="1"/>
    <x v="41"/>
    <x v="2"/>
    <x v="1"/>
    <n v="86"/>
    <n v="260.36699971588303"/>
    <s v="west"/>
  </r>
  <r>
    <n v="1595"/>
    <x v="8"/>
    <x v="98"/>
    <x v="1"/>
    <x v="2"/>
    <n v="58"/>
    <n v="176.57900116326704"/>
    <s v="midwest"/>
  </r>
  <r>
    <n v="1596"/>
    <x v="1"/>
    <x v="47"/>
    <x v="1"/>
    <x v="3"/>
    <n v="13"/>
    <n v="41.15897784518318"/>
    <s v="west"/>
  </r>
  <r>
    <n v="1597"/>
    <x v="8"/>
    <x v="74"/>
    <x v="2"/>
    <x v="3"/>
    <n v="14"/>
    <n v="44.433583210085722"/>
    <s v="south"/>
  </r>
  <r>
    <n v="1598"/>
    <x v="6"/>
    <x v="92"/>
    <x v="1"/>
    <x v="4"/>
    <n v="85"/>
    <n v="256.67637583501136"/>
    <s v="south"/>
  </r>
  <r>
    <n v="1599"/>
    <x v="5"/>
    <x v="20"/>
    <x v="2"/>
    <x v="0"/>
    <n v="42"/>
    <n v="127.6000829370011"/>
    <s v="midwest"/>
  </r>
  <r>
    <n v="1600"/>
    <x v="8"/>
    <x v="72"/>
    <x v="2"/>
    <x v="2"/>
    <n v="11"/>
    <n v="35.427503831280553"/>
    <s v="west"/>
  </r>
  <r>
    <n v="1601"/>
    <x v="7"/>
    <x v="97"/>
    <x v="0"/>
    <x v="0"/>
    <n v="32"/>
    <n v="98.405028744773347"/>
    <s v="south"/>
  </r>
  <r>
    <n v="1602"/>
    <x v="1"/>
    <x v="42"/>
    <x v="1"/>
    <x v="0"/>
    <n v="79"/>
    <n v="239.26463824341167"/>
    <s v="south"/>
  </r>
  <r>
    <n v="1603"/>
    <x v="6"/>
    <x v="4"/>
    <x v="0"/>
    <x v="0"/>
    <n v="25"/>
    <n v="77.046747006624841"/>
    <s v="west"/>
  </r>
  <r>
    <n v="1604"/>
    <x v="5"/>
    <x v="5"/>
    <x v="1"/>
    <x v="1"/>
    <n v="94"/>
    <n v="284.06034486899824"/>
    <s v="west"/>
  </r>
  <r>
    <n v="1605"/>
    <x v="4"/>
    <x v="72"/>
    <x v="2"/>
    <x v="3"/>
    <n v="6"/>
    <n v="20.057205766736782"/>
    <s v="midwest"/>
  </r>
  <r>
    <n v="1606"/>
    <x v="3"/>
    <x v="32"/>
    <x v="1"/>
    <x v="2"/>
    <n v="15"/>
    <n v="46.567063375670365"/>
    <s v="west"/>
  </r>
  <r>
    <n v="1607"/>
    <x v="5"/>
    <x v="35"/>
    <x v="0"/>
    <x v="3"/>
    <n v="15"/>
    <n v="47.252520248890754"/>
    <s v="east"/>
  </r>
  <r>
    <n v="1608"/>
    <x v="6"/>
    <x v="1"/>
    <x v="0"/>
    <x v="1"/>
    <n v="81"/>
    <n v="244.70980660248637"/>
    <s v="east"/>
  </r>
  <r>
    <n v="1609"/>
    <x v="0"/>
    <x v="28"/>
    <x v="1"/>
    <x v="3"/>
    <n v="94"/>
    <n v="283.45878652006695"/>
    <s v="east"/>
  </r>
  <r>
    <n v="1610"/>
    <x v="3"/>
    <x v="46"/>
    <x v="0"/>
    <x v="4"/>
    <n v="11"/>
    <n v="35.187328425003173"/>
    <s v="midwest"/>
  </r>
  <r>
    <n v="1611"/>
    <x v="4"/>
    <x v="0"/>
    <x v="0"/>
    <x v="3"/>
    <n v="12"/>
    <n v="38.183005482105493"/>
    <s v="west"/>
  </r>
  <r>
    <n v="1612"/>
    <x v="1"/>
    <x v="12"/>
    <x v="1"/>
    <x v="3"/>
    <n v="85"/>
    <n v="257.13848470493929"/>
    <s v="midwest"/>
  </r>
  <r>
    <n v="1613"/>
    <x v="3"/>
    <x v="60"/>
    <x v="2"/>
    <x v="3"/>
    <n v="39"/>
    <n v="119.05508877849219"/>
    <s v="south"/>
  </r>
  <r>
    <n v="1614"/>
    <x v="3"/>
    <x v="73"/>
    <x v="0"/>
    <x v="1"/>
    <n v="9"/>
    <n v="29.108535014212187"/>
    <s v="east"/>
  </r>
  <r>
    <n v="1615"/>
    <x v="3"/>
    <x v="75"/>
    <x v="1"/>
    <x v="4"/>
    <n v="25"/>
    <n v="77.542041967509959"/>
    <s v="west"/>
  </r>
  <r>
    <n v="1616"/>
    <x v="7"/>
    <x v="29"/>
    <x v="0"/>
    <x v="3"/>
    <n v="79"/>
    <n v="239.89003921274065"/>
    <s v="midwest"/>
  </r>
  <r>
    <n v="1617"/>
    <x v="1"/>
    <x v="58"/>
    <x v="0"/>
    <x v="3"/>
    <n v="83"/>
    <n v="250.62172213757762"/>
    <s v="midwest"/>
  </r>
  <r>
    <n v="1618"/>
    <x v="1"/>
    <x v="36"/>
    <x v="1"/>
    <x v="1"/>
    <n v="3"/>
    <n v="6.4441526293000173"/>
    <s v="south"/>
  </r>
  <r>
    <n v="1619"/>
    <x v="8"/>
    <x v="25"/>
    <x v="2"/>
    <x v="4"/>
    <n v="62"/>
    <n v="188.23625463241646"/>
    <s v="midwest"/>
  </r>
  <r>
    <n v="1620"/>
    <x v="8"/>
    <x v="27"/>
    <x v="0"/>
    <x v="3"/>
    <n v="6"/>
    <n v="19.315165106288639"/>
    <s v="east"/>
  </r>
  <r>
    <n v="1621"/>
    <x v="2"/>
    <x v="99"/>
    <x v="2"/>
    <x v="4"/>
    <n v="13"/>
    <n v="41.394747641625173"/>
    <s v="midwest"/>
  </r>
  <r>
    <n v="1622"/>
    <x v="6"/>
    <x v="22"/>
    <x v="1"/>
    <x v="3"/>
    <n v="88"/>
    <n v="266.15306975216902"/>
    <s v="west"/>
  </r>
  <r>
    <n v="1623"/>
    <x v="6"/>
    <x v="15"/>
    <x v="0"/>
    <x v="3"/>
    <n v="35"/>
    <n v="106.7048352932988"/>
    <s v="west"/>
  </r>
  <r>
    <n v="1624"/>
    <x v="5"/>
    <x v="79"/>
    <x v="0"/>
    <x v="3"/>
    <n v="61"/>
    <n v="185.38182854142642"/>
    <s v="midwest"/>
  </r>
  <r>
    <n v="1625"/>
    <x v="1"/>
    <x v="50"/>
    <x v="1"/>
    <x v="3"/>
    <n v="95"/>
    <n v="287.15467709700755"/>
    <s v="west"/>
  </r>
  <r>
    <n v="1626"/>
    <x v="6"/>
    <x v="13"/>
    <x v="1"/>
    <x v="3"/>
    <n v="30"/>
    <n v="92.417025758970482"/>
    <s v="east"/>
  </r>
  <r>
    <n v="1627"/>
    <x v="6"/>
    <x v="41"/>
    <x v="2"/>
    <x v="3"/>
    <n v="1"/>
    <n v="1.6370674232788498"/>
    <s v="east"/>
  </r>
  <r>
    <n v="1628"/>
    <x v="0"/>
    <x v="13"/>
    <x v="1"/>
    <x v="2"/>
    <n v="5"/>
    <n v="16.92808141657132"/>
    <s v="midwest"/>
  </r>
  <r>
    <n v="1629"/>
    <x v="0"/>
    <x v="66"/>
    <x v="1"/>
    <x v="1"/>
    <n v="42"/>
    <n v="127.31651996144141"/>
    <s v="east"/>
  </r>
  <r>
    <n v="1630"/>
    <x v="3"/>
    <x v="91"/>
    <x v="1"/>
    <x v="3"/>
    <n v="14"/>
    <n v="44.540640710887878"/>
    <s v="midwest"/>
  </r>
  <r>
    <n v="1631"/>
    <x v="5"/>
    <x v="30"/>
    <x v="1"/>
    <x v="3"/>
    <n v="4"/>
    <n v="10.005990967007831"/>
    <s v="south"/>
  </r>
  <r>
    <n v="1632"/>
    <x v="8"/>
    <x v="61"/>
    <x v="2"/>
    <x v="1"/>
    <n v="27"/>
    <n v="82.256344701253937"/>
    <s v="south"/>
  </r>
  <r>
    <n v="1633"/>
    <x v="8"/>
    <x v="87"/>
    <x v="0"/>
    <x v="4"/>
    <n v="5"/>
    <n v="17.11095820057195"/>
    <s v="east"/>
  </r>
  <r>
    <n v="1634"/>
    <x v="2"/>
    <x v="55"/>
    <x v="1"/>
    <x v="4"/>
    <n v="57"/>
    <n v="173.29644937565891"/>
    <s v="south"/>
  </r>
  <r>
    <n v="1635"/>
    <x v="1"/>
    <x v="67"/>
    <x v="0"/>
    <x v="0"/>
    <n v="78"/>
    <n v="235.61102661696142"/>
    <s v="west"/>
  </r>
  <r>
    <n v="1636"/>
    <x v="8"/>
    <x v="24"/>
    <x v="2"/>
    <x v="4"/>
    <n v="11"/>
    <n v="35.303927193880931"/>
    <s v="midwest"/>
  </r>
  <r>
    <n v="1637"/>
    <x v="5"/>
    <x v="67"/>
    <x v="0"/>
    <x v="0"/>
    <n v="55"/>
    <n v="166.9336198966493"/>
    <s v="south"/>
  </r>
  <r>
    <n v="1638"/>
    <x v="2"/>
    <x v="67"/>
    <x v="0"/>
    <x v="4"/>
    <n v="15"/>
    <n v="46.988168377437937"/>
    <s v="east"/>
  </r>
  <r>
    <n v="1639"/>
    <x v="5"/>
    <x v="27"/>
    <x v="0"/>
    <x v="3"/>
    <n v="53"/>
    <n v="161.39224032948613"/>
    <s v="midwest"/>
  </r>
  <r>
    <n v="1640"/>
    <x v="3"/>
    <x v="59"/>
    <x v="1"/>
    <x v="0"/>
    <n v="70"/>
    <n v="212.01090684722931"/>
    <s v="midwest"/>
  </r>
  <r>
    <n v="1641"/>
    <x v="8"/>
    <x v="57"/>
    <x v="2"/>
    <x v="1"/>
    <n v="56"/>
    <n v="170.03159669706065"/>
    <s v="east"/>
  </r>
  <r>
    <n v="1642"/>
    <x v="3"/>
    <x v="3"/>
    <x v="2"/>
    <x v="3"/>
    <n v="91"/>
    <n v="275.47209572369957"/>
    <s v="east"/>
  </r>
  <r>
    <n v="1643"/>
    <x v="7"/>
    <x v="43"/>
    <x v="0"/>
    <x v="2"/>
    <n v="55"/>
    <n v="167.80569976811464"/>
    <s v="midwest"/>
  </r>
  <r>
    <n v="1644"/>
    <x v="5"/>
    <x v="68"/>
    <x v="1"/>
    <x v="4"/>
    <n v="1"/>
    <n v="4.7067653474104088"/>
    <s v="south"/>
  </r>
  <r>
    <n v="1645"/>
    <x v="5"/>
    <x v="75"/>
    <x v="1"/>
    <x v="3"/>
    <n v="23"/>
    <n v="70.736237537390394"/>
    <s v="west"/>
  </r>
  <r>
    <n v="1646"/>
    <x v="1"/>
    <x v="54"/>
    <x v="1"/>
    <x v="0"/>
    <n v="0"/>
    <n v="2.2998593901546056"/>
    <s v="east"/>
  </r>
  <r>
    <n v="1647"/>
    <x v="5"/>
    <x v="43"/>
    <x v="0"/>
    <x v="4"/>
    <n v="86"/>
    <n v="259.96491478210521"/>
    <s v="west"/>
  </r>
  <r>
    <n v="1648"/>
    <x v="4"/>
    <x v="0"/>
    <x v="0"/>
    <x v="3"/>
    <n v="13"/>
    <n v="40.990045684129242"/>
    <s v="midwest"/>
  </r>
  <r>
    <n v="1649"/>
    <x v="2"/>
    <x v="90"/>
    <x v="2"/>
    <x v="4"/>
    <n v="54"/>
    <n v="163.68855299520598"/>
    <s v="west"/>
  </r>
  <r>
    <n v="1650"/>
    <x v="4"/>
    <x v="1"/>
    <x v="0"/>
    <x v="4"/>
    <n v="82"/>
    <n v="247.65702123487802"/>
    <s v="east"/>
  </r>
  <r>
    <n v="1651"/>
    <x v="6"/>
    <x v="47"/>
    <x v="1"/>
    <x v="1"/>
    <n v="27"/>
    <n v="82.646392449751019"/>
    <s v="midwest"/>
  </r>
  <r>
    <n v="1652"/>
    <x v="3"/>
    <x v="83"/>
    <x v="2"/>
    <x v="2"/>
    <n v="84"/>
    <n v="254.58342526964253"/>
    <s v="west"/>
  </r>
  <r>
    <n v="1653"/>
    <x v="2"/>
    <x v="87"/>
    <x v="0"/>
    <x v="3"/>
    <n v="56"/>
    <n v="170.24926391624365"/>
    <s v="east"/>
  </r>
  <r>
    <n v="1654"/>
    <x v="0"/>
    <x v="85"/>
    <x v="0"/>
    <x v="2"/>
    <n v="92"/>
    <n v="277.26934431778176"/>
    <s v="south"/>
  </r>
  <r>
    <n v="1655"/>
    <x v="0"/>
    <x v="46"/>
    <x v="0"/>
    <x v="0"/>
    <n v="25"/>
    <n v="77.553918573002605"/>
    <s v="west"/>
  </r>
  <r>
    <n v="1656"/>
    <x v="0"/>
    <x v="13"/>
    <x v="1"/>
    <x v="3"/>
    <n v="67"/>
    <n v="203.0044570204021"/>
    <s v="east"/>
  </r>
  <r>
    <n v="1657"/>
    <x v="8"/>
    <x v="15"/>
    <x v="0"/>
    <x v="2"/>
    <n v="75"/>
    <n v="226.86441343955028"/>
    <s v="west"/>
  </r>
  <r>
    <n v="1658"/>
    <x v="6"/>
    <x v="22"/>
    <x v="1"/>
    <x v="3"/>
    <n v="14"/>
    <n v="44.140520464612329"/>
    <s v="midwest"/>
  </r>
  <r>
    <n v="1659"/>
    <x v="5"/>
    <x v="54"/>
    <x v="1"/>
    <x v="0"/>
    <n v="48"/>
    <n v="145.81129384316213"/>
    <s v="west"/>
  </r>
  <r>
    <n v="1660"/>
    <x v="4"/>
    <x v="82"/>
    <x v="0"/>
    <x v="1"/>
    <n v="73"/>
    <n v="221.16800423559653"/>
    <s v="west"/>
  </r>
  <r>
    <n v="1661"/>
    <x v="1"/>
    <x v="98"/>
    <x v="1"/>
    <x v="1"/>
    <n v="28"/>
    <n v="85.646088345809403"/>
    <s v="east"/>
  </r>
  <r>
    <n v="1662"/>
    <x v="2"/>
    <x v="5"/>
    <x v="1"/>
    <x v="3"/>
    <n v="12"/>
    <n v="38.543998121108487"/>
    <s v="west"/>
  </r>
  <r>
    <n v="1663"/>
    <x v="8"/>
    <x v="91"/>
    <x v="1"/>
    <x v="0"/>
    <n v="50"/>
    <n v="152.11340525555411"/>
    <s v="south"/>
  </r>
  <r>
    <n v="1664"/>
    <x v="5"/>
    <x v="52"/>
    <x v="2"/>
    <x v="1"/>
    <n v="5"/>
    <n v="12.64098802195692"/>
    <s v="midwest"/>
  </r>
  <r>
    <n v="1665"/>
    <x v="1"/>
    <x v="42"/>
    <x v="1"/>
    <x v="0"/>
    <n v="6"/>
    <n v="19.476233913607583"/>
    <s v="east"/>
  </r>
  <r>
    <n v="1666"/>
    <x v="1"/>
    <x v="2"/>
    <x v="1"/>
    <x v="1"/>
    <n v="63"/>
    <n v="190.56862486239569"/>
    <s v="east"/>
  </r>
  <r>
    <n v="1667"/>
    <x v="6"/>
    <x v="56"/>
    <x v="2"/>
    <x v="1"/>
    <n v="33"/>
    <n v="100.75324427531469"/>
    <s v="midwest"/>
  </r>
  <r>
    <n v="1668"/>
    <x v="8"/>
    <x v="19"/>
    <x v="0"/>
    <x v="3"/>
    <n v="61"/>
    <n v="185.16541785072013"/>
    <s v="south"/>
  </r>
  <r>
    <n v="1669"/>
    <x v="4"/>
    <x v="89"/>
    <x v="0"/>
    <x v="1"/>
    <n v="16"/>
    <n v="50.709076483884871"/>
    <s v="east"/>
  </r>
  <r>
    <n v="1670"/>
    <x v="7"/>
    <x v="18"/>
    <x v="2"/>
    <x v="3"/>
    <n v="15"/>
    <n v="47.142751278135883"/>
    <s v="midwest"/>
  </r>
  <r>
    <n v="1671"/>
    <x v="4"/>
    <x v="69"/>
    <x v="2"/>
    <x v="3"/>
    <n v="1"/>
    <n v="0.59949529532525503"/>
    <s v="south"/>
  </r>
  <r>
    <n v="1672"/>
    <x v="1"/>
    <x v="98"/>
    <x v="1"/>
    <x v="0"/>
    <n v="28"/>
    <n v="85.359164284772746"/>
    <s v="west"/>
  </r>
  <r>
    <n v="1673"/>
    <x v="7"/>
    <x v="52"/>
    <x v="2"/>
    <x v="1"/>
    <n v="74"/>
    <n v="223.5358944867458"/>
    <s v="east"/>
  </r>
  <r>
    <n v="1674"/>
    <x v="6"/>
    <x v="15"/>
    <x v="0"/>
    <x v="0"/>
    <n v="60"/>
    <n v="182.52957283898829"/>
    <s v="east"/>
  </r>
  <r>
    <n v="1675"/>
    <x v="5"/>
    <x v="91"/>
    <x v="1"/>
    <x v="4"/>
    <n v="26"/>
    <n v="79.644787892751594"/>
    <s v="midwest"/>
  </r>
  <r>
    <n v="1676"/>
    <x v="1"/>
    <x v="85"/>
    <x v="0"/>
    <x v="1"/>
    <n v="41"/>
    <n v="124.80546413554566"/>
    <s v="east"/>
  </r>
  <r>
    <n v="1677"/>
    <x v="2"/>
    <x v="82"/>
    <x v="0"/>
    <x v="0"/>
    <n v="1"/>
    <n v="0.72875697552539753"/>
    <s v="south"/>
  </r>
  <r>
    <n v="1678"/>
    <x v="2"/>
    <x v="8"/>
    <x v="2"/>
    <x v="0"/>
    <n v="89"/>
    <n v="268.71620455118574"/>
    <s v="east"/>
  </r>
  <r>
    <n v="1679"/>
    <x v="1"/>
    <x v="29"/>
    <x v="0"/>
    <x v="4"/>
    <n v="12"/>
    <n v="38.034373617715126"/>
    <s v="east"/>
  </r>
  <r>
    <n v="1680"/>
    <x v="5"/>
    <x v="79"/>
    <x v="0"/>
    <x v="3"/>
    <n v="21"/>
    <n v="65.91159641394708"/>
    <s v="south"/>
  </r>
  <r>
    <n v="1681"/>
    <x v="7"/>
    <x v="26"/>
    <x v="2"/>
    <x v="4"/>
    <n v="23"/>
    <n v="71.518171146886857"/>
    <s v="west"/>
  </r>
  <r>
    <n v="1682"/>
    <x v="8"/>
    <x v="48"/>
    <x v="1"/>
    <x v="1"/>
    <n v="1"/>
    <n v="18.640973323270995"/>
    <s v="south"/>
  </r>
  <r>
    <n v="1683"/>
    <x v="0"/>
    <x v="1"/>
    <x v="0"/>
    <x v="1"/>
    <n v="35"/>
    <n v="106.65095335657088"/>
    <s v="south"/>
  </r>
  <r>
    <n v="1684"/>
    <x v="2"/>
    <x v="65"/>
    <x v="0"/>
    <x v="4"/>
    <n v="94"/>
    <n v="283.7951382741839"/>
    <s v="midwest"/>
  </r>
  <r>
    <n v="1685"/>
    <x v="2"/>
    <x v="40"/>
    <x v="1"/>
    <x v="3"/>
    <n v="88"/>
    <n v="265.96151267807471"/>
    <s v="south"/>
  </r>
  <r>
    <n v="1686"/>
    <x v="2"/>
    <x v="1"/>
    <x v="0"/>
    <x v="2"/>
    <n v="26"/>
    <n v="79.798393656893168"/>
    <s v="south"/>
  </r>
  <r>
    <n v="1687"/>
    <x v="8"/>
    <x v="73"/>
    <x v="0"/>
    <x v="1"/>
    <n v="83"/>
    <n v="250.98698082020448"/>
    <s v="south"/>
  </r>
  <r>
    <n v="1688"/>
    <x v="6"/>
    <x v="18"/>
    <x v="2"/>
    <x v="4"/>
    <n v="11"/>
    <n v="34.677474217404566"/>
    <s v="west"/>
  </r>
  <r>
    <n v="1689"/>
    <x v="4"/>
    <x v="14"/>
    <x v="2"/>
    <x v="1"/>
    <n v="18"/>
    <n v="56.570167419014545"/>
    <s v="east"/>
  </r>
  <r>
    <n v="1690"/>
    <x v="3"/>
    <x v="55"/>
    <x v="1"/>
    <x v="3"/>
    <n v="90"/>
    <n v="272.35988641044867"/>
    <s v="east"/>
  </r>
  <r>
    <n v="1691"/>
    <x v="4"/>
    <x v="62"/>
    <x v="1"/>
    <x v="4"/>
    <n v="12"/>
    <n v="38.358567090515102"/>
    <s v="east"/>
  </r>
  <r>
    <n v="1692"/>
    <x v="4"/>
    <x v="97"/>
    <x v="0"/>
    <x v="0"/>
    <n v="39"/>
    <n v="118.63508946594906"/>
    <s v="midwest"/>
  </r>
  <r>
    <n v="1693"/>
    <x v="4"/>
    <x v="53"/>
    <x v="0"/>
    <x v="2"/>
    <n v="45"/>
    <n v="137.71025367694813"/>
    <s v="midwest"/>
  </r>
  <r>
    <n v="1694"/>
    <x v="3"/>
    <x v="21"/>
    <x v="2"/>
    <x v="1"/>
    <n v="74"/>
    <n v="223.24261767904073"/>
    <s v="east"/>
  </r>
  <r>
    <n v="1695"/>
    <x v="4"/>
    <x v="95"/>
    <x v="1"/>
    <x v="1"/>
    <n v="95"/>
    <n v="286.97940760158696"/>
    <s v="south"/>
  </r>
  <r>
    <n v="1696"/>
    <x v="1"/>
    <x v="29"/>
    <x v="0"/>
    <x v="0"/>
    <n v="48"/>
    <n v="145.47941837398358"/>
    <s v="west"/>
  </r>
  <r>
    <n v="1697"/>
    <x v="0"/>
    <x v="79"/>
    <x v="0"/>
    <x v="4"/>
    <n v="3"/>
    <n v="7.0556984383694044"/>
    <s v="midwest"/>
  </r>
  <r>
    <n v="1698"/>
    <x v="5"/>
    <x v="31"/>
    <x v="1"/>
    <x v="2"/>
    <n v="92"/>
    <n v="278.51510126549795"/>
    <s v="midwest"/>
  </r>
  <r>
    <n v="1699"/>
    <x v="3"/>
    <x v="66"/>
    <x v="1"/>
    <x v="4"/>
    <n v="17"/>
    <n v="53.278847558385984"/>
    <s v="east"/>
  </r>
  <r>
    <n v="1700"/>
    <x v="1"/>
    <x v="17"/>
    <x v="0"/>
    <x v="0"/>
    <n v="45"/>
    <n v="136.31233370896607"/>
    <s v="south"/>
  </r>
  <r>
    <n v="1701"/>
    <x v="5"/>
    <x v="83"/>
    <x v="2"/>
    <x v="2"/>
    <n v="62"/>
    <n v="187.97208926447612"/>
    <s v="south"/>
  </r>
  <r>
    <n v="1702"/>
    <x v="3"/>
    <x v="17"/>
    <x v="0"/>
    <x v="1"/>
    <n v="52"/>
    <n v="158.0460445332865"/>
    <s v="midwest"/>
  </r>
  <r>
    <n v="1703"/>
    <x v="1"/>
    <x v="58"/>
    <x v="0"/>
    <x v="2"/>
    <n v="73"/>
    <n v="221.23952830258372"/>
    <s v="south"/>
  </r>
  <r>
    <n v="1704"/>
    <x v="8"/>
    <x v="95"/>
    <x v="1"/>
    <x v="2"/>
    <n v="38"/>
    <n v="116.53981147745662"/>
    <s v="south"/>
  </r>
  <r>
    <n v="1705"/>
    <x v="1"/>
    <x v="54"/>
    <x v="1"/>
    <x v="3"/>
    <n v="0"/>
    <n v="1.7059716699737852"/>
    <s v="west"/>
  </r>
  <r>
    <n v="1706"/>
    <x v="7"/>
    <x v="79"/>
    <x v="0"/>
    <x v="3"/>
    <n v="70"/>
    <n v="211.80942925062229"/>
    <s v="south"/>
  </r>
  <r>
    <n v="1707"/>
    <x v="8"/>
    <x v="63"/>
    <x v="1"/>
    <x v="1"/>
    <n v="8"/>
    <n v="22.16452981425434"/>
    <s v="midwest"/>
  </r>
  <r>
    <n v="1708"/>
    <x v="8"/>
    <x v="16"/>
    <x v="2"/>
    <x v="3"/>
    <n v="65"/>
    <n v="196.94966457435572"/>
    <s v="west"/>
  </r>
  <r>
    <n v="1709"/>
    <x v="8"/>
    <x v="60"/>
    <x v="2"/>
    <x v="0"/>
    <n v="5"/>
    <n v="12.235172213399022"/>
    <s v="east"/>
  </r>
  <r>
    <n v="1710"/>
    <x v="8"/>
    <x v="50"/>
    <x v="1"/>
    <x v="1"/>
    <n v="34"/>
    <n v="104.46148815266854"/>
    <s v="east"/>
  </r>
  <r>
    <n v="1711"/>
    <x v="4"/>
    <x v="23"/>
    <x v="2"/>
    <x v="0"/>
    <n v="72"/>
    <n v="217.88587173222501"/>
    <s v="west"/>
  </r>
  <r>
    <n v="1712"/>
    <x v="7"/>
    <x v="75"/>
    <x v="1"/>
    <x v="3"/>
    <n v="1"/>
    <n v="0.65444775995364735"/>
    <s v="south"/>
  </r>
  <r>
    <n v="1713"/>
    <x v="6"/>
    <x v="36"/>
    <x v="1"/>
    <x v="0"/>
    <n v="40"/>
    <n v="122.14268476291653"/>
    <s v="west"/>
  </r>
  <r>
    <n v="1714"/>
    <x v="1"/>
    <x v="24"/>
    <x v="2"/>
    <x v="4"/>
    <n v="65"/>
    <n v="196.70486780051661"/>
    <s v="east"/>
  </r>
  <r>
    <n v="1715"/>
    <x v="8"/>
    <x v="8"/>
    <x v="2"/>
    <x v="0"/>
    <n v="77"/>
    <n v="232.41740522130286"/>
    <s v="midwest"/>
  </r>
  <r>
    <n v="1716"/>
    <x v="7"/>
    <x v="90"/>
    <x v="2"/>
    <x v="4"/>
    <n v="51"/>
    <n v="155.00139731564644"/>
    <s v="south"/>
  </r>
  <r>
    <n v="1717"/>
    <x v="3"/>
    <x v="28"/>
    <x v="1"/>
    <x v="1"/>
    <n v="9"/>
    <n v="25.103275559538364"/>
    <s v="east"/>
  </r>
  <r>
    <n v="1718"/>
    <x v="7"/>
    <x v="48"/>
    <x v="1"/>
    <x v="4"/>
    <n v="17"/>
    <n v="52.732870933394423"/>
    <s v="midwest"/>
  </r>
  <r>
    <n v="1719"/>
    <x v="2"/>
    <x v="28"/>
    <x v="1"/>
    <x v="3"/>
    <n v="11"/>
    <n v="34.806777506140598"/>
    <s v="midwest"/>
  </r>
  <r>
    <n v="1720"/>
    <x v="6"/>
    <x v="26"/>
    <x v="2"/>
    <x v="0"/>
    <n v="40"/>
    <n v="121.64869809891456"/>
    <s v="east"/>
  </r>
  <r>
    <n v="1721"/>
    <x v="2"/>
    <x v="59"/>
    <x v="1"/>
    <x v="1"/>
    <n v="67"/>
    <n v="202.72483169959665"/>
    <s v="west"/>
  </r>
  <r>
    <n v="1722"/>
    <x v="8"/>
    <x v="50"/>
    <x v="1"/>
    <x v="2"/>
    <n v="79"/>
    <n v="239.25066766148794"/>
    <s v="south"/>
  </r>
  <r>
    <n v="1723"/>
    <x v="3"/>
    <x v="82"/>
    <x v="0"/>
    <x v="1"/>
    <n v="7"/>
    <n v="19.159862376296054"/>
    <s v="south"/>
  </r>
  <r>
    <n v="1724"/>
    <x v="3"/>
    <x v="31"/>
    <x v="1"/>
    <x v="4"/>
    <n v="72"/>
    <n v="218.05969697818949"/>
    <s v="east"/>
  </r>
  <r>
    <n v="1725"/>
    <x v="4"/>
    <x v="50"/>
    <x v="1"/>
    <x v="3"/>
    <n v="53"/>
    <n v="160.76900841046421"/>
    <s v="west"/>
  </r>
  <r>
    <n v="1726"/>
    <x v="6"/>
    <x v="8"/>
    <x v="2"/>
    <x v="3"/>
    <n v="35"/>
    <n v="107.40939275823844"/>
    <s v="east"/>
  </r>
  <r>
    <n v="1727"/>
    <x v="2"/>
    <x v="77"/>
    <x v="2"/>
    <x v="0"/>
    <n v="39"/>
    <n v="118.67053890819109"/>
    <s v="midwest"/>
  </r>
  <r>
    <n v="1728"/>
    <x v="4"/>
    <x v="73"/>
    <x v="0"/>
    <x v="4"/>
    <n v="7"/>
    <n v="19.354078968263273"/>
    <s v="south"/>
  </r>
  <r>
    <n v="1729"/>
    <x v="5"/>
    <x v="4"/>
    <x v="0"/>
    <x v="3"/>
    <n v="68"/>
    <n v="206.3442384317722"/>
    <s v="east"/>
  </r>
  <r>
    <n v="1730"/>
    <x v="6"/>
    <x v="17"/>
    <x v="0"/>
    <x v="3"/>
    <n v="86"/>
    <n v="260.29001268034375"/>
    <s v="midwest"/>
  </r>
  <r>
    <n v="1731"/>
    <x v="0"/>
    <x v="12"/>
    <x v="1"/>
    <x v="2"/>
    <n v="84"/>
    <n v="254.77631099529688"/>
    <s v="east"/>
  </r>
  <r>
    <n v="1732"/>
    <x v="5"/>
    <x v="60"/>
    <x v="2"/>
    <x v="4"/>
    <n v="6"/>
    <n v="19.965040351983745"/>
    <s v="west"/>
  </r>
  <r>
    <n v="1733"/>
    <x v="0"/>
    <x v="49"/>
    <x v="2"/>
    <x v="2"/>
    <n v="5"/>
    <n v="12.772394146444128"/>
    <s v="south"/>
  </r>
  <r>
    <n v="1734"/>
    <x v="5"/>
    <x v="99"/>
    <x v="2"/>
    <x v="0"/>
    <n v="22"/>
    <n v="67.936736058497871"/>
    <s v="midwest"/>
  </r>
  <r>
    <n v="1735"/>
    <x v="0"/>
    <x v="36"/>
    <x v="1"/>
    <x v="3"/>
    <n v="29"/>
    <n v="89.114636106343568"/>
    <s v="east"/>
  </r>
  <r>
    <n v="1736"/>
    <x v="8"/>
    <x v="51"/>
    <x v="0"/>
    <x v="0"/>
    <n v="3"/>
    <n v="10.889833668586128"/>
    <s v="south"/>
  </r>
  <r>
    <n v="1737"/>
    <x v="2"/>
    <x v="23"/>
    <x v="2"/>
    <x v="3"/>
    <n v="88"/>
    <n v="265.52523967441095"/>
    <s v="east"/>
  </r>
  <r>
    <n v="1738"/>
    <x v="6"/>
    <x v="2"/>
    <x v="1"/>
    <x v="3"/>
    <n v="41"/>
    <n v="124.98924123949018"/>
    <s v="midwest"/>
  </r>
  <r>
    <n v="1739"/>
    <x v="7"/>
    <x v="47"/>
    <x v="1"/>
    <x v="1"/>
    <n v="59"/>
    <n v="178.83628019769552"/>
    <s v="east"/>
  </r>
  <r>
    <n v="1740"/>
    <x v="7"/>
    <x v="67"/>
    <x v="0"/>
    <x v="4"/>
    <n v="29"/>
    <n v="89.261658607480399"/>
    <s v="south"/>
  </r>
  <r>
    <n v="1741"/>
    <x v="2"/>
    <x v="53"/>
    <x v="0"/>
    <x v="4"/>
    <n v="43"/>
    <n v="130.29965520792396"/>
    <s v="west"/>
  </r>
  <r>
    <n v="1742"/>
    <x v="8"/>
    <x v="90"/>
    <x v="2"/>
    <x v="0"/>
    <n v="75"/>
    <n v="227.51732588951381"/>
    <s v="east"/>
  </r>
  <r>
    <n v="1743"/>
    <x v="0"/>
    <x v="88"/>
    <x v="0"/>
    <x v="4"/>
    <n v="40"/>
    <n v="121.70811716084982"/>
    <s v="east"/>
  </r>
  <r>
    <n v="1744"/>
    <x v="8"/>
    <x v="11"/>
    <x v="0"/>
    <x v="4"/>
    <n v="78"/>
    <n v="235.886562763272"/>
    <s v="south"/>
  </r>
  <r>
    <n v="1745"/>
    <x v="3"/>
    <x v="55"/>
    <x v="1"/>
    <x v="3"/>
    <n v="38"/>
    <n v="115.79763515244602"/>
    <s v="midwest"/>
  </r>
  <r>
    <n v="1746"/>
    <x v="6"/>
    <x v="98"/>
    <x v="1"/>
    <x v="4"/>
    <n v="3"/>
    <n v="6.3542907791353951"/>
    <s v="west"/>
  </r>
  <r>
    <n v="1747"/>
    <x v="1"/>
    <x v="70"/>
    <x v="0"/>
    <x v="1"/>
    <n v="34"/>
    <n v="103.8978672415664"/>
    <s v="west"/>
  </r>
  <r>
    <n v="1748"/>
    <x v="2"/>
    <x v="87"/>
    <x v="0"/>
    <x v="3"/>
    <n v="85"/>
    <n v="256.4457111777549"/>
    <s v="east"/>
  </r>
  <r>
    <n v="1749"/>
    <x v="5"/>
    <x v="37"/>
    <x v="1"/>
    <x v="1"/>
    <n v="70"/>
    <n v="212.02897469121848"/>
    <s v="west"/>
  </r>
  <r>
    <n v="1750"/>
    <x v="6"/>
    <x v="77"/>
    <x v="2"/>
    <x v="3"/>
    <n v="86"/>
    <n v="259.75727876328739"/>
    <s v="midwest"/>
  </r>
  <r>
    <n v="1751"/>
    <x v="8"/>
    <x v="7"/>
    <x v="2"/>
    <x v="1"/>
    <n v="47"/>
    <n v="142.93190581421757"/>
    <s v="east"/>
  </r>
  <r>
    <n v="1752"/>
    <x v="4"/>
    <x v="56"/>
    <x v="2"/>
    <x v="2"/>
    <n v="20"/>
    <n v="62.6034037824639"/>
    <s v="south"/>
  </r>
  <r>
    <n v="1753"/>
    <x v="7"/>
    <x v="82"/>
    <x v="0"/>
    <x v="4"/>
    <n v="33"/>
    <n v="101.41906626440009"/>
    <s v="west"/>
  </r>
  <r>
    <n v="1754"/>
    <x v="5"/>
    <x v="51"/>
    <x v="0"/>
    <x v="4"/>
    <n v="10"/>
    <n v="27.865488210965292"/>
    <s v="midwest"/>
  </r>
  <r>
    <n v="1755"/>
    <x v="8"/>
    <x v="21"/>
    <x v="2"/>
    <x v="0"/>
    <n v="40"/>
    <n v="122.39966734312085"/>
    <s v="south"/>
  </r>
  <r>
    <n v="1756"/>
    <x v="6"/>
    <x v="86"/>
    <x v="0"/>
    <x v="1"/>
    <n v="13"/>
    <n v="40.440362188704526"/>
    <s v="south"/>
  </r>
  <r>
    <n v="1757"/>
    <x v="2"/>
    <x v="93"/>
    <x v="2"/>
    <x v="0"/>
    <n v="20"/>
    <n v="62.159874636859705"/>
    <s v="south"/>
  </r>
  <r>
    <n v="1758"/>
    <x v="6"/>
    <x v="85"/>
    <x v="0"/>
    <x v="3"/>
    <n v="22"/>
    <n v="68.778643754081543"/>
    <s v="west"/>
  </r>
  <r>
    <n v="1759"/>
    <x v="3"/>
    <x v="81"/>
    <x v="1"/>
    <x v="1"/>
    <n v="91"/>
    <n v="275.56378169889956"/>
    <s v="midwest"/>
  </r>
  <r>
    <n v="1760"/>
    <x v="0"/>
    <x v="39"/>
    <x v="2"/>
    <x v="0"/>
    <n v="17"/>
    <n v="53.536546154185139"/>
    <s v="midwest"/>
  </r>
  <r>
    <n v="1761"/>
    <x v="3"/>
    <x v="51"/>
    <x v="0"/>
    <x v="0"/>
    <n v="77"/>
    <n v="232.78300193286029"/>
    <s v="south"/>
  </r>
  <r>
    <n v="1762"/>
    <x v="5"/>
    <x v="21"/>
    <x v="2"/>
    <x v="4"/>
    <n v="8"/>
    <n v="25.170033543748811"/>
    <s v="midwest"/>
  </r>
  <r>
    <n v="1763"/>
    <x v="2"/>
    <x v="59"/>
    <x v="1"/>
    <x v="3"/>
    <n v="1"/>
    <n v="0.68878150112298231"/>
    <s v="south"/>
  </r>
  <r>
    <n v="1764"/>
    <x v="1"/>
    <x v="98"/>
    <x v="1"/>
    <x v="0"/>
    <n v="52"/>
    <n v="158.074363782803"/>
    <s v="midwest"/>
  </r>
  <r>
    <n v="1765"/>
    <x v="8"/>
    <x v="12"/>
    <x v="1"/>
    <x v="4"/>
    <n v="50"/>
    <n v="152.59801251978521"/>
    <s v="midwest"/>
  </r>
  <r>
    <n v="1766"/>
    <x v="8"/>
    <x v="26"/>
    <x v="2"/>
    <x v="1"/>
    <n v="69"/>
    <n v="209.27458050780132"/>
    <s v="south"/>
  </r>
  <r>
    <n v="1767"/>
    <x v="6"/>
    <x v="18"/>
    <x v="2"/>
    <x v="4"/>
    <n v="10"/>
    <n v="28.429474612283389"/>
    <s v="midwest"/>
  </r>
  <r>
    <n v="1768"/>
    <x v="3"/>
    <x v="65"/>
    <x v="0"/>
    <x v="1"/>
    <n v="10"/>
    <n v="27.787426760377638"/>
    <s v="east"/>
  </r>
  <r>
    <n v="1769"/>
    <x v="7"/>
    <x v="68"/>
    <x v="1"/>
    <x v="4"/>
    <n v="90"/>
    <n v="272.47244684275518"/>
    <s v="midwest"/>
  </r>
  <r>
    <n v="1770"/>
    <x v="2"/>
    <x v="72"/>
    <x v="2"/>
    <x v="1"/>
    <n v="4"/>
    <n v="9.8005201872550316"/>
    <s v="south"/>
  </r>
  <r>
    <n v="1771"/>
    <x v="0"/>
    <x v="57"/>
    <x v="2"/>
    <x v="0"/>
    <n v="14"/>
    <n v="44.066692086610537"/>
    <s v="west"/>
  </r>
  <r>
    <n v="1772"/>
    <x v="6"/>
    <x v="54"/>
    <x v="1"/>
    <x v="0"/>
    <n v="13"/>
    <n v="41.651608836226835"/>
    <s v="east"/>
  </r>
  <r>
    <n v="1773"/>
    <x v="4"/>
    <x v="86"/>
    <x v="0"/>
    <x v="1"/>
    <n v="10"/>
    <n v="27.449007372488328"/>
    <s v="midwest"/>
  </r>
  <r>
    <n v="1774"/>
    <x v="8"/>
    <x v="47"/>
    <x v="1"/>
    <x v="1"/>
    <n v="81"/>
    <n v="244.96209724909312"/>
    <s v="east"/>
  </r>
  <r>
    <n v="1775"/>
    <x v="0"/>
    <x v="13"/>
    <x v="1"/>
    <x v="1"/>
    <n v="91"/>
    <n v="274.01633323079733"/>
    <s v="west"/>
  </r>
  <r>
    <n v="1776"/>
    <x v="5"/>
    <x v="43"/>
    <x v="0"/>
    <x v="0"/>
    <n v="7"/>
    <n v="23.096103574094034"/>
    <s v="south"/>
  </r>
  <r>
    <n v="1777"/>
    <x v="0"/>
    <x v="54"/>
    <x v="1"/>
    <x v="3"/>
    <n v="95"/>
    <n v="286.4091350392265"/>
    <s v="midwest"/>
  </r>
  <r>
    <n v="1778"/>
    <x v="4"/>
    <x v="64"/>
    <x v="2"/>
    <x v="4"/>
    <n v="7"/>
    <n v="23.460398451433193"/>
    <s v="east"/>
  </r>
  <r>
    <n v="1779"/>
    <x v="6"/>
    <x v="28"/>
    <x v="1"/>
    <x v="4"/>
    <n v="9"/>
    <n v="29.496709116948491"/>
    <s v="east"/>
  </r>
  <r>
    <n v="1780"/>
    <x v="6"/>
    <x v="87"/>
    <x v="0"/>
    <x v="1"/>
    <n v="16"/>
    <n v="50.32304691843445"/>
    <s v="south"/>
  </r>
  <r>
    <n v="1781"/>
    <x v="2"/>
    <x v="2"/>
    <x v="1"/>
    <x v="0"/>
    <n v="37"/>
    <n v="112.6423668975758"/>
    <s v="east"/>
  </r>
  <r>
    <n v="1782"/>
    <x v="8"/>
    <x v="52"/>
    <x v="2"/>
    <x v="0"/>
    <n v="38"/>
    <n v="115.86694350408794"/>
    <s v="west"/>
  </r>
  <r>
    <n v="1783"/>
    <x v="0"/>
    <x v="14"/>
    <x v="2"/>
    <x v="2"/>
    <n v="43"/>
    <n v="130.38058732657913"/>
    <s v="east"/>
  </r>
  <r>
    <n v="1784"/>
    <x v="8"/>
    <x v="8"/>
    <x v="2"/>
    <x v="4"/>
    <n v="5"/>
    <n v="12.649706737241745"/>
    <s v="midwest"/>
  </r>
  <r>
    <n v="1785"/>
    <x v="6"/>
    <x v="72"/>
    <x v="2"/>
    <x v="3"/>
    <n v="9"/>
    <n v="28.951087924744211"/>
    <s v="west"/>
  </r>
  <r>
    <n v="1786"/>
    <x v="0"/>
    <x v="49"/>
    <x v="2"/>
    <x v="0"/>
    <n v="9"/>
    <n v="24.653364515512152"/>
    <s v="east"/>
  </r>
  <r>
    <n v="1787"/>
    <x v="7"/>
    <x v="12"/>
    <x v="1"/>
    <x v="2"/>
    <n v="24"/>
    <n v="74.611228324097638"/>
    <s v="east"/>
  </r>
  <r>
    <n v="1788"/>
    <x v="8"/>
    <x v="87"/>
    <x v="0"/>
    <x v="0"/>
    <n v="30"/>
    <n v="91.370060380593657"/>
    <s v="midwest"/>
  </r>
  <r>
    <n v="1789"/>
    <x v="5"/>
    <x v="36"/>
    <x v="1"/>
    <x v="0"/>
    <n v="83"/>
    <n v="250.84508105520038"/>
    <s v="west"/>
  </r>
  <r>
    <n v="1790"/>
    <x v="6"/>
    <x v="6"/>
    <x v="0"/>
    <x v="0"/>
    <n v="90"/>
    <n v="271.87067701120321"/>
    <s v="east"/>
  </r>
  <r>
    <n v="1791"/>
    <x v="4"/>
    <x v="48"/>
    <x v="1"/>
    <x v="3"/>
    <n v="82"/>
    <n v="248.22787993853669"/>
    <s v="south"/>
  </r>
  <r>
    <n v="1792"/>
    <x v="1"/>
    <x v="68"/>
    <x v="1"/>
    <x v="3"/>
    <n v="51"/>
    <n v="155.23329282201692"/>
    <s v="midwest"/>
  </r>
  <r>
    <n v="1793"/>
    <x v="8"/>
    <x v="33"/>
    <x v="0"/>
    <x v="0"/>
    <n v="66"/>
    <n v="200.12511432116293"/>
    <s v="west"/>
  </r>
  <r>
    <n v="1794"/>
    <x v="6"/>
    <x v="80"/>
    <x v="1"/>
    <x v="4"/>
    <n v="29"/>
    <n v="89.016407302334798"/>
    <s v="south"/>
  </r>
  <r>
    <n v="1795"/>
    <x v="2"/>
    <x v="62"/>
    <x v="1"/>
    <x v="0"/>
    <n v="93"/>
    <n v="280.87456053220649"/>
    <s v="east"/>
  </r>
  <r>
    <n v="1796"/>
    <x v="7"/>
    <x v="83"/>
    <x v="2"/>
    <x v="3"/>
    <n v="3"/>
    <n v="6.5419840395963593"/>
    <s v="midwest"/>
  </r>
  <r>
    <n v="1797"/>
    <x v="2"/>
    <x v="24"/>
    <x v="2"/>
    <x v="0"/>
    <n v="2"/>
    <n v="3.6355111778913436"/>
    <s v="south"/>
  </r>
  <r>
    <n v="1798"/>
    <x v="5"/>
    <x v="67"/>
    <x v="0"/>
    <x v="2"/>
    <n v="79"/>
    <n v="239.25077929031391"/>
    <s v="midwest"/>
  </r>
  <r>
    <n v="1799"/>
    <x v="0"/>
    <x v="74"/>
    <x v="2"/>
    <x v="0"/>
    <n v="31"/>
    <n v="94.72145499265082"/>
    <s v="east"/>
  </r>
  <r>
    <n v="1800"/>
    <x v="1"/>
    <x v="63"/>
    <x v="1"/>
    <x v="1"/>
    <n v="46"/>
    <n v="140.21517548818187"/>
    <s v="south"/>
  </r>
  <r>
    <n v="1801"/>
    <x v="6"/>
    <x v="74"/>
    <x v="2"/>
    <x v="1"/>
    <n v="93"/>
    <n v="281.78560885336435"/>
    <s v="west"/>
  </r>
  <r>
    <n v="1802"/>
    <x v="6"/>
    <x v="1"/>
    <x v="0"/>
    <x v="0"/>
    <n v="82"/>
    <n v="247.0191820862224"/>
    <s v="midwest"/>
  </r>
  <r>
    <n v="1803"/>
    <x v="8"/>
    <x v="21"/>
    <x v="2"/>
    <x v="2"/>
    <n v="87"/>
    <n v="263.71733330819893"/>
    <s v="south"/>
  </r>
  <r>
    <n v="1804"/>
    <x v="2"/>
    <x v="89"/>
    <x v="0"/>
    <x v="1"/>
    <n v="62"/>
    <n v="187.56768751552113"/>
    <s v="east"/>
  </r>
  <r>
    <n v="1805"/>
    <x v="5"/>
    <x v="43"/>
    <x v="0"/>
    <x v="1"/>
    <n v="31"/>
    <n v="94.571992971518611"/>
    <s v="south"/>
  </r>
  <r>
    <n v="1806"/>
    <x v="2"/>
    <x v="38"/>
    <x v="0"/>
    <x v="4"/>
    <n v="43"/>
    <n v="131.33084322347369"/>
    <s v="east"/>
  </r>
  <r>
    <n v="1807"/>
    <x v="5"/>
    <x v="51"/>
    <x v="0"/>
    <x v="0"/>
    <n v="78"/>
    <n v="236.44038982169729"/>
    <s v="midwest"/>
  </r>
  <r>
    <n v="1808"/>
    <x v="5"/>
    <x v="96"/>
    <x v="0"/>
    <x v="0"/>
    <n v="1"/>
    <n v="0.44195721388362097"/>
    <s v="south"/>
  </r>
  <r>
    <n v="1809"/>
    <x v="3"/>
    <x v="1"/>
    <x v="0"/>
    <x v="2"/>
    <n v="5"/>
    <n v="17.469809541800071"/>
    <s v="south"/>
  </r>
  <r>
    <n v="1810"/>
    <x v="5"/>
    <x v="3"/>
    <x v="2"/>
    <x v="2"/>
    <n v="30"/>
    <n v="92.310265407731023"/>
    <s v="south"/>
  </r>
  <r>
    <n v="1811"/>
    <x v="1"/>
    <x v="90"/>
    <x v="2"/>
    <x v="3"/>
    <n v="65"/>
    <n v="197.17585549268185"/>
    <s v="west"/>
  </r>
  <r>
    <n v="1812"/>
    <x v="8"/>
    <x v="39"/>
    <x v="2"/>
    <x v="4"/>
    <n v="14"/>
    <n v="43.795902693300988"/>
    <s v="south"/>
  </r>
  <r>
    <n v="1813"/>
    <x v="8"/>
    <x v="5"/>
    <x v="1"/>
    <x v="1"/>
    <n v="10"/>
    <n v="31.259562735955448"/>
    <s v="west"/>
  </r>
  <r>
    <n v="1814"/>
    <x v="0"/>
    <x v="1"/>
    <x v="0"/>
    <x v="2"/>
    <n v="31"/>
    <n v="94.729581013275251"/>
    <s v="midwest"/>
  </r>
  <r>
    <n v="1815"/>
    <x v="0"/>
    <x v="90"/>
    <x v="2"/>
    <x v="4"/>
    <n v="25"/>
    <n v="77.103127744417094"/>
    <s v="south"/>
  </r>
  <r>
    <n v="1816"/>
    <x v="0"/>
    <x v="55"/>
    <x v="1"/>
    <x v="2"/>
    <n v="11"/>
    <n v="35.295636570052608"/>
    <s v="south"/>
  </r>
  <r>
    <n v="1817"/>
    <x v="0"/>
    <x v="46"/>
    <x v="0"/>
    <x v="1"/>
    <n v="62"/>
    <n v="187.51222635081746"/>
    <s v="west"/>
  </r>
  <r>
    <n v="1818"/>
    <x v="2"/>
    <x v="97"/>
    <x v="0"/>
    <x v="1"/>
    <n v="4"/>
    <n v="14.186481337467258"/>
    <s v="west"/>
  </r>
  <r>
    <n v="1819"/>
    <x v="3"/>
    <x v="24"/>
    <x v="2"/>
    <x v="3"/>
    <n v="4"/>
    <n v="13.713847194878378"/>
    <s v="midwest"/>
  </r>
  <r>
    <n v="1820"/>
    <x v="5"/>
    <x v="5"/>
    <x v="1"/>
    <x v="0"/>
    <n v="71"/>
    <n v="215.12149125217519"/>
    <s v="east"/>
  </r>
  <r>
    <n v="1821"/>
    <x v="7"/>
    <x v="3"/>
    <x v="2"/>
    <x v="2"/>
    <n v="67"/>
    <n v="203.18155970987976"/>
    <s v="east"/>
  </r>
  <r>
    <n v="1822"/>
    <x v="6"/>
    <x v="92"/>
    <x v="1"/>
    <x v="0"/>
    <n v="19"/>
    <n v="59.451848680441209"/>
    <s v="west"/>
  </r>
  <r>
    <n v="1823"/>
    <x v="8"/>
    <x v="44"/>
    <x v="1"/>
    <x v="0"/>
    <n v="12"/>
    <n v="37.634507305486729"/>
    <s v="south"/>
  </r>
  <r>
    <n v="1824"/>
    <x v="3"/>
    <x v="26"/>
    <x v="2"/>
    <x v="0"/>
    <n v="50"/>
    <n v="151.66817286074655"/>
    <s v="midwest"/>
  </r>
  <r>
    <n v="1825"/>
    <x v="0"/>
    <x v="71"/>
    <x v="2"/>
    <x v="2"/>
    <n v="73"/>
    <n v="221.23251800803121"/>
    <s v="east"/>
  </r>
  <r>
    <n v="1826"/>
    <x v="8"/>
    <x v="57"/>
    <x v="2"/>
    <x v="2"/>
    <n v="30"/>
    <n v="91.686808812711931"/>
    <s v="east"/>
  </r>
  <r>
    <n v="1827"/>
    <x v="2"/>
    <x v="65"/>
    <x v="0"/>
    <x v="4"/>
    <n v="19"/>
    <n v="59.101466872333368"/>
    <s v="south"/>
  </r>
  <r>
    <n v="1828"/>
    <x v="7"/>
    <x v="98"/>
    <x v="1"/>
    <x v="3"/>
    <n v="48"/>
    <n v="145.21747547077908"/>
    <s v="east"/>
  </r>
  <r>
    <n v="1829"/>
    <x v="1"/>
    <x v="3"/>
    <x v="2"/>
    <x v="4"/>
    <n v="8"/>
    <n v="21.602633683096364"/>
    <s v="east"/>
  </r>
  <r>
    <n v="1830"/>
    <x v="8"/>
    <x v="57"/>
    <x v="2"/>
    <x v="0"/>
    <n v="8"/>
    <n v="22.143532028061156"/>
    <s v="south"/>
  </r>
  <r>
    <n v="1831"/>
    <x v="8"/>
    <x v="48"/>
    <x v="1"/>
    <x v="0"/>
    <n v="28"/>
    <n v="85.906767980675738"/>
    <s v="south"/>
  </r>
  <r>
    <n v="1832"/>
    <x v="3"/>
    <x v="22"/>
    <x v="1"/>
    <x v="4"/>
    <n v="81"/>
    <n v="245.21311554699477"/>
    <s v="west"/>
  </r>
  <r>
    <n v="1833"/>
    <x v="3"/>
    <x v="94"/>
    <x v="1"/>
    <x v="0"/>
    <n v="12"/>
    <n v="37.991916032039505"/>
    <s v="east"/>
  </r>
  <r>
    <n v="1834"/>
    <x v="3"/>
    <x v="45"/>
    <x v="2"/>
    <x v="3"/>
    <n v="54"/>
    <n v="164.03373721658585"/>
    <s v="east"/>
  </r>
  <r>
    <n v="1835"/>
    <x v="3"/>
    <x v="31"/>
    <x v="1"/>
    <x v="1"/>
    <n v="70"/>
    <n v="212.30572042127932"/>
    <s v="south"/>
  </r>
  <r>
    <n v="1836"/>
    <x v="3"/>
    <x v="30"/>
    <x v="1"/>
    <x v="3"/>
    <n v="89"/>
    <n v="269.07289128480653"/>
    <s v="east"/>
  </r>
  <r>
    <n v="1837"/>
    <x v="5"/>
    <x v="81"/>
    <x v="1"/>
    <x v="1"/>
    <n v="10"/>
    <n v="32.271941209300522"/>
    <s v="east"/>
  </r>
  <r>
    <n v="1838"/>
    <x v="0"/>
    <x v="33"/>
    <x v="0"/>
    <x v="1"/>
    <n v="52"/>
    <n v="158.17581888720281"/>
    <s v="east"/>
  </r>
  <r>
    <n v="1839"/>
    <x v="5"/>
    <x v="34"/>
    <x v="1"/>
    <x v="4"/>
    <n v="85"/>
    <n v="257.81669173781398"/>
    <s v="west"/>
  </r>
  <r>
    <n v="1840"/>
    <x v="2"/>
    <x v="44"/>
    <x v="1"/>
    <x v="1"/>
    <n v="31"/>
    <n v="93.983701954495999"/>
    <s v="south"/>
  </r>
  <r>
    <n v="1841"/>
    <x v="6"/>
    <x v="64"/>
    <x v="2"/>
    <x v="4"/>
    <n v="36"/>
    <n v="110.02990284078979"/>
    <s v="south"/>
  </r>
  <r>
    <n v="1842"/>
    <x v="4"/>
    <x v="15"/>
    <x v="0"/>
    <x v="0"/>
    <n v="80"/>
    <n v="241.83353913915346"/>
    <s v="midwest"/>
  </r>
  <r>
    <n v="1843"/>
    <x v="4"/>
    <x v="50"/>
    <x v="1"/>
    <x v="4"/>
    <n v="27"/>
    <n v="82.455751292325587"/>
    <s v="west"/>
  </r>
  <r>
    <n v="1844"/>
    <x v="5"/>
    <x v="87"/>
    <x v="0"/>
    <x v="1"/>
    <n v="46"/>
    <n v="140.39446141212673"/>
    <s v="south"/>
  </r>
  <r>
    <n v="1845"/>
    <x v="5"/>
    <x v="86"/>
    <x v="0"/>
    <x v="1"/>
    <n v="29"/>
    <n v="89.577515368145924"/>
    <s v="south"/>
  </r>
  <r>
    <n v="1846"/>
    <x v="7"/>
    <x v="71"/>
    <x v="2"/>
    <x v="0"/>
    <n v="55"/>
    <n v="167.03601910379061"/>
    <s v="midwest"/>
  </r>
  <r>
    <n v="1847"/>
    <x v="6"/>
    <x v="65"/>
    <x v="0"/>
    <x v="4"/>
    <n v="2"/>
    <n v="7.3173645509019103"/>
    <s v="south"/>
  </r>
  <r>
    <n v="1848"/>
    <x v="0"/>
    <x v="26"/>
    <x v="2"/>
    <x v="1"/>
    <n v="60"/>
    <n v="182.39254500689876"/>
    <s v="west"/>
  </r>
  <r>
    <n v="1849"/>
    <x v="3"/>
    <x v="50"/>
    <x v="1"/>
    <x v="0"/>
    <n v="12"/>
    <n v="37.851664258571823"/>
    <s v="east"/>
  </r>
  <r>
    <n v="1850"/>
    <x v="7"/>
    <x v="82"/>
    <x v="0"/>
    <x v="4"/>
    <n v="52"/>
    <n v="157.88309865957618"/>
    <s v="south"/>
  </r>
  <r>
    <n v="1851"/>
    <x v="2"/>
    <x v="70"/>
    <x v="0"/>
    <x v="0"/>
    <n v="37"/>
    <n v="113.27390397366521"/>
    <s v="midwest"/>
  </r>
  <r>
    <n v="1852"/>
    <x v="2"/>
    <x v="19"/>
    <x v="0"/>
    <x v="2"/>
    <n v="36"/>
    <n v="110.51900033744339"/>
    <s v="south"/>
  </r>
  <r>
    <n v="1853"/>
    <x v="8"/>
    <x v="70"/>
    <x v="0"/>
    <x v="0"/>
    <n v="87"/>
    <n v="262.81312845180031"/>
    <s v="east"/>
  </r>
  <r>
    <n v="1854"/>
    <x v="5"/>
    <x v="20"/>
    <x v="2"/>
    <x v="4"/>
    <n v="16"/>
    <n v="50.279574486289519"/>
    <s v="midwest"/>
  </r>
  <r>
    <n v="1855"/>
    <x v="6"/>
    <x v="95"/>
    <x v="1"/>
    <x v="0"/>
    <n v="50"/>
    <n v="152.12593577749263"/>
    <s v="east"/>
  </r>
  <r>
    <n v="1856"/>
    <x v="1"/>
    <x v="20"/>
    <x v="2"/>
    <x v="4"/>
    <n v="53"/>
    <n v="160.62764519173885"/>
    <s v="south"/>
  </r>
  <r>
    <n v="1857"/>
    <x v="8"/>
    <x v="58"/>
    <x v="0"/>
    <x v="1"/>
    <n v="61"/>
    <n v="184.76093809619837"/>
    <s v="midwest"/>
  </r>
  <r>
    <n v="1858"/>
    <x v="2"/>
    <x v="34"/>
    <x v="1"/>
    <x v="1"/>
    <n v="95"/>
    <n v="286.82526300294711"/>
    <s v="south"/>
  </r>
  <r>
    <n v="1859"/>
    <x v="4"/>
    <x v="88"/>
    <x v="0"/>
    <x v="2"/>
    <n v="6"/>
    <n v="16.589394597675682"/>
    <s v="south"/>
  </r>
  <r>
    <n v="1860"/>
    <x v="6"/>
    <x v="38"/>
    <x v="0"/>
    <x v="0"/>
    <n v="9"/>
    <n v="24.760053633714985"/>
    <s v="east"/>
  </r>
  <r>
    <n v="1861"/>
    <x v="5"/>
    <x v="64"/>
    <x v="2"/>
    <x v="3"/>
    <n v="74"/>
    <n v="223.82751177660725"/>
    <s v="midwest"/>
  </r>
  <r>
    <n v="1862"/>
    <x v="1"/>
    <x v="36"/>
    <x v="1"/>
    <x v="0"/>
    <n v="18"/>
    <n v="55.524146786750528"/>
    <s v="south"/>
  </r>
  <r>
    <n v="1863"/>
    <x v="3"/>
    <x v="45"/>
    <x v="2"/>
    <x v="3"/>
    <n v="73"/>
    <n v="220.67063477706461"/>
    <s v="east"/>
  </r>
  <r>
    <n v="1864"/>
    <x v="6"/>
    <x v="89"/>
    <x v="0"/>
    <x v="3"/>
    <n v="62"/>
    <n v="188.42678187961798"/>
    <s v="west"/>
  </r>
  <r>
    <n v="1865"/>
    <x v="4"/>
    <x v="8"/>
    <x v="2"/>
    <x v="1"/>
    <n v="2"/>
    <n v="3.5924377444896751"/>
    <s v="south"/>
  </r>
  <r>
    <n v="1866"/>
    <x v="5"/>
    <x v="52"/>
    <x v="2"/>
    <x v="1"/>
    <n v="7"/>
    <n v="18.939063444337712"/>
    <s v="south"/>
  </r>
  <r>
    <n v="1867"/>
    <x v="5"/>
    <x v="57"/>
    <x v="2"/>
    <x v="4"/>
    <n v="73"/>
    <n v="220.77421208293487"/>
    <s v="east"/>
  </r>
  <r>
    <n v="1868"/>
    <x v="1"/>
    <x v="28"/>
    <x v="1"/>
    <x v="3"/>
    <n v="24"/>
    <n v="73.585989082063819"/>
    <s v="south"/>
  </r>
  <r>
    <n v="1869"/>
    <x v="0"/>
    <x v="62"/>
    <x v="1"/>
    <x v="2"/>
    <n v="18"/>
    <n v="56.084454934208836"/>
    <s v="east"/>
  </r>
  <r>
    <n v="1870"/>
    <x v="1"/>
    <x v="60"/>
    <x v="2"/>
    <x v="4"/>
    <n v="49"/>
    <n v="149.40493820151829"/>
    <s v="west"/>
  </r>
  <r>
    <n v="1871"/>
    <x v="8"/>
    <x v="13"/>
    <x v="1"/>
    <x v="4"/>
    <n v="21"/>
    <n v="64.683872648507389"/>
    <s v="midwest"/>
  </r>
  <r>
    <n v="1872"/>
    <x v="4"/>
    <x v="82"/>
    <x v="0"/>
    <x v="1"/>
    <n v="2"/>
    <n v="7.9938401735771141"/>
    <s v="south"/>
  </r>
  <r>
    <n v="1873"/>
    <x v="8"/>
    <x v="11"/>
    <x v="0"/>
    <x v="1"/>
    <n v="83"/>
    <n v="250.87539350545751"/>
    <s v="south"/>
  </r>
  <r>
    <n v="1874"/>
    <x v="4"/>
    <x v="13"/>
    <x v="1"/>
    <x v="0"/>
    <n v="63"/>
    <n v="191.14760672109483"/>
    <s v="south"/>
  </r>
  <r>
    <n v="1875"/>
    <x v="5"/>
    <x v="85"/>
    <x v="0"/>
    <x v="2"/>
    <n v="54"/>
    <n v="163.86628539020685"/>
    <s v="midwest"/>
  </r>
  <r>
    <n v="1876"/>
    <x v="4"/>
    <x v="65"/>
    <x v="0"/>
    <x v="0"/>
    <n v="19"/>
    <n v="59.715260847522721"/>
    <s v="west"/>
  </r>
  <r>
    <n v="1877"/>
    <x v="8"/>
    <x v="65"/>
    <x v="0"/>
    <x v="3"/>
    <n v="66"/>
    <n v="199.3615971018873"/>
    <s v="east"/>
  </r>
  <r>
    <n v="1878"/>
    <x v="0"/>
    <x v="58"/>
    <x v="0"/>
    <x v="0"/>
    <n v="60"/>
    <n v="182.28071376505659"/>
    <s v="south"/>
  </r>
  <r>
    <n v="1879"/>
    <x v="2"/>
    <x v="57"/>
    <x v="2"/>
    <x v="3"/>
    <n v="90"/>
    <n v="271.85208039455387"/>
    <s v="midwest"/>
  </r>
  <r>
    <n v="1880"/>
    <x v="6"/>
    <x v="7"/>
    <x v="2"/>
    <x v="0"/>
    <n v="59"/>
    <n v="178.65030230399057"/>
    <s v="south"/>
  </r>
  <r>
    <n v="1881"/>
    <x v="6"/>
    <x v="62"/>
    <x v="1"/>
    <x v="1"/>
    <n v="0"/>
    <n v="2.6560689007562872"/>
    <s v="east"/>
  </r>
  <r>
    <n v="1882"/>
    <x v="7"/>
    <x v="6"/>
    <x v="0"/>
    <x v="1"/>
    <n v="72"/>
    <n v="217.90015045055327"/>
    <s v="midwest"/>
  </r>
  <r>
    <n v="1883"/>
    <x v="0"/>
    <x v="86"/>
    <x v="0"/>
    <x v="0"/>
    <n v="6"/>
    <n v="15.735959690520316"/>
    <s v="east"/>
  </r>
  <r>
    <n v="1884"/>
    <x v="1"/>
    <x v="3"/>
    <x v="2"/>
    <x v="0"/>
    <n v="89"/>
    <n v="269.39552816852074"/>
    <s v="west"/>
  </r>
  <r>
    <n v="1885"/>
    <x v="2"/>
    <x v="39"/>
    <x v="2"/>
    <x v="0"/>
    <n v="12"/>
    <n v="37.837711255972984"/>
    <s v="west"/>
  </r>
  <r>
    <n v="1886"/>
    <x v="5"/>
    <x v="30"/>
    <x v="1"/>
    <x v="4"/>
    <n v="89"/>
    <n v="269.14754282019447"/>
    <s v="south"/>
  </r>
  <r>
    <n v="1887"/>
    <x v="3"/>
    <x v="92"/>
    <x v="1"/>
    <x v="0"/>
    <n v="61"/>
    <n v="185.3147883164014"/>
    <s v="midwest"/>
  </r>
  <r>
    <n v="1888"/>
    <x v="4"/>
    <x v="95"/>
    <x v="1"/>
    <x v="3"/>
    <n v="24"/>
    <n v="73.811151860326262"/>
    <s v="west"/>
  </r>
  <r>
    <n v="1889"/>
    <x v="6"/>
    <x v="60"/>
    <x v="2"/>
    <x v="3"/>
    <n v="76"/>
    <n v="229.9178081264337"/>
    <s v="west"/>
  </r>
  <r>
    <n v="1890"/>
    <x v="8"/>
    <x v="32"/>
    <x v="1"/>
    <x v="1"/>
    <n v="16"/>
    <n v="49.753987400329763"/>
    <s v="east"/>
  </r>
  <r>
    <n v="1891"/>
    <x v="0"/>
    <x v="28"/>
    <x v="1"/>
    <x v="1"/>
    <n v="39"/>
    <n v="119.18883187506967"/>
    <s v="east"/>
  </r>
  <r>
    <n v="1892"/>
    <x v="8"/>
    <x v="25"/>
    <x v="2"/>
    <x v="4"/>
    <n v="92"/>
    <n v="278.43491112447333"/>
    <s v="west"/>
  </r>
  <r>
    <n v="1893"/>
    <x v="8"/>
    <x v="96"/>
    <x v="0"/>
    <x v="1"/>
    <n v="20"/>
    <n v="61.923857472779041"/>
    <s v="midwest"/>
  </r>
  <r>
    <n v="1894"/>
    <x v="4"/>
    <x v="82"/>
    <x v="0"/>
    <x v="0"/>
    <n v="60"/>
    <n v="181.87034788891373"/>
    <s v="east"/>
  </r>
  <r>
    <n v="1895"/>
    <x v="6"/>
    <x v="5"/>
    <x v="1"/>
    <x v="3"/>
    <n v="15"/>
    <n v="47.161022333179389"/>
    <s v="east"/>
  </r>
  <r>
    <n v="1896"/>
    <x v="2"/>
    <x v="47"/>
    <x v="1"/>
    <x v="1"/>
    <n v="36"/>
    <n v="109.84259915039922"/>
    <s v="east"/>
  </r>
  <r>
    <n v="1897"/>
    <x v="4"/>
    <x v="40"/>
    <x v="1"/>
    <x v="0"/>
    <n v="46"/>
    <n v="140.4088993575123"/>
    <s v="west"/>
  </r>
  <r>
    <n v="1898"/>
    <x v="3"/>
    <x v="46"/>
    <x v="0"/>
    <x v="2"/>
    <n v="72"/>
    <n v="217.83588624347365"/>
    <s v="west"/>
  </r>
  <r>
    <n v="1899"/>
    <x v="1"/>
    <x v="77"/>
    <x v="2"/>
    <x v="3"/>
    <n v="28"/>
    <n v="85.656829526557672"/>
    <s v="south"/>
  </r>
  <r>
    <n v="1900"/>
    <x v="5"/>
    <x v="56"/>
    <x v="2"/>
    <x v="3"/>
    <n v="54"/>
    <n v="164.48733423141368"/>
    <s v="midwes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224FC9-5AB3-4D15-855D-119F74CCEB5B}" name="PivotTable1" cacheId="8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3" firstHeaderRow="1" firstDataRow="1" firstDataCol="1"/>
  <pivotFields count="8">
    <pivotField dataField="1" compact="0" outline="0" showAll="0"/>
    <pivotField name=" Salesperson " axis="axisRow" compact="0" outline="0" showAll="0">
      <items count="10">
        <item x="2"/>
        <item x="0"/>
        <item x="8"/>
        <item x="4"/>
        <item x="5"/>
        <item x="6"/>
        <item x="1"/>
        <item x="7"/>
        <item x="3"/>
        <item t="default"/>
      </items>
    </pivotField>
    <pivotField compact="0" numFmtId="14" outline="0" showAll="0"/>
    <pivotField compact="0" numFmtId="1" outline="0" showAll="0"/>
    <pivotField compact="0" outline="0" showAll="0"/>
    <pivotField compact="0" numFmtId="1" outline="0" showAll="0"/>
    <pivotField compact="0" numFmtId="165" outline="0" showAll="0"/>
    <pivotField compact="0" outline="0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Trans Number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DD65B9-1773-48C4-A3C4-D240E8568A60}" name="PivotTable6" cacheId="8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7:E28" firstHeaderRow="1" firstDataRow="2" firstDataCol="1"/>
  <pivotFields count="8">
    <pivotField compact="0" outline="0" showAll="0"/>
    <pivotField name=" Salesperson " axis="axisRow" compact="0" outline="0" showAll="0">
      <items count="10">
        <item x="2"/>
        <item x="0"/>
        <item x="8"/>
        <item x="4"/>
        <item x="5"/>
        <item x="6"/>
        <item x="1"/>
        <item x="7"/>
        <item x="3"/>
        <item t="default"/>
      </items>
    </pivotField>
    <pivotField compact="0" numFmtId="14" outline="0" showAll="0">
      <items count="101">
        <item x="33"/>
        <item x="46"/>
        <item x="97"/>
        <item x="27"/>
        <item x="53"/>
        <item x="85"/>
        <item x="1"/>
        <item x="6"/>
        <item x="0"/>
        <item x="15"/>
        <item x="70"/>
        <item x="87"/>
        <item x="82"/>
        <item x="58"/>
        <item x="29"/>
        <item x="4"/>
        <item x="35"/>
        <item x="73"/>
        <item x="86"/>
        <item x="96"/>
        <item x="38"/>
        <item x="88"/>
        <item x="78"/>
        <item x="65"/>
        <item x="19"/>
        <item x="67"/>
        <item x="79"/>
        <item x="17"/>
        <item x="51"/>
        <item x="11"/>
        <item x="10"/>
        <item x="89"/>
        <item x="43"/>
        <item x="13"/>
        <item x="94"/>
        <item x="42"/>
        <item x="75"/>
        <item x="47"/>
        <item x="2"/>
        <item x="66"/>
        <item x="55"/>
        <item x="48"/>
        <item x="28"/>
        <item x="92"/>
        <item x="91"/>
        <item x="63"/>
        <item x="31"/>
        <item x="98"/>
        <item x="32"/>
        <item x="44"/>
        <item x="34"/>
        <item x="95"/>
        <item x="50"/>
        <item x="30"/>
        <item x="59"/>
        <item x="12"/>
        <item x="81"/>
        <item x="22"/>
        <item x="62"/>
        <item x="84"/>
        <item x="68"/>
        <item x="40"/>
        <item x="37"/>
        <item x="5"/>
        <item x="36"/>
        <item x="54"/>
        <item x="80"/>
        <item x="49"/>
        <item x="61"/>
        <item x="20"/>
        <item x="71"/>
        <item x="25"/>
        <item x="45"/>
        <item x="64"/>
        <item x="23"/>
        <item x="99"/>
        <item x="90"/>
        <item x="16"/>
        <item x="39"/>
        <item x="3"/>
        <item x="18"/>
        <item x="56"/>
        <item x="26"/>
        <item x="8"/>
        <item x="41"/>
        <item x="69"/>
        <item x="9"/>
        <item x="57"/>
        <item x="93"/>
        <item x="24"/>
        <item x="14"/>
        <item x="52"/>
        <item x="83"/>
        <item x="76"/>
        <item x="77"/>
        <item x="72"/>
        <item x="60"/>
        <item x="21"/>
        <item x="7"/>
        <item x="74"/>
        <item t="default"/>
      </items>
    </pivotField>
    <pivotField axis="axisCol" compact="0" numFmtId="1" outline="0" showAll="0">
      <items count="4">
        <item x="0"/>
        <item x="1"/>
        <item x="2"/>
        <item t="default"/>
      </items>
    </pivotField>
    <pivotField compact="0" outline="0" showAll="0"/>
    <pivotField compact="0" numFmtId="1" outline="0" showAll="0"/>
    <pivotField dataField="1" compact="0" numFmtId="165" outline="0" showAll="0"/>
    <pivotField compact="0" outline="0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 Total Revenue 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6D5D8B-806F-49AB-9FBC-89D960E48423}" name="PivotTable3" cacheId="8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3:K14" firstHeaderRow="1" firstDataRow="2" firstDataCol="1"/>
  <pivotFields count="8">
    <pivotField compact="0" outline="0" showAll="0"/>
    <pivotField name="Salesperson" axis="axisRow" compact="0" outline="0" showAll="0">
      <items count="10">
        <item x="2"/>
        <item x="0"/>
        <item x="8"/>
        <item x="4"/>
        <item x="5"/>
        <item x="6"/>
        <item x="1"/>
        <item x="7"/>
        <item x="3"/>
        <item t="default"/>
      </items>
    </pivotField>
    <pivotField compact="0" numFmtId="14" outline="0" showAll="0"/>
    <pivotField compact="0" numFmtId="1" outline="0" showAll="0"/>
    <pivotField axis="axisCol" compact="0" outline="0" showAll="0">
      <items count="6">
        <item x="3"/>
        <item x="1"/>
        <item x="0"/>
        <item x="2"/>
        <item x="4"/>
        <item t="default"/>
      </items>
    </pivotField>
    <pivotField compact="0" numFmtId="1" outline="0" showAll="0"/>
    <pivotField dataField="1" compact="0" numFmtId="165" outline="0" showAll="0"/>
    <pivotField compact="0" outline="0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Total Revenue" fld="6" baseField="0" baseItem="0" numFmtId="168"/>
  </dataFields>
  <formats count="6">
    <format dxfId="19">
      <pivotArea type="all" dataOnly="0" outline="0" fieldPosition="0"/>
    </format>
    <format dxfId="20">
      <pivotArea outline="0" collapsedLevelsAreSubtotals="1" fieldPosition="0"/>
    </format>
    <format dxfId="21">
      <pivotArea field="1" type="button" dataOnly="0" labelOnly="1" outline="0" axis="axisRow" fieldPosition="0"/>
    </format>
    <format dxfId="22">
      <pivotArea dataOnly="0" labelOnly="1" outline="0" fieldPosition="0">
        <references count="1">
          <reference field="1" count="0"/>
        </references>
      </pivotArea>
    </format>
    <format dxfId="23">
      <pivotArea dataOnly="0" labelOnly="1" grandRow="1" outline="0" fieldPosition="0"/>
    </format>
    <format dxfId="2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1892" totalsRowShown="0" headerRowDxfId="17" headerRowBorderDxfId="15" tableBorderDxfId="16" totalsRowBorderDxfId="14" headerRowCellStyle="Normal 2">
  <tableColumns count="8">
    <tableColumn id="1" xr3:uid="{00000000-0010-0000-0000-000001000000}" name="Trans Number" dataDxfId="13" dataCellStyle="Normal 2"/>
    <tableColumn id="2" xr3:uid="{00000000-0010-0000-0000-000002000000}" name="Name" dataDxfId="12" dataCellStyle="Normal 2"/>
    <tableColumn id="3" xr3:uid="{00000000-0010-0000-0000-000003000000}" name="Date" dataDxfId="11" dataCellStyle="Normal 2"/>
    <tableColumn id="8" xr3:uid="{EDCAF492-8FA6-4399-9C24-AC9BCA6F5F27}" name="Year" dataDxfId="10" dataCellStyle="Normal 2">
      <calculatedColumnFormula>YEAR(Table1[[#This Row],[Date]])</calculatedColumnFormula>
    </tableColumn>
    <tableColumn id="4" xr3:uid="{00000000-0010-0000-0000-000004000000}" name="Product" dataDxfId="9" dataCellStyle="Normal 2"/>
    <tableColumn id="5" xr3:uid="{00000000-0010-0000-0000-000005000000}" name="Units" dataDxfId="8" dataCellStyle="Normal 2"/>
    <tableColumn id="6" xr3:uid="{00000000-0010-0000-0000-000006000000}" name="Dollars" dataDxfId="7" dataCellStyle="Currency"/>
    <tableColumn id="7" xr3:uid="{00000000-0010-0000-0000-000007000000}" name="Location" dataDxfId="6" dataCellStyle="Normal 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mailto:=CONCAT(LOWER(A12),%22@gmail.com%22)" TargetMode="External"/><Relationship Id="rId1" Type="http://schemas.openxmlformats.org/officeDocument/2006/relationships/hyperlink" Target="mailto:=CONCAT(LOWER(A12),%22@gmail.com%22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0"/>
  <sheetViews>
    <sheetView topLeftCell="A14" zoomScaleNormal="100" workbookViewId="0">
      <selection activeCell="E32" sqref="E32"/>
    </sheetView>
  </sheetViews>
  <sheetFormatPr defaultRowHeight="14.45"/>
  <cols>
    <col min="1" max="1" width="11.140625" customWidth="1"/>
    <col min="2" max="3" width="10.7109375" bestFit="1" customWidth="1"/>
    <col min="4" max="4" width="14.5703125" bestFit="1" customWidth="1"/>
    <col min="5" max="6" width="14.28515625" bestFit="1" customWidth="1"/>
    <col min="7" max="8" width="9.5703125" bestFit="1" customWidth="1"/>
    <col min="9" max="9" width="13.42578125" customWidth="1"/>
    <col min="10" max="10" width="13.5703125" customWidth="1"/>
    <col min="11" max="11" width="11.5703125" bestFit="1" customWidth="1"/>
    <col min="12" max="13" width="16" bestFit="1" customWidth="1"/>
    <col min="14" max="14" width="10.42578125" customWidth="1"/>
    <col min="18" max="18" width="11.5703125" bestFit="1" customWidth="1"/>
  </cols>
  <sheetData>
    <row r="1" spans="1:13">
      <c r="A1" s="48" t="s">
        <v>0</v>
      </c>
      <c r="B1" s="48" t="s">
        <v>1</v>
      </c>
      <c r="H1" s="48" t="s">
        <v>2</v>
      </c>
      <c r="I1" s="48" t="s">
        <v>3</v>
      </c>
    </row>
    <row r="2" spans="1:13">
      <c r="B2" s="48" t="s">
        <v>4</v>
      </c>
      <c r="H2" s="48" t="s">
        <v>5</v>
      </c>
      <c r="I2" s="48" t="s">
        <v>6</v>
      </c>
    </row>
    <row r="3" spans="1:13">
      <c r="A3" s="60" t="s">
        <v>7</v>
      </c>
      <c r="B3" s="60" t="s">
        <v>8</v>
      </c>
      <c r="C3" s="60" t="s">
        <v>9</v>
      </c>
      <c r="D3" s="60" t="s">
        <v>10</v>
      </c>
      <c r="E3" s="60" t="s">
        <v>11</v>
      </c>
      <c r="F3" s="60" t="s">
        <v>12</v>
      </c>
      <c r="H3" s="48" t="s">
        <v>13</v>
      </c>
      <c r="I3" s="48" t="s">
        <v>14</v>
      </c>
    </row>
    <row r="4" spans="1:13">
      <c r="A4" s="15" t="s">
        <v>15</v>
      </c>
      <c r="B4" s="15">
        <v>1100</v>
      </c>
      <c r="C4" s="15">
        <v>77</v>
      </c>
      <c r="D4" s="15">
        <v>120</v>
      </c>
      <c r="E4" s="15">
        <v>52</v>
      </c>
      <c r="F4" s="32">
        <f>SUM(B4:E4)</f>
        <v>1349</v>
      </c>
    </row>
    <row r="5" spans="1:13">
      <c r="A5" s="15" t="s">
        <v>16</v>
      </c>
      <c r="B5" s="15">
        <v>2100</v>
      </c>
      <c r="C5" s="15">
        <v>62</v>
      </c>
      <c r="D5" s="15">
        <v>173</v>
      </c>
      <c r="E5" s="15">
        <v>55</v>
      </c>
      <c r="F5" s="32">
        <f t="shared" ref="F5:F15" si="0">SUM(B5:E5)</f>
        <v>2390</v>
      </c>
      <c r="I5" s="36" t="s">
        <v>17</v>
      </c>
      <c r="J5" s="67" t="s">
        <v>18</v>
      </c>
      <c r="K5" s="67" t="s">
        <v>19</v>
      </c>
    </row>
    <row r="6" spans="1:13">
      <c r="A6" s="15" t="s">
        <v>20</v>
      </c>
      <c r="B6" s="15">
        <v>1300</v>
      </c>
      <c r="C6" s="15">
        <v>62</v>
      </c>
      <c r="D6" s="15">
        <v>268</v>
      </c>
      <c r="E6" s="15">
        <v>63</v>
      </c>
      <c r="F6" s="32">
        <f t="shared" si="0"/>
        <v>1693</v>
      </c>
      <c r="J6" s="46">
        <v>6.2E-2</v>
      </c>
      <c r="K6" s="46">
        <v>1.4500000000000001E-2</v>
      </c>
    </row>
    <row r="7" spans="1:13">
      <c r="A7" s="15" t="s">
        <v>21</v>
      </c>
      <c r="B7" s="15">
        <v>4500</v>
      </c>
      <c r="C7" s="15">
        <v>79</v>
      </c>
      <c r="D7" s="15">
        <v>151</v>
      </c>
      <c r="E7" s="15">
        <v>57</v>
      </c>
      <c r="F7" s="32">
        <f t="shared" si="0"/>
        <v>4787</v>
      </c>
    </row>
    <row r="8" spans="1:13">
      <c r="A8" s="15" t="s">
        <v>22</v>
      </c>
      <c r="B8" s="15">
        <v>2500</v>
      </c>
      <c r="C8" s="15">
        <v>98</v>
      </c>
      <c r="D8" s="15">
        <v>178</v>
      </c>
      <c r="E8" s="15">
        <v>65</v>
      </c>
      <c r="F8" s="32">
        <f t="shared" si="0"/>
        <v>2841</v>
      </c>
      <c r="H8" s="60" t="s">
        <v>23</v>
      </c>
      <c r="I8" s="60" t="s">
        <v>24</v>
      </c>
      <c r="J8" s="60" t="s">
        <v>18</v>
      </c>
      <c r="K8" s="60" t="s">
        <v>19</v>
      </c>
      <c r="L8" s="60" t="s">
        <v>25</v>
      </c>
      <c r="M8" s="60" t="s">
        <v>26</v>
      </c>
    </row>
    <row r="9" spans="1:13">
      <c r="A9" s="15" t="s">
        <v>27</v>
      </c>
      <c r="B9" s="15">
        <v>1600</v>
      </c>
      <c r="C9" s="15">
        <v>96</v>
      </c>
      <c r="D9" s="15">
        <v>100</v>
      </c>
      <c r="E9" s="15">
        <v>91</v>
      </c>
      <c r="F9" s="32">
        <f t="shared" si="0"/>
        <v>1887</v>
      </c>
      <c r="H9" s="15" t="s">
        <v>28</v>
      </c>
      <c r="I9" s="45">
        <v>3500</v>
      </c>
      <c r="J9" s="32">
        <f>I9*$J$6</f>
        <v>217</v>
      </c>
      <c r="K9" s="32">
        <f>I9*$K$6</f>
        <v>50.75</v>
      </c>
      <c r="L9" s="32">
        <f>SUM(J9:K9)</f>
        <v>267.75</v>
      </c>
      <c r="M9" s="76">
        <f>I9-L9</f>
        <v>3232.25</v>
      </c>
    </row>
    <row r="10" spans="1:13">
      <c r="A10" s="15" t="s">
        <v>29</v>
      </c>
      <c r="B10" s="15">
        <v>1500</v>
      </c>
      <c r="C10" s="15">
        <v>88</v>
      </c>
      <c r="D10" s="15">
        <v>223</v>
      </c>
      <c r="E10" s="15">
        <v>44</v>
      </c>
      <c r="F10" s="32">
        <f t="shared" si="0"/>
        <v>1855</v>
      </c>
      <c r="H10" s="15" t="s">
        <v>30</v>
      </c>
      <c r="I10" s="45">
        <v>3784.32</v>
      </c>
      <c r="J10" s="32">
        <f t="shared" ref="J10:J18" si="1">I10*$J$6</f>
        <v>234.62784000000002</v>
      </c>
      <c r="K10" s="32">
        <f t="shared" ref="K10:K18" si="2">I10*$K$6</f>
        <v>54.872640000000004</v>
      </c>
      <c r="L10" s="32">
        <f t="shared" ref="L10:L18" si="3">SUM(J10:K10)</f>
        <v>289.50048000000004</v>
      </c>
      <c r="M10" s="76">
        <f t="shared" ref="M10:M18" si="4">I10-L10</f>
        <v>3494.81952</v>
      </c>
    </row>
    <row r="11" spans="1:13">
      <c r="A11" s="15" t="s">
        <v>31</v>
      </c>
      <c r="B11" s="15">
        <v>900</v>
      </c>
      <c r="C11" s="15">
        <v>95</v>
      </c>
      <c r="D11" s="15">
        <v>165</v>
      </c>
      <c r="E11" s="15">
        <v>63</v>
      </c>
      <c r="F11" s="32">
        <f t="shared" si="0"/>
        <v>1223</v>
      </c>
      <c r="H11" s="15" t="s">
        <v>32</v>
      </c>
      <c r="I11" s="45">
        <v>8565.51</v>
      </c>
      <c r="J11" s="32">
        <f t="shared" si="1"/>
        <v>531.06162000000006</v>
      </c>
      <c r="K11" s="32">
        <f t="shared" si="2"/>
        <v>124.19989500000001</v>
      </c>
      <c r="L11" s="32">
        <f t="shared" si="3"/>
        <v>655.26151500000003</v>
      </c>
      <c r="M11" s="76">
        <f t="shared" si="4"/>
        <v>7910.2484850000001</v>
      </c>
    </row>
    <row r="12" spans="1:13">
      <c r="A12" s="15" t="s">
        <v>33</v>
      </c>
      <c r="B12" s="15">
        <v>2300</v>
      </c>
      <c r="C12" s="15">
        <v>65</v>
      </c>
      <c r="D12" s="15">
        <v>312</v>
      </c>
      <c r="E12" s="15">
        <v>89</v>
      </c>
      <c r="F12" s="32">
        <f t="shared" si="0"/>
        <v>2766</v>
      </c>
      <c r="H12" s="15" t="s">
        <v>34</v>
      </c>
      <c r="I12" s="45">
        <v>2627.99</v>
      </c>
      <c r="J12" s="32">
        <f t="shared" si="1"/>
        <v>162.93537999999998</v>
      </c>
      <c r="K12" s="32">
        <f t="shared" si="2"/>
        <v>38.105854999999998</v>
      </c>
      <c r="L12" s="32">
        <f t="shared" si="3"/>
        <v>201.04123499999997</v>
      </c>
      <c r="M12" s="76">
        <f t="shared" si="4"/>
        <v>2426.9487649999996</v>
      </c>
    </row>
    <row r="13" spans="1:13">
      <c r="A13" s="15" t="s">
        <v>35</v>
      </c>
      <c r="B13" s="15">
        <v>1350</v>
      </c>
      <c r="C13" s="15">
        <v>78</v>
      </c>
      <c r="D13" s="15">
        <v>127</v>
      </c>
      <c r="E13" s="15">
        <v>57</v>
      </c>
      <c r="F13" s="32">
        <f t="shared" si="0"/>
        <v>1612</v>
      </c>
      <c r="H13" s="15" t="s">
        <v>36</v>
      </c>
      <c r="I13" s="45">
        <v>9069.66</v>
      </c>
      <c r="J13" s="32">
        <f t="shared" si="1"/>
        <v>562.31891999999993</v>
      </c>
      <c r="K13" s="32">
        <f t="shared" si="2"/>
        <v>131.51007000000001</v>
      </c>
      <c r="L13" s="32">
        <f t="shared" si="3"/>
        <v>693.82898999999998</v>
      </c>
      <c r="M13" s="76">
        <f t="shared" si="4"/>
        <v>8375.8310099999999</v>
      </c>
    </row>
    <row r="14" spans="1:13">
      <c r="A14" s="15" t="s">
        <v>37</v>
      </c>
      <c r="B14" s="15">
        <v>1050</v>
      </c>
      <c r="C14" s="15">
        <v>81</v>
      </c>
      <c r="D14" s="15">
        <v>189</v>
      </c>
      <c r="E14" s="15">
        <v>81</v>
      </c>
      <c r="F14" s="32">
        <f t="shared" si="0"/>
        <v>1401</v>
      </c>
      <c r="H14" s="15" t="s">
        <v>38</v>
      </c>
      <c r="I14" s="45">
        <v>8504.393</v>
      </c>
      <c r="J14" s="32">
        <f t="shared" si="1"/>
        <v>527.27236600000003</v>
      </c>
      <c r="K14" s="32">
        <f t="shared" si="2"/>
        <v>123.3136985</v>
      </c>
      <c r="L14" s="32">
        <f t="shared" si="3"/>
        <v>650.58606450000002</v>
      </c>
      <c r="M14" s="76">
        <f t="shared" si="4"/>
        <v>7853.8069354999998</v>
      </c>
    </row>
    <row r="15" spans="1:13">
      <c r="A15" s="15" t="s">
        <v>39</v>
      </c>
      <c r="B15" s="15">
        <v>2010</v>
      </c>
      <c r="C15" s="15">
        <v>92</v>
      </c>
      <c r="D15" s="15">
        <v>165</v>
      </c>
      <c r="E15" s="15">
        <v>93</v>
      </c>
      <c r="F15" s="32">
        <f t="shared" si="0"/>
        <v>2360</v>
      </c>
      <c r="H15" s="15" t="s">
        <v>40</v>
      </c>
      <c r="I15" s="45">
        <v>9502.6919999999991</v>
      </c>
      <c r="J15" s="32">
        <f t="shared" si="1"/>
        <v>589.16690399999993</v>
      </c>
      <c r="K15" s="32">
        <f t="shared" si="2"/>
        <v>137.78903399999999</v>
      </c>
      <c r="L15" s="32">
        <f t="shared" si="3"/>
        <v>726.95593799999995</v>
      </c>
      <c r="M15" s="76">
        <f t="shared" si="4"/>
        <v>8775.7360619999999</v>
      </c>
    </row>
    <row r="16" spans="1:13">
      <c r="H16" s="15" t="s">
        <v>41</v>
      </c>
      <c r="I16" s="45">
        <v>6875.5</v>
      </c>
      <c r="J16" s="32">
        <f t="shared" si="1"/>
        <v>426.28100000000001</v>
      </c>
      <c r="K16" s="32">
        <f t="shared" si="2"/>
        <v>99.694749999999999</v>
      </c>
      <c r="L16" s="32">
        <f t="shared" si="3"/>
        <v>525.97575000000006</v>
      </c>
      <c r="M16" s="76">
        <f t="shared" si="4"/>
        <v>6349.5242500000004</v>
      </c>
    </row>
    <row r="17" spans="1:13">
      <c r="H17" s="15" t="s">
        <v>42</v>
      </c>
      <c r="I17" s="45">
        <v>4450.3500000000004</v>
      </c>
      <c r="J17" s="32">
        <f t="shared" si="1"/>
        <v>275.92170000000004</v>
      </c>
      <c r="K17" s="32">
        <f t="shared" si="2"/>
        <v>64.530075000000011</v>
      </c>
      <c r="L17" s="32">
        <f t="shared" si="3"/>
        <v>340.45177500000005</v>
      </c>
      <c r="M17" s="76">
        <f t="shared" si="4"/>
        <v>4109.8982249999999</v>
      </c>
    </row>
    <row r="18" spans="1:13">
      <c r="H18" s="15" t="s">
        <v>43</v>
      </c>
      <c r="I18" s="45">
        <v>7142.8</v>
      </c>
      <c r="J18" s="32">
        <f t="shared" si="1"/>
        <v>442.85360000000003</v>
      </c>
      <c r="K18" s="32">
        <f t="shared" si="2"/>
        <v>103.57060000000001</v>
      </c>
      <c r="L18" s="32">
        <f t="shared" si="3"/>
        <v>546.42420000000004</v>
      </c>
      <c r="M18" s="76">
        <f t="shared" si="4"/>
        <v>6596.3757999999998</v>
      </c>
    </row>
    <row r="20" spans="1:13">
      <c r="A20" s="48" t="s">
        <v>44</v>
      </c>
      <c r="B20" s="48" t="s">
        <v>45</v>
      </c>
    </row>
    <row r="21" spans="1:13">
      <c r="A21" s="48" t="s">
        <v>46</v>
      </c>
      <c r="B21" s="48"/>
    </row>
    <row r="24" spans="1:13">
      <c r="A24" s="36" t="s">
        <v>47</v>
      </c>
      <c r="D24" s="15"/>
      <c r="E24" s="69" t="s">
        <v>48</v>
      </c>
      <c r="F24" s="69" t="s">
        <v>49</v>
      </c>
      <c r="G24" s="69" t="s">
        <v>50</v>
      </c>
      <c r="H24" s="69" t="s">
        <v>51</v>
      </c>
      <c r="L24" s="31" t="s">
        <v>52</v>
      </c>
      <c r="M24" s="31" t="s">
        <v>53</v>
      </c>
    </row>
    <row r="25" spans="1:13">
      <c r="A25" s="68" t="s">
        <v>54</v>
      </c>
      <c r="B25" s="72">
        <v>0.2</v>
      </c>
      <c r="D25" s="69" t="s">
        <v>55</v>
      </c>
      <c r="E25" s="77">
        <v>5000</v>
      </c>
      <c r="F25" s="77">
        <v>6000</v>
      </c>
      <c r="G25" s="77">
        <v>7500</v>
      </c>
      <c r="H25" s="77">
        <v>6900</v>
      </c>
      <c r="L25" s="15" t="s">
        <v>0</v>
      </c>
      <c r="M25" s="15">
        <v>1</v>
      </c>
    </row>
    <row r="26" spans="1:13">
      <c r="A26" s="68" t="s">
        <v>56</v>
      </c>
      <c r="B26" s="72">
        <v>0.15</v>
      </c>
      <c r="D26" s="47" t="s">
        <v>54</v>
      </c>
      <c r="E26" s="32">
        <f>E$25*$B25</f>
        <v>1000</v>
      </c>
      <c r="F26" s="32">
        <f t="shared" ref="F26:H30" si="5">F$25*$B25</f>
        <v>1200</v>
      </c>
      <c r="G26" s="32">
        <f t="shared" si="5"/>
        <v>1500</v>
      </c>
      <c r="H26" s="32">
        <f t="shared" si="5"/>
        <v>1380</v>
      </c>
      <c r="L26" s="15" t="s">
        <v>2</v>
      </c>
      <c r="M26" s="15">
        <v>2</v>
      </c>
    </row>
    <row r="27" spans="1:13">
      <c r="A27" s="68" t="s">
        <v>57</v>
      </c>
      <c r="B27" s="72">
        <v>0.14000000000000001</v>
      </c>
      <c r="D27" s="47" t="s">
        <v>56</v>
      </c>
      <c r="E27" s="32">
        <f t="shared" ref="E27:E30" si="6">E$25*$B26</f>
        <v>750</v>
      </c>
      <c r="F27" s="32">
        <f t="shared" si="5"/>
        <v>900</v>
      </c>
      <c r="G27" s="32">
        <f t="shared" si="5"/>
        <v>1125</v>
      </c>
      <c r="H27" s="32">
        <f t="shared" si="5"/>
        <v>1035</v>
      </c>
      <c r="L27" s="75" t="s">
        <v>5</v>
      </c>
      <c r="M27" s="15">
        <v>1</v>
      </c>
    </row>
    <row r="28" spans="1:13">
      <c r="A28" s="68" t="s">
        <v>58</v>
      </c>
      <c r="B28" s="72">
        <v>0.05</v>
      </c>
      <c r="D28" s="47" t="s">
        <v>57</v>
      </c>
      <c r="E28" s="32">
        <f t="shared" si="6"/>
        <v>700.00000000000011</v>
      </c>
      <c r="F28" s="32">
        <f t="shared" si="5"/>
        <v>840.00000000000011</v>
      </c>
      <c r="G28" s="32">
        <f t="shared" si="5"/>
        <v>1050</v>
      </c>
      <c r="H28" s="32">
        <f t="shared" si="5"/>
        <v>966.00000000000011</v>
      </c>
      <c r="L28" s="75" t="s">
        <v>13</v>
      </c>
      <c r="M28" s="15">
        <v>1</v>
      </c>
    </row>
    <row r="29" spans="1:13">
      <c r="A29" s="68" t="s">
        <v>59</v>
      </c>
      <c r="B29" s="72">
        <v>0.33</v>
      </c>
      <c r="D29" s="47" t="s">
        <v>58</v>
      </c>
      <c r="E29" s="32">
        <f t="shared" si="6"/>
        <v>250</v>
      </c>
      <c r="F29" s="32">
        <f t="shared" si="5"/>
        <v>300</v>
      </c>
      <c r="G29" s="32">
        <f t="shared" si="5"/>
        <v>375</v>
      </c>
      <c r="H29" s="32">
        <f t="shared" si="5"/>
        <v>345</v>
      </c>
      <c r="L29" s="15" t="s">
        <v>44</v>
      </c>
      <c r="M29" s="15">
        <v>2.5</v>
      </c>
    </row>
    <row r="30" spans="1:13">
      <c r="D30" s="47" t="s">
        <v>59</v>
      </c>
      <c r="E30" s="32">
        <f t="shared" si="6"/>
        <v>1650</v>
      </c>
      <c r="F30" s="32">
        <f t="shared" si="5"/>
        <v>1980</v>
      </c>
      <c r="G30" s="32">
        <f t="shared" si="5"/>
        <v>2475</v>
      </c>
      <c r="H30" s="32">
        <f t="shared" si="5"/>
        <v>2277</v>
      </c>
      <c r="L30" s="15" t="s">
        <v>60</v>
      </c>
      <c r="M30" s="15">
        <v>2.5</v>
      </c>
    </row>
    <row r="31" spans="1:13">
      <c r="D31" s="47" t="s">
        <v>12</v>
      </c>
      <c r="E31" s="32">
        <f>SUM(E26:E30)</f>
        <v>4350</v>
      </c>
      <c r="F31" s="32">
        <f t="shared" ref="F31:H31" si="7">SUM(F26:F30)</f>
        <v>5220</v>
      </c>
      <c r="G31" s="32">
        <f t="shared" si="7"/>
        <v>6525</v>
      </c>
      <c r="H31" s="32">
        <f t="shared" si="7"/>
        <v>6003</v>
      </c>
    </row>
    <row r="32" spans="1:13">
      <c r="D32" s="47" t="s">
        <v>61</v>
      </c>
      <c r="E32" s="34">
        <f>E25-E31</f>
        <v>650</v>
      </c>
      <c r="F32" s="34">
        <f t="shared" ref="F32:H32" si="8">F25-F31</f>
        <v>780</v>
      </c>
      <c r="G32" s="34">
        <f t="shared" si="8"/>
        <v>975</v>
      </c>
      <c r="H32" s="34">
        <f t="shared" si="8"/>
        <v>897</v>
      </c>
    </row>
    <row r="33" spans="1:11">
      <c r="K33" s="48" t="s">
        <v>62</v>
      </c>
    </row>
    <row r="37" spans="1:11">
      <c r="A37" s="48" t="s">
        <v>63</v>
      </c>
      <c r="B37" s="48" t="s">
        <v>64</v>
      </c>
    </row>
    <row r="40" spans="1:11">
      <c r="A40" s="15"/>
      <c r="B40" s="20">
        <v>1</v>
      </c>
      <c r="C40" s="20">
        <v>2</v>
      </c>
      <c r="D40" s="20">
        <v>3</v>
      </c>
      <c r="E40" s="20">
        <v>4</v>
      </c>
      <c r="F40" s="20">
        <v>5</v>
      </c>
      <c r="G40" s="20">
        <v>6</v>
      </c>
      <c r="H40" s="20">
        <v>7</v>
      </c>
      <c r="I40" s="20">
        <v>8</v>
      </c>
      <c r="J40" s="20">
        <v>9</v>
      </c>
      <c r="K40" s="20">
        <v>10</v>
      </c>
    </row>
    <row r="41" spans="1:11">
      <c r="A41" s="20">
        <v>1</v>
      </c>
      <c r="B41" s="15">
        <f>B$40*$A41</f>
        <v>1</v>
      </c>
      <c r="C41" s="15">
        <f t="shared" ref="C41:K41" si="9">C$40*$A41</f>
        <v>2</v>
      </c>
      <c r="D41" s="15">
        <f t="shared" si="9"/>
        <v>3</v>
      </c>
      <c r="E41" s="15">
        <f t="shared" si="9"/>
        <v>4</v>
      </c>
      <c r="F41" s="15">
        <f t="shared" si="9"/>
        <v>5</v>
      </c>
      <c r="G41" s="15">
        <f t="shared" si="9"/>
        <v>6</v>
      </c>
      <c r="H41" s="15">
        <f t="shared" si="9"/>
        <v>7</v>
      </c>
      <c r="I41" s="15">
        <f t="shared" si="9"/>
        <v>8</v>
      </c>
      <c r="J41" s="15">
        <f t="shared" si="9"/>
        <v>9</v>
      </c>
      <c r="K41" s="15">
        <f t="shared" si="9"/>
        <v>10</v>
      </c>
    </row>
    <row r="42" spans="1:11">
      <c r="A42" s="20">
        <v>2</v>
      </c>
      <c r="B42" s="15">
        <f t="shared" ref="B42:K50" si="10">B$40*$A42</f>
        <v>2</v>
      </c>
      <c r="C42" s="15">
        <f t="shared" si="10"/>
        <v>4</v>
      </c>
      <c r="D42" s="15">
        <f t="shared" si="10"/>
        <v>6</v>
      </c>
      <c r="E42" s="15">
        <f t="shared" si="10"/>
        <v>8</v>
      </c>
      <c r="F42" s="15">
        <f t="shared" si="10"/>
        <v>10</v>
      </c>
      <c r="G42" s="15">
        <f t="shared" si="10"/>
        <v>12</v>
      </c>
      <c r="H42" s="15">
        <f t="shared" si="10"/>
        <v>14</v>
      </c>
      <c r="I42" s="15">
        <f t="shared" si="10"/>
        <v>16</v>
      </c>
      <c r="J42" s="15">
        <f t="shared" si="10"/>
        <v>18</v>
      </c>
      <c r="K42" s="15">
        <f t="shared" si="10"/>
        <v>20</v>
      </c>
    </row>
    <row r="43" spans="1:11">
      <c r="A43" s="20">
        <v>3</v>
      </c>
      <c r="B43" s="15">
        <f t="shared" si="10"/>
        <v>3</v>
      </c>
      <c r="C43" s="15">
        <f t="shared" si="10"/>
        <v>6</v>
      </c>
      <c r="D43" s="15">
        <f t="shared" si="10"/>
        <v>9</v>
      </c>
      <c r="E43" s="15">
        <f t="shared" si="10"/>
        <v>12</v>
      </c>
      <c r="F43" s="15">
        <f t="shared" si="10"/>
        <v>15</v>
      </c>
      <c r="G43" s="15">
        <f t="shared" si="10"/>
        <v>18</v>
      </c>
      <c r="H43" s="15">
        <f t="shared" si="10"/>
        <v>21</v>
      </c>
      <c r="I43" s="15">
        <f t="shared" si="10"/>
        <v>24</v>
      </c>
      <c r="J43" s="15">
        <f t="shared" si="10"/>
        <v>27</v>
      </c>
      <c r="K43" s="15">
        <f t="shared" si="10"/>
        <v>30</v>
      </c>
    </row>
    <row r="44" spans="1:11">
      <c r="A44" s="20">
        <v>4</v>
      </c>
      <c r="B44" s="15">
        <f t="shared" si="10"/>
        <v>4</v>
      </c>
      <c r="C44" s="15">
        <f t="shared" si="10"/>
        <v>8</v>
      </c>
      <c r="D44" s="15">
        <f t="shared" si="10"/>
        <v>12</v>
      </c>
      <c r="E44" s="15">
        <f t="shared" si="10"/>
        <v>16</v>
      </c>
      <c r="F44" s="15">
        <f t="shared" si="10"/>
        <v>20</v>
      </c>
      <c r="G44" s="15">
        <f t="shared" si="10"/>
        <v>24</v>
      </c>
      <c r="H44" s="15">
        <f t="shared" si="10"/>
        <v>28</v>
      </c>
      <c r="I44" s="15">
        <f t="shared" si="10"/>
        <v>32</v>
      </c>
      <c r="J44" s="15">
        <f t="shared" si="10"/>
        <v>36</v>
      </c>
      <c r="K44" s="15">
        <f t="shared" si="10"/>
        <v>40</v>
      </c>
    </row>
    <row r="45" spans="1:11">
      <c r="A45" s="20">
        <v>5</v>
      </c>
      <c r="B45" s="15">
        <f t="shared" si="10"/>
        <v>5</v>
      </c>
      <c r="C45" s="15">
        <f t="shared" si="10"/>
        <v>10</v>
      </c>
      <c r="D45" s="15">
        <f t="shared" si="10"/>
        <v>15</v>
      </c>
      <c r="E45" s="15">
        <f t="shared" si="10"/>
        <v>20</v>
      </c>
      <c r="F45" s="15">
        <f t="shared" si="10"/>
        <v>25</v>
      </c>
      <c r="G45" s="15">
        <f t="shared" si="10"/>
        <v>30</v>
      </c>
      <c r="H45" s="15">
        <f t="shared" si="10"/>
        <v>35</v>
      </c>
      <c r="I45" s="15">
        <f t="shared" si="10"/>
        <v>40</v>
      </c>
      <c r="J45" s="15">
        <f t="shared" si="10"/>
        <v>45</v>
      </c>
      <c r="K45" s="15">
        <f t="shared" si="10"/>
        <v>50</v>
      </c>
    </row>
    <row r="46" spans="1:11">
      <c r="A46" s="20">
        <v>6</v>
      </c>
      <c r="B46" s="15">
        <f t="shared" si="10"/>
        <v>6</v>
      </c>
      <c r="C46" s="15">
        <f t="shared" si="10"/>
        <v>12</v>
      </c>
      <c r="D46" s="15">
        <f t="shared" si="10"/>
        <v>18</v>
      </c>
      <c r="E46" s="15">
        <f t="shared" si="10"/>
        <v>24</v>
      </c>
      <c r="F46" s="15">
        <f t="shared" si="10"/>
        <v>30</v>
      </c>
      <c r="G46" s="15">
        <f t="shared" si="10"/>
        <v>36</v>
      </c>
      <c r="H46" s="15">
        <f t="shared" si="10"/>
        <v>42</v>
      </c>
      <c r="I46" s="15">
        <f t="shared" si="10"/>
        <v>48</v>
      </c>
      <c r="J46" s="15">
        <f t="shared" si="10"/>
        <v>54</v>
      </c>
      <c r="K46" s="15">
        <f t="shared" si="10"/>
        <v>60</v>
      </c>
    </row>
    <row r="47" spans="1:11">
      <c r="A47" s="20">
        <v>7</v>
      </c>
      <c r="B47" s="15">
        <f t="shared" si="10"/>
        <v>7</v>
      </c>
      <c r="C47" s="15">
        <f t="shared" si="10"/>
        <v>14</v>
      </c>
      <c r="D47" s="15">
        <f t="shared" si="10"/>
        <v>21</v>
      </c>
      <c r="E47" s="15">
        <f t="shared" si="10"/>
        <v>28</v>
      </c>
      <c r="F47" s="15">
        <f t="shared" si="10"/>
        <v>35</v>
      </c>
      <c r="G47" s="15">
        <f t="shared" si="10"/>
        <v>42</v>
      </c>
      <c r="H47" s="15">
        <f t="shared" si="10"/>
        <v>49</v>
      </c>
      <c r="I47" s="15">
        <f t="shared" si="10"/>
        <v>56</v>
      </c>
      <c r="J47" s="15">
        <f t="shared" si="10"/>
        <v>63</v>
      </c>
      <c r="K47" s="15">
        <f t="shared" si="10"/>
        <v>70</v>
      </c>
    </row>
    <row r="48" spans="1:11">
      <c r="A48" s="20">
        <v>8</v>
      </c>
      <c r="B48" s="15">
        <f t="shared" si="10"/>
        <v>8</v>
      </c>
      <c r="C48" s="15">
        <f t="shared" si="10"/>
        <v>16</v>
      </c>
      <c r="D48" s="15">
        <f t="shared" si="10"/>
        <v>24</v>
      </c>
      <c r="E48" s="15">
        <f t="shared" si="10"/>
        <v>32</v>
      </c>
      <c r="F48" s="15">
        <f t="shared" si="10"/>
        <v>40</v>
      </c>
      <c r="G48" s="15">
        <f t="shared" si="10"/>
        <v>48</v>
      </c>
      <c r="H48" s="15">
        <f t="shared" si="10"/>
        <v>56</v>
      </c>
      <c r="I48" s="15">
        <f t="shared" si="10"/>
        <v>64</v>
      </c>
      <c r="J48" s="15">
        <f t="shared" si="10"/>
        <v>72</v>
      </c>
      <c r="K48" s="15">
        <f t="shared" si="10"/>
        <v>80</v>
      </c>
    </row>
    <row r="49" spans="1:11">
      <c r="A49" s="20">
        <v>9</v>
      </c>
      <c r="B49" s="15">
        <f t="shared" si="10"/>
        <v>9</v>
      </c>
      <c r="C49" s="15">
        <f t="shared" si="10"/>
        <v>18</v>
      </c>
      <c r="D49" s="15">
        <f t="shared" si="10"/>
        <v>27</v>
      </c>
      <c r="E49" s="15">
        <f t="shared" si="10"/>
        <v>36</v>
      </c>
      <c r="F49" s="15">
        <f t="shared" si="10"/>
        <v>45</v>
      </c>
      <c r="G49" s="15">
        <f t="shared" si="10"/>
        <v>54</v>
      </c>
      <c r="H49" s="15">
        <f t="shared" si="10"/>
        <v>63</v>
      </c>
      <c r="I49" s="15">
        <f t="shared" si="10"/>
        <v>72</v>
      </c>
      <c r="J49" s="15">
        <f t="shared" si="10"/>
        <v>81</v>
      </c>
      <c r="K49" s="15">
        <f t="shared" si="10"/>
        <v>90</v>
      </c>
    </row>
    <row r="50" spans="1:11">
      <c r="A50" s="20">
        <v>10</v>
      </c>
      <c r="B50" s="15">
        <f t="shared" si="10"/>
        <v>10</v>
      </c>
      <c r="C50" s="15">
        <f t="shared" si="10"/>
        <v>20</v>
      </c>
      <c r="D50" s="15">
        <f t="shared" si="10"/>
        <v>30</v>
      </c>
      <c r="E50" s="15">
        <f t="shared" si="10"/>
        <v>40</v>
      </c>
      <c r="F50" s="15">
        <f t="shared" si="10"/>
        <v>50</v>
      </c>
      <c r="G50" s="15">
        <f t="shared" si="10"/>
        <v>60</v>
      </c>
      <c r="H50" s="15">
        <f t="shared" si="10"/>
        <v>70</v>
      </c>
      <c r="I50" s="15">
        <f t="shared" si="10"/>
        <v>80</v>
      </c>
      <c r="J50" s="15">
        <f t="shared" si="10"/>
        <v>90</v>
      </c>
      <c r="K50" s="15">
        <f t="shared" si="10"/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"/>
  <sheetViews>
    <sheetView workbookViewId="0">
      <selection activeCell="B2" sqref="B2"/>
    </sheetView>
  </sheetViews>
  <sheetFormatPr defaultRowHeight="14.45"/>
  <cols>
    <col min="1" max="1" width="19.140625" customWidth="1"/>
    <col min="4" max="4" width="6.140625" customWidth="1"/>
  </cols>
  <sheetData>
    <row r="1" spans="1:6">
      <c r="A1" s="57" t="s">
        <v>65</v>
      </c>
      <c r="B1" s="57" t="s">
        <v>66</v>
      </c>
    </row>
    <row r="2" spans="1:6">
      <c r="A2" s="18">
        <v>56</v>
      </c>
      <c r="B2" s="43" t="str" cm="1">
        <f t="array" ref="B2">_xlfn.IFS(A2=MAX($A$2:$A$30),"MAX",A2=MIN($A$2:$A$30),"MIN",TRUE,"-")</f>
        <v>-</v>
      </c>
      <c r="D2" s="49" t="s">
        <v>67</v>
      </c>
      <c r="E2" s="48" t="s">
        <v>68</v>
      </c>
    </row>
    <row r="3" spans="1:6">
      <c r="A3" s="18">
        <v>22</v>
      </c>
      <c r="B3" s="43" t="str" cm="1">
        <f t="array" ref="B3">_xlfn.IFS(A3=MAX($A$2:$A$30),"MAX",A3=MIN($A$2:$A$30),"MIN",TRUE,"-")</f>
        <v>-</v>
      </c>
      <c r="E3" s="48" t="s">
        <v>69</v>
      </c>
    </row>
    <row r="4" spans="1:6">
      <c r="A4" s="18">
        <v>35</v>
      </c>
      <c r="B4" s="43" t="str" cm="1">
        <f t="array" ref="B4">_xlfn.IFS(A4=MAX($A$2:$A$30),"MAX",A4=MIN($A$2:$A$30),"MIN",TRUE,"-")</f>
        <v>-</v>
      </c>
    </row>
    <row r="5" spans="1:6">
      <c r="A5" s="18">
        <v>0</v>
      </c>
      <c r="B5" s="43" t="str" cm="1">
        <f t="array" ref="B5">_xlfn.IFS(A5=MAX($A$2:$A$30),"MAX",A5=MIN($A$2:$A$30),"MIN",TRUE,"-")</f>
        <v>MIN</v>
      </c>
    </row>
    <row r="6" spans="1:6">
      <c r="A6" s="18">
        <v>19</v>
      </c>
      <c r="B6" s="43" t="str" cm="1">
        <f t="array" ref="B6">_xlfn.IFS(A6=MAX($A$2:$A$30),"MAX",A6=MIN($A$2:$A$30),"MIN",TRUE,"-")</f>
        <v>-</v>
      </c>
    </row>
    <row r="7" spans="1:6">
      <c r="A7" s="18">
        <v>95</v>
      </c>
      <c r="B7" s="43" t="str" cm="1">
        <f t="array" ref="B7">_xlfn.IFS(A7=MAX($A$2:$A$30),"MAX",A7=MIN($A$2:$A$30),"MIN",TRUE,"-")</f>
        <v>-</v>
      </c>
      <c r="E7" s="31" t="s">
        <v>53</v>
      </c>
      <c r="F7" s="15">
        <v>2</v>
      </c>
    </row>
    <row r="8" spans="1:6">
      <c r="A8" s="18">
        <v>97</v>
      </c>
      <c r="B8" s="43" t="str" cm="1">
        <f t="array" ref="B8">_xlfn.IFS(A8=MAX($A$2:$A$30),"MAX",A8=MIN($A$2:$A$30),"MIN",TRUE,"-")</f>
        <v>-</v>
      </c>
    </row>
    <row r="9" spans="1:6">
      <c r="A9" s="18">
        <v>62</v>
      </c>
      <c r="B9" s="43" t="str" cm="1">
        <f t="array" ref="B9">_xlfn.IFS(A9=MAX($A$2:$A$30),"MAX",A9=MIN($A$2:$A$30),"MIN",TRUE,"-")</f>
        <v>-</v>
      </c>
    </row>
    <row r="10" spans="1:6">
      <c r="A10" s="18">
        <v>78</v>
      </c>
      <c r="B10" s="43" t="str" cm="1">
        <f t="array" ref="B10">_xlfn.IFS(A10=MAX($A$2:$A$30),"MAX",A10=MIN($A$2:$A$30),"MIN",TRUE,"-")</f>
        <v>-</v>
      </c>
    </row>
    <row r="11" spans="1:6">
      <c r="A11" s="18">
        <v>28</v>
      </c>
      <c r="B11" s="43" t="str" cm="1">
        <f t="array" ref="B11">_xlfn.IFS(A11=MAX($A$2:$A$30),"MAX",A11=MIN($A$2:$A$30),"MIN",TRUE,"-")</f>
        <v>-</v>
      </c>
    </row>
    <row r="12" spans="1:6">
      <c r="A12" s="18">
        <v>75</v>
      </c>
      <c r="B12" s="43" t="str" cm="1">
        <f t="array" ref="B12">_xlfn.IFS(A12=MAX($A$2:$A$30),"MAX",A12=MIN($A$2:$A$30),"MIN",TRUE,"-")</f>
        <v>-</v>
      </c>
    </row>
    <row r="13" spans="1:6">
      <c r="A13" s="18">
        <v>72</v>
      </c>
      <c r="B13" s="43" t="str" cm="1">
        <f t="array" ref="B13">_xlfn.IFS(A13=MAX($A$2:$A$30),"MAX",A13=MIN($A$2:$A$30),"MIN",TRUE,"-")</f>
        <v>-</v>
      </c>
    </row>
    <row r="14" spans="1:6">
      <c r="A14" s="18">
        <v>57</v>
      </c>
      <c r="B14" s="43" t="str" cm="1">
        <f t="array" ref="B14">_xlfn.IFS(A14=MAX($A$2:$A$30),"MAX",A14=MIN($A$2:$A$30),"MIN",TRUE,"-")</f>
        <v>-</v>
      </c>
    </row>
    <row r="15" spans="1:6">
      <c r="A15" s="18">
        <v>20</v>
      </c>
      <c r="B15" s="43" t="str" cm="1">
        <f t="array" ref="B15">_xlfn.IFS(A15=MAX($A$2:$A$30),"MAX",A15=MIN($A$2:$A$30),"MIN",TRUE,"-")</f>
        <v>-</v>
      </c>
    </row>
    <row r="16" spans="1:6">
      <c r="A16" s="18">
        <v>13</v>
      </c>
      <c r="B16" s="43" t="str" cm="1">
        <f t="array" ref="B16">_xlfn.IFS(A16=MAX($A$2:$A$30),"MAX",A16=MIN($A$2:$A$30),"MIN",TRUE,"-")</f>
        <v>-</v>
      </c>
    </row>
    <row r="17" spans="1:2">
      <c r="A17" s="18">
        <v>59</v>
      </c>
      <c r="B17" s="43" t="str" cm="1">
        <f t="array" ref="B17">_xlfn.IFS(A17=MAX($A$2:$A$30),"MAX",A17=MIN($A$2:$A$30),"MIN",TRUE,"-")</f>
        <v>-</v>
      </c>
    </row>
    <row r="18" spans="1:2">
      <c r="A18" s="18">
        <v>60</v>
      </c>
      <c r="B18" s="43" t="str" cm="1">
        <f t="array" ref="B18">_xlfn.IFS(A18=MAX($A$2:$A$30),"MAX",A18=MIN($A$2:$A$30),"MIN",TRUE,"-")</f>
        <v>-</v>
      </c>
    </row>
    <row r="19" spans="1:2">
      <c r="A19" s="18">
        <v>56</v>
      </c>
      <c r="B19" s="43" t="str" cm="1">
        <f t="array" ref="B19">_xlfn.IFS(A19=MAX($A$2:$A$30),"MAX",A19=MIN($A$2:$A$30),"MIN",TRUE,"-")</f>
        <v>-</v>
      </c>
    </row>
    <row r="20" spans="1:2">
      <c r="A20" s="18">
        <v>75</v>
      </c>
      <c r="B20" s="43" t="str" cm="1">
        <f t="array" ref="B20">_xlfn.IFS(A20=MAX($A$2:$A$30),"MAX",A20=MIN($A$2:$A$30),"MIN",TRUE,"-")</f>
        <v>-</v>
      </c>
    </row>
    <row r="21" spans="1:2">
      <c r="A21" s="18">
        <v>78</v>
      </c>
      <c r="B21" s="43" t="str" cm="1">
        <f t="array" ref="B21">_xlfn.IFS(A21=MAX($A$2:$A$30),"MAX",A21=MIN($A$2:$A$30),"MIN",TRUE,"-")</f>
        <v>-</v>
      </c>
    </row>
    <row r="22" spans="1:2">
      <c r="A22" s="18">
        <v>94</v>
      </c>
      <c r="B22" s="43" t="str" cm="1">
        <f t="array" ref="B22">_xlfn.IFS(A22=MAX($A$2:$A$30),"MAX",A22=MIN($A$2:$A$30),"MIN",TRUE,"-")</f>
        <v>-</v>
      </c>
    </row>
    <row r="23" spans="1:2">
      <c r="A23" s="18">
        <v>58</v>
      </c>
      <c r="B23" s="43" t="str" cm="1">
        <f t="array" ref="B23">_xlfn.IFS(A23=MAX($A$2:$A$30),"MAX",A23=MIN($A$2:$A$30),"MIN",TRUE,"-")</f>
        <v>-</v>
      </c>
    </row>
    <row r="24" spans="1:2">
      <c r="A24" s="18">
        <v>13</v>
      </c>
      <c r="B24" s="43" t="str" cm="1">
        <f t="array" ref="B24">_xlfn.IFS(A24=MAX($A$2:$A$30),"MAX",A24=MIN($A$2:$A$30),"MIN",TRUE,"-")</f>
        <v>-</v>
      </c>
    </row>
    <row r="25" spans="1:2">
      <c r="A25" s="18">
        <v>100</v>
      </c>
      <c r="B25" s="43" t="str" cm="1">
        <f t="array" ref="B25">_xlfn.IFS(A25=MAX($A$2:$A$30),"MAX",A25=MIN($A$2:$A$30),"MIN",TRUE,"-")</f>
        <v>MAX</v>
      </c>
    </row>
    <row r="26" spans="1:2">
      <c r="A26" s="18">
        <v>53</v>
      </c>
      <c r="B26" s="43" t="str" cm="1">
        <f t="array" ref="B26">_xlfn.IFS(A26=MAX($A$2:$A$30),"MAX",A26=MIN($A$2:$A$30),"MIN",TRUE,"-")</f>
        <v>-</v>
      </c>
    </row>
    <row r="27" spans="1:2">
      <c r="A27" s="18">
        <v>80</v>
      </c>
      <c r="B27" s="43" t="str" cm="1">
        <f t="array" ref="B27">_xlfn.IFS(A27=MAX($A$2:$A$30),"MAX",A27=MIN($A$2:$A$30),"MIN",TRUE,"-")</f>
        <v>-</v>
      </c>
    </row>
    <row r="28" spans="1:2">
      <c r="A28" s="18">
        <v>52</v>
      </c>
      <c r="B28" s="43" t="str" cm="1">
        <f t="array" ref="B28">_xlfn.IFS(A28=MAX($A$2:$A$30),"MAX",A28=MIN($A$2:$A$30),"MIN",TRUE,"-")</f>
        <v>-</v>
      </c>
    </row>
    <row r="29" spans="1:2">
      <c r="A29" s="18">
        <v>65</v>
      </c>
      <c r="B29" s="43" t="str" cm="1">
        <f t="array" ref="B29">_xlfn.IFS(A29=MAX($A$2:$A$30),"MAX",A29=MIN($A$2:$A$30),"MIN",TRUE,"-")</f>
        <v>-</v>
      </c>
    </row>
    <row r="30" spans="1:2">
      <c r="A30" s="18">
        <v>55</v>
      </c>
      <c r="B30" s="43" t="str" cm="1">
        <f t="array" ref="B30">_xlfn.IFS(A30=MAX($A$2:$A$30),"MAX",A30=MIN($A$2:$A$30),"MIN",TRUE,"-")</f>
        <v>-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000"/>
  <sheetViews>
    <sheetView workbookViewId="0">
      <selection activeCell="K11" sqref="K11"/>
    </sheetView>
  </sheetViews>
  <sheetFormatPr defaultRowHeight="15" customHeight="1"/>
  <cols>
    <col min="1" max="2" width="12.5703125" customWidth="1"/>
    <col min="3" max="3" width="14.5703125" customWidth="1"/>
    <col min="4" max="4" width="12.7109375" customWidth="1"/>
    <col min="5" max="5" width="21" bestFit="1" customWidth="1"/>
    <col min="6" max="6" width="11.28515625" bestFit="1" customWidth="1"/>
    <col min="7" max="7" width="13.42578125" customWidth="1"/>
    <col min="8" max="8" width="15.28515625" customWidth="1"/>
    <col min="10" max="10" width="7.28515625" customWidth="1"/>
    <col min="11" max="11" width="14.5703125" customWidth="1"/>
    <col min="12" max="12" width="12.140625" bestFit="1" customWidth="1"/>
    <col min="13" max="13" width="12.5703125" customWidth="1"/>
    <col min="14" max="14" width="12.85546875" customWidth="1"/>
    <col min="15" max="15" width="12.28515625" bestFit="1" customWidth="1"/>
    <col min="16" max="16" width="13.140625" bestFit="1" customWidth="1"/>
    <col min="17" max="17" width="13" customWidth="1"/>
    <col min="18" max="18" width="18.28515625" bestFit="1" customWidth="1"/>
    <col min="19" max="19" width="14" bestFit="1" customWidth="1"/>
    <col min="20" max="20" width="12.7109375" bestFit="1" customWidth="1"/>
    <col min="21" max="21" width="6.5703125" customWidth="1"/>
    <col min="22" max="22" width="11.28515625" bestFit="1" customWidth="1"/>
  </cols>
  <sheetData>
    <row r="1" spans="1:18">
      <c r="A1" s="52" t="s">
        <v>70</v>
      </c>
      <c r="B1" s="52" t="s">
        <v>71</v>
      </c>
      <c r="C1" s="52" t="s">
        <v>72</v>
      </c>
      <c r="D1" s="52" t="s">
        <v>73</v>
      </c>
      <c r="E1" s="52" t="s">
        <v>74</v>
      </c>
      <c r="F1" s="52" t="s">
        <v>75</v>
      </c>
      <c r="G1" s="52" t="s">
        <v>76</v>
      </c>
      <c r="H1" s="53" t="s">
        <v>77</v>
      </c>
      <c r="J1" s="48" t="s">
        <v>0</v>
      </c>
      <c r="K1" s="48" t="s">
        <v>78</v>
      </c>
    </row>
    <row r="2" spans="1:18">
      <c r="A2" s="97">
        <v>38884</v>
      </c>
      <c r="B2" s="98" t="str">
        <f>TEXT($A2,"mmm")</f>
        <v>Jun</v>
      </c>
      <c r="C2" s="99" t="s">
        <v>79</v>
      </c>
      <c r="D2" s="99" t="s">
        <v>80</v>
      </c>
      <c r="E2" s="99" t="s">
        <v>81</v>
      </c>
      <c r="F2" s="99" t="s">
        <v>82</v>
      </c>
      <c r="G2" s="100">
        <v>1835.8971999999999</v>
      </c>
      <c r="H2" s="101">
        <v>3165.34</v>
      </c>
      <c r="Q2" s="31" t="s">
        <v>52</v>
      </c>
      <c r="R2" s="31" t="s">
        <v>53</v>
      </c>
    </row>
    <row r="3" spans="1:18">
      <c r="A3" s="102">
        <v>38883</v>
      </c>
      <c r="B3" s="102" t="str">
        <f>TEXT($A3,"mmm")</f>
        <v>Jun</v>
      </c>
      <c r="C3" s="103" t="s">
        <v>79</v>
      </c>
      <c r="D3" s="103" t="s">
        <v>80</v>
      </c>
      <c r="E3" s="103" t="s">
        <v>83</v>
      </c>
      <c r="F3" s="103" t="s">
        <v>84</v>
      </c>
      <c r="G3" s="104">
        <v>6971.4974999999995</v>
      </c>
      <c r="H3" s="105">
        <v>9295.33</v>
      </c>
      <c r="J3" s="48" t="s">
        <v>85</v>
      </c>
      <c r="K3" s="55" cm="1">
        <f t="array" ref="K3">SUM(SUMIFS($H$2:$H$2000,$E$2:$E$2000,{"Google","Costco"},$C$2:$C$2000,P3))</f>
        <v>433159.17000000004</v>
      </c>
      <c r="L3" s="55"/>
      <c r="M3" s="55"/>
      <c r="P3" s="51" t="s">
        <v>79</v>
      </c>
      <c r="Q3" s="15" t="s">
        <v>0</v>
      </c>
      <c r="R3" s="15">
        <v>2</v>
      </c>
    </row>
    <row r="4" spans="1:18">
      <c r="A4" s="97">
        <v>38883</v>
      </c>
      <c r="B4" s="97" t="str">
        <f>TEXT($A4,"mmm")</f>
        <v>Jun</v>
      </c>
      <c r="C4" s="99" t="s">
        <v>86</v>
      </c>
      <c r="D4" s="99" t="s">
        <v>87</v>
      </c>
      <c r="E4" s="99" t="s">
        <v>83</v>
      </c>
      <c r="F4" s="99" t="s">
        <v>88</v>
      </c>
      <c r="G4" s="100">
        <v>5406.2703000000001</v>
      </c>
      <c r="H4" s="101">
        <v>9163.17</v>
      </c>
      <c r="K4" s="55"/>
      <c r="L4" s="55"/>
      <c r="M4" s="55"/>
      <c r="N4" s="55"/>
      <c r="Q4" s="15" t="s">
        <v>2</v>
      </c>
      <c r="R4" s="15">
        <v>2</v>
      </c>
    </row>
    <row r="5" spans="1:18">
      <c r="A5" s="102">
        <v>38883</v>
      </c>
      <c r="B5" s="102" t="str">
        <f>TEXT($A5,"mmm")</f>
        <v>Jun</v>
      </c>
      <c r="C5" s="103" t="s">
        <v>86</v>
      </c>
      <c r="D5" s="103" t="s">
        <v>87</v>
      </c>
      <c r="E5" s="103" t="s">
        <v>89</v>
      </c>
      <c r="F5" s="103" t="s">
        <v>90</v>
      </c>
      <c r="G5" s="104">
        <v>736.25199999999995</v>
      </c>
      <c r="H5" s="105">
        <v>836.65</v>
      </c>
      <c r="J5" s="48" t="s">
        <v>2</v>
      </c>
      <c r="K5" s="48" t="s">
        <v>91</v>
      </c>
      <c r="O5" s="52" t="s">
        <v>73</v>
      </c>
      <c r="P5" s="52" t="s">
        <v>74</v>
      </c>
      <c r="Q5" s="75" t="s">
        <v>5</v>
      </c>
      <c r="R5" s="15">
        <v>2</v>
      </c>
    </row>
    <row r="6" spans="1:18">
      <c r="A6" s="97">
        <v>38882</v>
      </c>
      <c r="B6" s="97" t="str">
        <f>TEXT($A6,"mmm")</f>
        <v>Jun</v>
      </c>
      <c r="C6" s="99" t="s">
        <v>79</v>
      </c>
      <c r="D6" s="99" t="s">
        <v>92</v>
      </c>
      <c r="E6" s="99" t="s">
        <v>93</v>
      </c>
      <c r="F6" s="99" t="s">
        <v>84</v>
      </c>
      <c r="G6" s="100">
        <v>2065.1130000000003</v>
      </c>
      <c r="H6" s="101">
        <v>4589.1400000000003</v>
      </c>
      <c r="J6" s="48" t="s">
        <v>85</v>
      </c>
      <c r="K6" s="55">
        <f>DSUM($A$1:$H$2000,H1,$O$5:$P$6)</f>
        <v>131672.15</v>
      </c>
      <c r="O6" s="51" t="s">
        <v>87</v>
      </c>
      <c r="P6" s="51" t="s">
        <v>94</v>
      </c>
      <c r="Q6" s="75" t="s">
        <v>13</v>
      </c>
      <c r="R6" s="15">
        <v>2</v>
      </c>
    </row>
    <row r="7" spans="1:18">
      <c r="A7" s="102">
        <v>38882</v>
      </c>
      <c r="B7" s="102" t="str">
        <f>TEXT($A7,"mmm")</f>
        <v>Jun</v>
      </c>
      <c r="C7" s="103" t="s">
        <v>79</v>
      </c>
      <c r="D7" s="103" t="s">
        <v>95</v>
      </c>
      <c r="E7" s="103" t="s">
        <v>96</v>
      </c>
      <c r="F7" s="103" t="s">
        <v>97</v>
      </c>
      <c r="G7" s="104">
        <v>2553.2776000000003</v>
      </c>
      <c r="H7" s="105">
        <v>3754.82</v>
      </c>
      <c r="Q7" s="15" t="s">
        <v>44</v>
      </c>
      <c r="R7" s="15">
        <v>2</v>
      </c>
    </row>
    <row r="8" spans="1:18">
      <c r="A8" s="97">
        <v>38882</v>
      </c>
      <c r="B8" s="97" t="str">
        <f>TEXT($A8,"mmm")</f>
        <v>Jun</v>
      </c>
      <c r="C8" s="99" t="s">
        <v>79</v>
      </c>
      <c r="D8" s="99" t="s">
        <v>98</v>
      </c>
      <c r="E8" s="99" t="s">
        <v>99</v>
      </c>
      <c r="F8" s="99" t="s">
        <v>100</v>
      </c>
      <c r="G8" s="100">
        <v>2315.4340000000002</v>
      </c>
      <c r="H8" s="101">
        <v>3405.05</v>
      </c>
    </row>
    <row r="9" spans="1:18">
      <c r="A9" s="102">
        <v>38882</v>
      </c>
      <c r="B9" s="102" t="str">
        <f>TEXT($A9,"mmm")</f>
        <v>Jun</v>
      </c>
      <c r="C9" s="103" t="s">
        <v>86</v>
      </c>
      <c r="D9" s="103" t="s">
        <v>101</v>
      </c>
      <c r="E9" s="103" t="s">
        <v>81</v>
      </c>
      <c r="F9" s="103" t="s">
        <v>102</v>
      </c>
      <c r="G9" s="104">
        <v>1233.068</v>
      </c>
      <c r="H9" s="105">
        <v>2867.6</v>
      </c>
      <c r="J9" s="48" t="s">
        <v>5</v>
      </c>
      <c r="K9" s="48" t="s">
        <v>103</v>
      </c>
    </row>
    <row r="10" spans="1:18">
      <c r="A10" s="97">
        <v>38881</v>
      </c>
      <c r="B10" s="97" t="str">
        <f>TEXT($A10,"mmm")</f>
        <v>Jun</v>
      </c>
      <c r="C10" s="99" t="s">
        <v>104</v>
      </c>
      <c r="D10" s="99" t="s">
        <v>87</v>
      </c>
      <c r="E10" s="99" t="s">
        <v>105</v>
      </c>
      <c r="F10" s="99" t="s">
        <v>106</v>
      </c>
      <c r="G10" s="100">
        <v>2187.7136</v>
      </c>
      <c r="H10" s="101">
        <v>3771.92</v>
      </c>
      <c r="O10" s="52" t="s">
        <v>75</v>
      </c>
    </row>
    <row r="11" spans="1:18">
      <c r="A11" s="102">
        <v>38880</v>
      </c>
      <c r="B11" s="102" t="str">
        <f>TEXT($A11,"mmm")</f>
        <v>Jun</v>
      </c>
      <c r="C11" s="103" t="s">
        <v>107</v>
      </c>
      <c r="D11" s="103" t="s">
        <v>101</v>
      </c>
      <c r="E11" s="103" t="s">
        <v>108</v>
      </c>
      <c r="F11" s="103" t="s">
        <v>109</v>
      </c>
      <c r="G11" s="104">
        <v>3786.4939999999997</v>
      </c>
      <c r="H11" s="105">
        <v>8805.7999999999993</v>
      </c>
      <c r="J11" s="48" t="s">
        <v>85</v>
      </c>
      <c r="K11" s="55" cm="1">
        <f t="array" ref="K11:K12">COUNTIFS(E2:E2000,N11:N12,B2:B2000,"May")</f>
        <v>0</v>
      </c>
      <c r="L11" s="55"/>
      <c r="M11" s="55"/>
      <c r="N11" s="55"/>
      <c r="O11" s="51" t="s">
        <v>84</v>
      </c>
    </row>
    <row r="12" spans="1:18">
      <c r="A12" s="97">
        <v>38880</v>
      </c>
      <c r="B12" s="97" t="str">
        <f>TEXT($A12,"mmm")</f>
        <v>Jun</v>
      </c>
      <c r="C12" s="99" t="s">
        <v>79</v>
      </c>
      <c r="D12" s="99" t="s">
        <v>87</v>
      </c>
      <c r="E12" s="99" t="s">
        <v>96</v>
      </c>
      <c r="F12" s="99" t="s">
        <v>110</v>
      </c>
      <c r="G12" s="100">
        <v>2964.4780000000001</v>
      </c>
      <c r="H12" s="101">
        <v>5389.96</v>
      </c>
      <c r="K12" s="55">
        <v>0</v>
      </c>
      <c r="L12" s="55"/>
      <c r="M12" s="55"/>
      <c r="N12" s="55"/>
      <c r="O12" s="51" t="s">
        <v>111</v>
      </c>
    </row>
    <row r="13" spans="1:18">
      <c r="A13" s="102">
        <v>38880</v>
      </c>
      <c r="B13" s="102" t="str">
        <f>TEXT($A13,"mmm")</f>
        <v>Jun</v>
      </c>
      <c r="C13" s="103" t="s">
        <v>79</v>
      </c>
      <c r="D13" s="103" t="s">
        <v>92</v>
      </c>
      <c r="E13" s="103" t="s">
        <v>99</v>
      </c>
      <c r="F13" s="103" t="s">
        <v>112</v>
      </c>
      <c r="G13" s="104">
        <v>2292.2224999999999</v>
      </c>
      <c r="H13" s="105">
        <v>5330.75</v>
      </c>
      <c r="J13" s="48" t="s">
        <v>13</v>
      </c>
      <c r="K13" s="48" t="s">
        <v>113</v>
      </c>
      <c r="L13" s="55"/>
      <c r="M13" s="55"/>
      <c r="N13" s="55"/>
      <c r="O13" s="52" t="s">
        <v>74</v>
      </c>
    </row>
    <row r="14" spans="1:18">
      <c r="A14" s="97">
        <v>38879</v>
      </c>
      <c r="B14" s="97" t="str">
        <f>TEXT($A14,"mmm")</f>
        <v>Jun</v>
      </c>
      <c r="C14" s="99" t="s">
        <v>86</v>
      </c>
      <c r="D14" s="99" t="s">
        <v>114</v>
      </c>
      <c r="E14" s="99" t="s">
        <v>93</v>
      </c>
      <c r="F14" s="99" t="s">
        <v>111</v>
      </c>
      <c r="G14" s="100">
        <v>3427.8409999999994</v>
      </c>
      <c r="H14" s="101">
        <v>5809.9</v>
      </c>
      <c r="J14" s="48" t="s">
        <v>85</v>
      </c>
      <c r="K14" s="55">
        <f>DAVERAGE($A$1:$H$2000,H1,O13:O14)</f>
        <v>5073.206580645161</v>
      </c>
      <c r="L14" s="55"/>
      <c r="M14" s="55"/>
      <c r="N14" s="55"/>
      <c r="O14" s="51" t="s">
        <v>83</v>
      </c>
    </row>
    <row r="15" spans="1:18">
      <c r="A15" s="102">
        <v>38878</v>
      </c>
      <c r="B15" s="102" t="str">
        <f>TEXT($A15,"mmm")</f>
        <v>Jun</v>
      </c>
      <c r="C15" s="103" t="s">
        <v>107</v>
      </c>
      <c r="D15" s="103" t="s">
        <v>87</v>
      </c>
      <c r="E15" s="103" t="s">
        <v>81</v>
      </c>
      <c r="F15" s="103" t="s">
        <v>115</v>
      </c>
      <c r="G15" s="104">
        <v>2681.739</v>
      </c>
      <c r="H15" s="105">
        <v>5959.42</v>
      </c>
    </row>
    <row r="16" spans="1:18">
      <c r="A16" s="97">
        <v>38878</v>
      </c>
      <c r="B16" s="97" t="str">
        <f>TEXT($A16,"mmm")</f>
        <v>Jun</v>
      </c>
      <c r="C16" s="99" t="s">
        <v>116</v>
      </c>
      <c r="D16" s="99" t="s">
        <v>87</v>
      </c>
      <c r="E16" s="99" t="s">
        <v>94</v>
      </c>
      <c r="F16" s="99" t="s">
        <v>117</v>
      </c>
      <c r="G16" s="100">
        <v>2336.3963999999996</v>
      </c>
      <c r="H16" s="101">
        <v>5433.48</v>
      </c>
      <c r="O16" s="55"/>
      <c r="P16" s="55"/>
    </row>
    <row r="17" spans="1:16">
      <c r="A17" s="102">
        <v>38878</v>
      </c>
      <c r="B17" s="102" t="str">
        <f>TEXT($A17,"mmm")</f>
        <v>Jun</v>
      </c>
      <c r="C17" s="103" t="s">
        <v>79</v>
      </c>
      <c r="D17" s="103" t="s">
        <v>95</v>
      </c>
      <c r="E17" s="103" t="s">
        <v>81</v>
      </c>
      <c r="F17" s="103" t="s">
        <v>118</v>
      </c>
      <c r="G17" s="104">
        <v>3411.5625500000001</v>
      </c>
      <c r="H17" s="105">
        <v>3648.73</v>
      </c>
      <c r="J17" s="48" t="s">
        <v>44</v>
      </c>
      <c r="K17" s="48" t="s">
        <v>119</v>
      </c>
      <c r="O17" s="55"/>
      <c r="P17" s="55"/>
    </row>
    <row r="18" spans="1:16">
      <c r="A18" s="97">
        <v>38878</v>
      </c>
      <c r="B18" s="97" t="str">
        <f>TEXT($A18,"mmm")</f>
        <v>Jun</v>
      </c>
      <c r="C18" s="99" t="s">
        <v>104</v>
      </c>
      <c r="D18" s="99" t="s">
        <v>114</v>
      </c>
      <c r="E18" s="99" t="s">
        <v>120</v>
      </c>
      <c r="F18" s="99" t="s">
        <v>121</v>
      </c>
      <c r="G18" s="100">
        <v>209.30459999999999</v>
      </c>
      <c r="H18" s="101">
        <v>360.87</v>
      </c>
      <c r="J18" s="48" t="s">
        <v>85</v>
      </c>
      <c r="K18" s="55">
        <f>COUNTIFS($H$2:$H$2000,"&gt;2000",$C$2:$C$2000,"MidWest")</f>
        <v>266</v>
      </c>
      <c r="O18" s="55"/>
      <c r="P18" s="55"/>
    </row>
    <row r="19" spans="1:16">
      <c r="A19" s="102">
        <v>38877</v>
      </c>
      <c r="B19" s="102" t="str">
        <f>TEXT($A19,"mmm")</f>
        <v>Jun</v>
      </c>
      <c r="C19" s="103" t="s">
        <v>79</v>
      </c>
      <c r="D19" s="103" t="s">
        <v>101</v>
      </c>
      <c r="E19" s="103" t="s">
        <v>122</v>
      </c>
      <c r="F19" s="103" t="s">
        <v>123</v>
      </c>
      <c r="G19" s="104">
        <v>4426.8998000000001</v>
      </c>
      <c r="H19" s="105">
        <v>7503.22</v>
      </c>
      <c r="O19" s="55"/>
      <c r="P19" s="55"/>
    </row>
    <row r="20" spans="1:16">
      <c r="A20" s="97">
        <v>38877</v>
      </c>
      <c r="B20" s="97" t="str">
        <f>TEXT($A20,"mmm")</f>
        <v>Jun</v>
      </c>
      <c r="C20" s="99" t="s">
        <v>86</v>
      </c>
      <c r="D20" s="99" t="s">
        <v>87</v>
      </c>
      <c r="E20" s="99" t="s">
        <v>93</v>
      </c>
      <c r="F20" s="99" t="s">
        <v>124</v>
      </c>
      <c r="G20" s="100">
        <v>6487.5183999999999</v>
      </c>
      <c r="H20" s="101">
        <v>7372.18</v>
      </c>
    </row>
    <row r="21" spans="1:16">
      <c r="A21" s="102">
        <v>38877</v>
      </c>
      <c r="B21" s="102" t="str">
        <f>TEXT($A21,"mmm")</f>
        <v>Jun</v>
      </c>
      <c r="C21" s="103" t="s">
        <v>86</v>
      </c>
      <c r="D21" s="103" t="s">
        <v>95</v>
      </c>
      <c r="E21" s="103" t="s">
        <v>81</v>
      </c>
      <c r="F21" s="103" t="s">
        <v>125</v>
      </c>
      <c r="G21" s="104">
        <v>2478.7079999999996</v>
      </c>
      <c r="H21" s="105">
        <v>4201.2</v>
      </c>
    </row>
    <row r="22" spans="1:16">
      <c r="A22" s="97">
        <v>38877</v>
      </c>
      <c r="B22" s="97" t="str">
        <f>TEXT($A22,"mmm")</f>
        <v>Jun</v>
      </c>
      <c r="C22" s="99" t="s">
        <v>79</v>
      </c>
      <c r="D22" s="99" t="s">
        <v>98</v>
      </c>
      <c r="E22" s="99" t="s">
        <v>81</v>
      </c>
      <c r="F22" s="99" t="s">
        <v>126</v>
      </c>
      <c r="G22" s="100">
        <v>1381.6759999999997</v>
      </c>
      <c r="H22" s="101">
        <v>2382.1999999999998</v>
      </c>
      <c r="K22">
        <f>COUNTIF(F2:F2000,"ZET Item")</f>
        <v>2</v>
      </c>
      <c r="L22">
        <f>COUNTIF(F2:F2000,"RBU Item")</f>
        <v>1</v>
      </c>
    </row>
    <row r="23" spans="1:16">
      <c r="A23" s="102">
        <v>38876</v>
      </c>
      <c r="B23" s="102" t="str">
        <f>TEXT($A23,"mmm")</f>
        <v>Jun</v>
      </c>
      <c r="C23" s="103" t="s">
        <v>79</v>
      </c>
      <c r="D23" s="103" t="s">
        <v>127</v>
      </c>
      <c r="E23" s="103" t="s">
        <v>96</v>
      </c>
      <c r="F23" s="103" t="s">
        <v>128</v>
      </c>
      <c r="G23" s="104">
        <v>4295.7172</v>
      </c>
      <c r="H23" s="105">
        <v>9990.0400000000009</v>
      </c>
    </row>
    <row r="24" spans="1:16">
      <c r="A24" s="97">
        <v>38876</v>
      </c>
      <c r="B24" s="97" t="str">
        <f>TEXT($A24,"mmm")</f>
        <v>Jun</v>
      </c>
      <c r="C24" s="99" t="s">
        <v>104</v>
      </c>
      <c r="D24" s="99" t="s">
        <v>92</v>
      </c>
      <c r="E24" s="99" t="s">
        <v>129</v>
      </c>
      <c r="F24" s="99" t="s">
        <v>130</v>
      </c>
      <c r="G24" s="100">
        <v>4949.5336000000007</v>
      </c>
      <c r="H24" s="101">
        <v>8389.0400000000009</v>
      </c>
    </row>
    <row r="25" spans="1:16">
      <c r="A25" s="102">
        <v>38876</v>
      </c>
      <c r="B25" s="102" t="str">
        <f>TEXT($A25,"mmm")</f>
        <v>Jun</v>
      </c>
      <c r="C25" s="103" t="s">
        <v>116</v>
      </c>
      <c r="D25" s="103" t="s">
        <v>101</v>
      </c>
      <c r="E25" s="103" t="s">
        <v>96</v>
      </c>
      <c r="F25" s="103" t="s">
        <v>131</v>
      </c>
      <c r="G25" s="104">
        <v>4651.7015999999994</v>
      </c>
      <c r="H25" s="105">
        <v>7884.24</v>
      </c>
    </row>
    <row r="26" spans="1:16">
      <c r="A26" s="97">
        <v>38876</v>
      </c>
      <c r="B26" s="97" t="str">
        <f>TEXT($A26,"mmm")</f>
        <v>Jun</v>
      </c>
      <c r="C26" s="99" t="s">
        <v>107</v>
      </c>
      <c r="D26" s="99" t="s">
        <v>101</v>
      </c>
      <c r="E26" s="99" t="s">
        <v>94</v>
      </c>
      <c r="F26" s="99" t="s">
        <v>132</v>
      </c>
      <c r="G26" s="100">
        <v>2605.3515000000002</v>
      </c>
      <c r="H26" s="101">
        <v>5789.67</v>
      </c>
    </row>
    <row r="27" spans="1:16">
      <c r="A27" s="102">
        <v>38876</v>
      </c>
      <c r="B27" s="102" t="str">
        <f>TEXT($A27,"mmm")</f>
        <v>Jun</v>
      </c>
      <c r="C27" s="103" t="s">
        <v>86</v>
      </c>
      <c r="D27" s="103" t="s">
        <v>95</v>
      </c>
      <c r="E27" s="103" t="s">
        <v>108</v>
      </c>
      <c r="F27" s="103" t="s">
        <v>133</v>
      </c>
      <c r="G27" s="104">
        <v>1563.0155999999999</v>
      </c>
      <c r="H27" s="105">
        <v>3634.92</v>
      </c>
    </row>
    <row r="28" spans="1:16">
      <c r="A28" s="97">
        <v>38875</v>
      </c>
      <c r="B28" s="97" t="str">
        <f>TEXT($A28,"mmm")</f>
        <v>Jun</v>
      </c>
      <c r="C28" s="99" t="s">
        <v>116</v>
      </c>
      <c r="D28" s="99" t="s">
        <v>80</v>
      </c>
      <c r="E28" s="99" t="s">
        <v>105</v>
      </c>
      <c r="F28" s="99" t="s">
        <v>134</v>
      </c>
      <c r="G28" s="100">
        <v>5395.1260000000002</v>
      </c>
      <c r="H28" s="101">
        <v>9809.32</v>
      </c>
    </row>
    <row r="29" spans="1:16">
      <c r="A29" s="102">
        <v>38875</v>
      </c>
      <c r="B29" s="102" t="str">
        <f>TEXT($A29,"mmm")</f>
        <v>Jun</v>
      </c>
      <c r="C29" s="103" t="s">
        <v>104</v>
      </c>
      <c r="D29" s="103" t="s">
        <v>127</v>
      </c>
      <c r="E29" s="103" t="s">
        <v>89</v>
      </c>
      <c r="F29" s="103" t="s">
        <v>135</v>
      </c>
      <c r="G29" s="104">
        <v>6353.3624000000009</v>
      </c>
      <c r="H29" s="105">
        <v>9343.18</v>
      </c>
    </row>
    <row r="30" spans="1:16">
      <c r="A30" s="97">
        <v>38875</v>
      </c>
      <c r="B30" s="97" t="str">
        <f>TEXT($A30,"mmm")</f>
        <v>Jun</v>
      </c>
      <c r="C30" s="99" t="s">
        <v>107</v>
      </c>
      <c r="D30" s="99" t="s">
        <v>127</v>
      </c>
      <c r="E30" s="99" t="s">
        <v>120</v>
      </c>
      <c r="F30" s="99" t="s">
        <v>136</v>
      </c>
      <c r="G30" s="100">
        <v>3401.7208000000001</v>
      </c>
      <c r="H30" s="101">
        <v>9193.84</v>
      </c>
    </row>
    <row r="31" spans="1:16">
      <c r="A31" s="102">
        <v>38875</v>
      </c>
      <c r="B31" s="102" t="str">
        <f>TEXT($A31,"mmm")</f>
        <v>Jun</v>
      </c>
      <c r="C31" s="103" t="s">
        <v>104</v>
      </c>
      <c r="D31" s="103" t="s">
        <v>80</v>
      </c>
      <c r="E31" s="103" t="s">
        <v>105</v>
      </c>
      <c r="F31" s="103" t="s">
        <v>137</v>
      </c>
      <c r="G31" s="104">
        <v>3084.5731000000001</v>
      </c>
      <c r="H31" s="105">
        <v>5228.09</v>
      </c>
    </row>
    <row r="32" spans="1:16">
      <c r="A32" s="97">
        <v>38875</v>
      </c>
      <c r="B32" s="97" t="str">
        <f>TEXT($A32,"mmm")</f>
        <v>Jun</v>
      </c>
      <c r="C32" s="99" t="s">
        <v>79</v>
      </c>
      <c r="D32" s="99" t="s">
        <v>98</v>
      </c>
      <c r="E32" s="99" t="s">
        <v>94</v>
      </c>
      <c r="F32" s="99" t="s">
        <v>138</v>
      </c>
      <c r="G32" s="100">
        <v>1569.5120999999999</v>
      </c>
      <c r="H32" s="101">
        <v>2660.19</v>
      </c>
    </row>
    <row r="33" spans="1:8">
      <c r="A33" s="102">
        <v>38875</v>
      </c>
      <c r="B33" s="102" t="str">
        <f>TEXT($A33,"mmm")</f>
        <v>Jun</v>
      </c>
      <c r="C33" s="103" t="s">
        <v>79</v>
      </c>
      <c r="D33" s="103" t="s">
        <v>92</v>
      </c>
      <c r="E33" s="103" t="s">
        <v>81</v>
      </c>
      <c r="F33" s="103" t="s">
        <v>139</v>
      </c>
      <c r="G33" s="104">
        <v>1155.048</v>
      </c>
      <c r="H33" s="105">
        <v>1698.6</v>
      </c>
    </row>
    <row r="34" spans="1:8">
      <c r="A34" s="97">
        <v>38875</v>
      </c>
      <c r="B34" s="97" t="str">
        <f>TEXT($A34,"mmm")</f>
        <v>Jun</v>
      </c>
      <c r="C34" s="99" t="s">
        <v>79</v>
      </c>
      <c r="D34" s="99" t="s">
        <v>80</v>
      </c>
      <c r="E34" s="99" t="s">
        <v>83</v>
      </c>
      <c r="F34" s="99" t="s">
        <v>140</v>
      </c>
      <c r="G34" s="100">
        <v>391.89600000000002</v>
      </c>
      <c r="H34" s="101">
        <v>870.88</v>
      </c>
    </row>
    <row r="35" spans="1:8">
      <c r="A35" s="102">
        <v>38875</v>
      </c>
      <c r="B35" s="102" t="str">
        <f>TEXT($A35,"mmm")</f>
        <v>Jun</v>
      </c>
      <c r="C35" s="103" t="s">
        <v>116</v>
      </c>
      <c r="D35" s="103" t="s">
        <v>87</v>
      </c>
      <c r="E35" s="103" t="s">
        <v>99</v>
      </c>
      <c r="F35" s="103" t="s">
        <v>141</v>
      </c>
      <c r="G35" s="104">
        <v>304.81</v>
      </c>
      <c r="H35" s="105">
        <v>326</v>
      </c>
    </row>
    <row r="36" spans="1:8">
      <c r="A36" s="97">
        <v>38874</v>
      </c>
      <c r="B36" s="97" t="str">
        <f>TEXT($A36,"mmm")</f>
        <v>Jun</v>
      </c>
      <c r="C36" s="99" t="s">
        <v>79</v>
      </c>
      <c r="D36" s="99" t="s">
        <v>87</v>
      </c>
      <c r="E36" s="99" t="s">
        <v>108</v>
      </c>
      <c r="F36" s="99" t="s">
        <v>142</v>
      </c>
      <c r="G36" s="100">
        <v>5231.1224999999995</v>
      </c>
      <c r="H36" s="101">
        <v>6974.83</v>
      </c>
    </row>
    <row r="37" spans="1:8">
      <c r="A37" s="102">
        <v>38874</v>
      </c>
      <c r="B37" s="102" t="str">
        <f>TEXT($A37,"mmm")</f>
        <v>Jun</v>
      </c>
      <c r="C37" s="103" t="s">
        <v>116</v>
      </c>
      <c r="D37" s="103" t="s">
        <v>87</v>
      </c>
      <c r="E37" s="103" t="s">
        <v>129</v>
      </c>
      <c r="F37" s="103" t="s">
        <v>143</v>
      </c>
      <c r="G37" s="104">
        <v>1701.5422999999998</v>
      </c>
      <c r="H37" s="105">
        <v>2883.97</v>
      </c>
    </row>
    <row r="38" spans="1:8">
      <c r="A38" s="97">
        <v>38873</v>
      </c>
      <c r="B38" s="97" t="str">
        <f>TEXT($A38,"mmm")</f>
        <v>Jun</v>
      </c>
      <c r="C38" s="99" t="s">
        <v>79</v>
      </c>
      <c r="D38" s="99" t="s">
        <v>92</v>
      </c>
      <c r="E38" s="99" t="s">
        <v>144</v>
      </c>
      <c r="F38" s="99" t="s">
        <v>145</v>
      </c>
      <c r="G38" s="100">
        <v>1755.6580000000001</v>
      </c>
      <c r="H38" s="101">
        <v>2581.85</v>
      </c>
    </row>
    <row r="39" spans="1:8">
      <c r="A39" s="102">
        <v>38873</v>
      </c>
      <c r="B39" s="102" t="str">
        <f>TEXT($A39,"mmm")</f>
        <v>Jun</v>
      </c>
      <c r="C39" s="103" t="s">
        <v>79</v>
      </c>
      <c r="D39" s="103" t="s">
        <v>114</v>
      </c>
      <c r="E39" s="103" t="s">
        <v>99</v>
      </c>
      <c r="F39" s="103" t="s">
        <v>146</v>
      </c>
      <c r="G39" s="104">
        <v>1012.1468500000001</v>
      </c>
      <c r="H39" s="105">
        <v>1082.51</v>
      </c>
    </row>
    <row r="40" spans="1:8">
      <c r="A40" s="97">
        <v>38871</v>
      </c>
      <c r="B40" s="97" t="str">
        <f>TEXT($A40,"mmm")</f>
        <v>Jun</v>
      </c>
      <c r="C40" s="99" t="s">
        <v>86</v>
      </c>
      <c r="D40" s="99" t="s">
        <v>127</v>
      </c>
      <c r="E40" s="99" t="s">
        <v>105</v>
      </c>
      <c r="F40" s="99" t="s">
        <v>147</v>
      </c>
      <c r="G40" s="100">
        <v>3317.4607000000001</v>
      </c>
      <c r="H40" s="101">
        <v>8966.11</v>
      </c>
    </row>
    <row r="41" spans="1:8">
      <c r="A41" s="102">
        <v>38871</v>
      </c>
      <c r="B41" s="102" t="str">
        <f>TEXT($A41,"mmm")</f>
        <v>Jun</v>
      </c>
      <c r="C41" s="103" t="s">
        <v>107</v>
      </c>
      <c r="D41" s="103" t="s">
        <v>127</v>
      </c>
      <c r="E41" s="103" t="s">
        <v>99</v>
      </c>
      <c r="F41" s="103" t="s">
        <v>148</v>
      </c>
      <c r="G41" s="104">
        <v>1291.4625000000001</v>
      </c>
      <c r="H41" s="105">
        <v>1721.95</v>
      </c>
    </row>
    <row r="42" spans="1:8">
      <c r="A42" s="97">
        <v>38870</v>
      </c>
      <c r="B42" s="97" t="str">
        <f>TEXT($A42,"mmm")</f>
        <v>Jun</v>
      </c>
      <c r="C42" s="99" t="s">
        <v>79</v>
      </c>
      <c r="D42" s="99" t="s">
        <v>87</v>
      </c>
      <c r="E42" s="99" t="s">
        <v>120</v>
      </c>
      <c r="F42" s="99" t="s">
        <v>149</v>
      </c>
      <c r="G42" s="100">
        <v>4304.3099000000002</v>
      </c>
      <c r="H42" s="101">
        <v>4603.54</v>
      </c>
    </row>
    <row r="43" spans="1:8">
      <c r="A43" s="102">
        <v>38869</v>
      </c>
      <c r="B43" s="102" t="str">
        <f>TEXT($A43,"mmm")</f>
        <v>Jun</v>
      </c>
      <c r="C43" s="103" t="s">
        <v>79</v>
      </c>
      <c r="D43" s="103" t="s">
        <v>98</v>
      </c>
      <c r="E43" s="103" t="s">
        <v>122</v>
      </c>
      <c r="F43" s="103" t="s">
        <v>150</v>
      </c>
      <c r="G43" s="104">
        <v>1276.155</v>
      </c>
      <c r="H43" s="105">
        <v>1701.54</v>
      </c>
    </row>
    <row r="44" spans="1:8">
      <c r="A44" s="97">
        <v>38869</v>
      </c>
      <c r="B44" s="97" t="str">
        <f>TEXT($A44,"mmm")</f>
        <v>Jun</v>
      </c>
      <c r="C44" s="99" t="s">
        <v>86</v>
      </c>
      <c r="D44" s="99" t="s">
        <v>87</v>
      </c>
      <c r="E44" s="99" t="s">
        <v>122</v>
      </c>
      <c r="F44" s="99" t="s">
        <v>151</v>
      </c>
      <c r="G44" s="100">
        <v>296.5985</v>
      </c>
      <c r="H44" s="101">
        <v>539.27</v>
      </c>
    </row>
    <row r="45" spans="1:8">
      <c r="A45" s="102">
        <v>38868</v>
      </c>
      <c r="B45" s="102" t="str">
        <f>TEXT($A45,"mmm")</f>
        <v>May</v>
      </c>
      <c r="C45" s="103" t="s">
        <v>79</v>
      </c>
      <c r="D45" s="103" t="s">
        <v>80</v>
      </c>
      <c r="E45" s="103" t="s">
        <v>108</v>
      </c>
      <c r="F45" s="103" t="s">
        <v>152</v>
      </c>
      <c r="G45" s="104">
        <v>4494.4470000000001</v>
      </c>
      <c r="H45" s="105">
        <v>9987.66</v>
      </c>
    </row>
    <row r="46" spans="1:8">
      <c r="A46" s="97">
        <v>38867</v>
      </c>
      <c r="B46" s="97" t="str">
        <f>TEXT($A46,"mmm")</f>
        <v>May</v>
      </c>
      <c r="C46" s="99" t="s">
        <v>104</v>
      </c>
      <c r="D46" s="99" t="s">
        <v>87</v>
      </c>
      <c r="E46" s="99" t="s">
        <v>120</v>
      </c>
      <c r="F46" s="99" t="s">
        <v>153</v>
      </c>
      <c r="G46" s="100">
        <v>5224.1909500000002</v>
      </c>
      <c r="H46" s="101">
        <v>5587.37</v>
      </c>
    </row>
    <row r="47" spans="1:8">
      <c r="A47" s="102">
        <v>38867</v>
      </c>
      <c r="B47" s="102" t="str">
        <f>TEXT($A47,"mmm")</f>
        <v>May</v>
      </c>
      <c r="C47" s="103" t="s">
        <v>116</v>
      </c>
      <c r="D47" s="103" t="s">
        <v>127</v>
      </c>
      <c r="E47" s="103" t="s">
        <v>96</v>
      </c>
      <c r="F47" s="103" t="s">
        <v>154</v>
      </c>
      <c r="G47" s="104">
        <v>4190.1288000000004</v>
      </c>
      <c r="H47" s="105">
        <v>4761.51</v>
      </c>
    </row>
    <row r="48" spans="1:8">
      <c r="A48" s="97">
        <v>38867</v>
      </c>
      <c r="B48" s="97" t="str">
        <f>TEXT($A48,"mmm")</f>
        <v>May</v>
      </c>
      <c r="C48" s="99" t="s">
        <v>104</v>
      </c>
      <c r="D48" s="99" t="s">
        <v>114</v>
      </c>
      <c r="E48" s="99" t="s">
        <v>93</v>
      </c>
      <c r="F48" s="99" t="s">
        <v>155</v>
      </c>
      <c r="G48" s="100">
        <v>1117.5012999999999</v>
      </c>
      <c r="H48" s="101">
        <v>1894.07</v>
      </c>
    </row>
    <row r="49" spans="1:8">
      <c r="A49" s="102">
        <v>38867</v>
      </c>
      <c r="B49" s="102" t="str">
        <f>TEXT($A49,"mmm")</f>
        <v>May</v>
      </c>
      <c r="C49" s="103" t="s">
        <v>116</v>
      </c>
      <c r="D49" s="103" t="s">
        <v>127</v>
      </c>
      <c r="E49" s="103" t="s">
        <v>96</v>
      </c>
      <c r="F49" s="103" t="s">
        <v>156</v>
      </c>
      <c r="G49" s="104">
        <v>1138.0952</v>
      </c>
      <c r="H49" s="105">
        <v>1293.29</v>
      </c>
    </row>
    <row r="50" spans="1:8">
      <c r="A50" s="97">
        <v>38866</v>
      </c>
      <c r="B50" s="97" t="str">
        <f>TEXT($A50,"mmm")</f>
        <v>May</v>
      </c>
      <c r="C50" s="99" t="s">
        <v>86</v>
      </c>
      <c r="D50" s="99" t="s">
        <v>101</v>
      </c>
      <c r="E50" s="99" t="s">
        <v>105</v>
      </c>
      <c r="F50" s="99" t="s">
        <v>157</v>
      </c>
      <c r="G50" s="100">
        <v>4263.1784000000007</v>
      </c>
      <c r="H50" s="101">
        <v>6269.38</v>
      </c>
    </row>
    <row r="51" spans="1:8">
      <c r="A51" s="102">
        <v>38866</v>
      </c>
      <c r="B51" s="102" t="str">
        <f>TEXT($A51,"mmm")</f>
        <v>May</v>
      </c>
      <c r="C51" s="103" t="s">
        <v>107</v>
      </c>
      <c r="D51" s="103" t="s">
        <v>101</v>
      </c>
      <c r="E51" s="103" t="s">
        <v>158</v>
      </c>
      <c r="F51" s="103" t="s">
        <v>159</v>
      </c>
      <c r="G51" s="104">
        <v>295.78559999999999</v>
      </c>
      <c r="H51" s="105">
        <v>336.12</v>
      </c>
    </row>
    <row r="52" spans="1:8">
      <c r="A52" s="97">
        <v>38866</v>
      </c>
      <c r="B52" s="97" t="str">
        <f>TEXT($A52,"mmm")</f>
        <v>May</v>
      </c>
      <c r="C52" s="99" t="s">
        <v>79</v>
      </c>
      <c r="D52" s="99" t="s">
        <v>98</v>
      </c>
      <c r="E52" s="99" t="s">
        <v>129</v>
      </c>
      <c r="F52" s="99" t="s">
        <v>160</v>
      </c>
      <c r="G52" s="100">
        <v>305.01570000000004</v>
      </c>
      <c r="H52" s="101">
        <v>326.22000000000003</v>
      </c>
    </row>
    <row r="53" spans="1:8">
      <c r="A53" s="102">
        <v>38865</v>
      </c>
      <c r="B53" s="102" t="str">
        <f>TEXT($A53,"mmm")</f>
        <v>May</v>
      </c>
      <c r="C53" s="103" t="s">
        <v>107</v>
      </c>
      <c r="D53" s="103" t="s">
        <v>80</v>
      </c>
      <c r="E53" s="103" t="s">
        <v>105</v>
      </c>
      <c r="F53" s="103" t="s">
        <v>161</v>
      </c>
      <c r="G53" s="104">
        <v>5262.2075000000004</v>
      </c>
      <c r="H53" s="105">
        <v>9567.65</v>
      </c>
    </row>
    <row r="54" spans="1:8">
      <c r="A54" s="97">
        <v>38865</v>
      </c>
      <c r="B54" s="97" t="str">
        <f>TEXT($A54,"mmm")</f>
        <v>May</v>
      </c>
      <c r="C54" s="99" t="s">
        <v>86</v>
      </c>
      <c r="D54" s="99" t="s">
        <v>92</v>
      </c>
      <c r="E54" s="99" t="s">
        <v>108</v>
      </c>
      <c r="F54" s="99" t="s">
        <v>162</v>
      </c>
      <c r="G54" s="100">
        <v>1075.8901000000001</v>
      </c>
      <c r="H54" s="101">
        <v>2502.0700000000002</v>
      </c>
    </row>
    <row r="55" spans="1:8">
      <c r="A55" s="102">
        <v>38864</v>
      </c>
      <c r="B55" s="102" t="str">
        <f>TEXT($A55,"mmm")</f>
        <v>May</v>
      </c>
      <c r="C55" s="103" t="s">
        <v>107</v>
      </c>
      <c r="D55" s="103" t="s">
        <v>92</v>
      </c>
      <c r="E55" s="103" t="s">
        <v>96</v>
      </c>
      <c r="F55" s="103" t="s">
        <v>163</v>
      </c>
      <c r="G55" s="104">
        <v>5422.665</v>
      </c>
      <c r="H55" s="105">
        <v>7230.22</v>
      </c>
    </row>
    <row r="56" spans="1:8">
      <c r="A56" s="97">
        <v>38864</v>
      </c>
      <c r="B56" s="97" t="str">
        <f>TEXT($A56,"mmm")</f>
        <v>May</v>
      </c>
      <c r="C56" s="99" t="s">
        <v>104</v>
      </c>
      <c r="D56" s="99" t="s">
        <v>114</v>
      </c>
      <c r="E56" s="99" t="s">
        <v>89</v>
      </c>
      <c r="F56" s="99" t="s">
        <v>164</v>
      </c>
      <c r="G56" s="100">
        <v>2289.2539999999999</v>
      </c>
      <c r="H56" s="101">
        <v>4162.28</v>
      </c>
    </row>
    <row r="57" spans="1:8">
      <c r="A57" s="102">
        <v>38864</v>
      </c>
      <c r="B57" s="102" t="str">
        <f>TEXT($A57,"mmm")</f>
        <v>May</v>
      </c>
      <c r="C57" s="103" t="s">
        <v>107</v>
      </c>
      <c r="D57" s="103" t="s">
        <v>101</v>
      </c>
      <c r="E57" s="103" t="s">
        <v>122</v>
      </c>
      <c r="F57" s="103" t="s">
        <v>165</v>
      </c>
      <c r="G57" s="104">
        <v>1067.1624999999999</v>
      </c>
      <c r="H57" s="105">
        <v>1808.75</v>
      </c>
    </row>
    <row r="58" spans="1:8">
      <c r="A58" s="97">
        <v>38864</v>
      </c>
      <c r="B58" s="97" t="str">
        <f>TEXT($A58,"mmm")</f>
        <v>May</v>
      </c>
      <c r="C58" s="99" t="s">
        <v>107</v>
      </c>
      <c r="D58" s="99" t="s">
        <v>98</v>
      </c>
      <c r="E58" s="99" t="s">
        <v>129</v>
      </c>
      <c r="F58" s="99" t="s">
        <v>166</v>
      </c>
      <c r="G58" s="100">
        <v>87.245999999999995</v>
      </c>
      <c r="H58" s="101">
        <v>193.88</v>
      </c>
    </row>
    <row r="59" spans="1:8">
      <c r="A59" s="102">
        <v>38863</v>
      </c>
      <c r="B59" s="102" t="str">
        <f>TEXT($A59,"mmm")</f>
        <v>May</v>
      </c>
      <c r="C59" s="103" t="s">
        <v>79</v>
      </c>
      <c r="D59" s="103" t="s">
        <v>127</v>
      </c>
      <c r="E59" s="103" t="s">
        <v>81</v>
      </c>
      <c r="F59" s="103" t="s">
        <v>167</v>
      </c>
      <c r="G59" s="104">
        <v>5846.415</v>
      </c>
      <c r="H59" s="105">
        <v>7795.22</v>
      </c>
    </row>
    <row r="60" spans="1:8">
      <c r="A60" s="97">
        <v>38863</v>
      </c>
      <c r="B60" s="97" t="str">
        <f>TEXT($A60,"mmm")</f>
        <v>May</v>
      </c>
      <c r="C60" s="99" t="s">
        <v>79</v>
      </c>
      <c r="D60" s="99" t="s">
        <v>92</v>
      </c>
      <c r="E60" s="99" t="s">
        <v>105</v>
      </c>
      <c r="F60" s="99" t="s">
        <v>168</v>
      </c>
      <c r="G60" s="100">
        <v>3631.5148999999997</v>
      </c>
      <c r="H60" s="101">
        <v>6155.11</v>
      </c>
    </row>
    <row r="61" spans="1:8">
      <c r="A61" s="102">
        <v>38863</v>
      </c>
      <c r="B61" s="102" t="str">
        <f>TEXT($A61,"mmm")</f>
        <v>May</v>
      </c>
      <c r="C61" s="103" t="s">
        <v>79</v>
      </c>
      <c r="D61" s="103" t="s">
        <v>92</v>
      </c>
      <c r="E61" s="103" t="s">
        <v>96</v>
      </c>
      <c r="F61" s="103" t="s">
        <v>169</v>
      </c>
      <c r="G61" s="104">
        <v>194.82100000000003</v>
      </c>
      <c r="H61" s="105">
        <v>354.22</v>
      </c>
    </row>
    <row r="62" spans="1:8">
      <c r="A62" s="97">
        <v>38862</v>
      </c>
      <c r="B62" s="97" t="str">
        <f>TEXT($A62,"mmm")</f>
        <v>May</v>
      </c>
      <c r="C62" s="99" t="s">
        <v>107</v>
      </c>
      <c r="D62" s="99" t="s">
        <v>127</v>
      </c>
      <c r="E62" s="99" t="s">
        <v>158</v>
      </c>
      <c r="F62" s="99" t="s">
        <v>170</v>
      </c>
      <c r="G62" s="100">
        <v>2580.6390000000001</v>
      </c>
      <c r="H62" s="101">
        <v>6974.7</v>
      </c>
    </row>
    <row r="63" spans="1:8">
      <c r="A63" s="102">
        <v>38862</v>
      </c>
      <c r="B63" s="102" t="str">
        <f>TEXT($A63,"mmm")</f>
        <v>May</v>
      </c>
      <c r="C63" s="103" t="s">
        <v>104</v>
      </c>
      <c r="D63" s="103" t="s">
        <v>92</v>
      </c>
      <c r="E63" s="103" t="s">
        <v>122</v>
      </c>
      <c r="F63" s="103" t="s">
        <v>171</v>
      </c>
      <c r="G63" s="104">
        <v>1259.0744</v>
      </c>
      <c r="H63" s="105">
        <v>2928.08</v>
      </c>
    </row>
    <row r="64" spans="1:8">
      <c r="A64" s="97">
        <v>38861</v>
      </c>
      <c r="B64" s="97" t="str">
        <f>TEXT($A64,"mmm")</f>
        <v>May</v>
      </c>
      <c r="C64" s="99" t="s">
        <v>86</v>
      </c>
      <c r="D64" s="99" t="s">
        <v>80</v>
      </c>
      <c r="E64" s="99" t="s">
        <v>129</v>
      </c>
      <c r="F64" s="99" t="s">
        <v>172</v>
      </c>
      <c r="G64" s="100">
        <v>2175.6752999999999</v>
      </c>
      <c r="H64" s="101">
        <v>5059.71</v>
      </c>
    </row>
    <row r="65" spans="1:8">
      <c r="A65" s="102">
        <v>38861</v>
      </c>
      <c r="B65" s="102" t="str">
        <f>TEXT($A65,"mmm")</f>
        <v>May</v>
      </c>
      <c r="C65" s="103" t="s">
        <v>79</v>
      </c>
      <c r="D65" s="103" t="s">
        <v>92</v>
      </c>
      <c r="E65" s="103" t="s">
        <v>129</v>
      </c>
      <c r="F65" s="103" t="s">
        <v>173</v>
      </c>
      <c r="G65" s="104">
        <v>823.97889999999995</v>
      </c>
      <c r="H65" s="105">
        <v>2226.9699999999998</v>
      </c>
    </row>
    <row r="66" spans="1:8">
      <c r="A66" s="97">
        <v>38860</v>
      </c>
      <c r="B66" s="97" t="str">
        <f>TEXT($A66,"mmm")</f>
        <v>May</v>
      </c>
      <c r="C66" s="99" t="s">
        <v>79</v>
      </c>
      <c r="D66" s="99" t="s">
        <v>92</v>
      </c>
      <c r="E66" s="99" t="s">
        <v>120</v>
      </c>
      <c r="F66" s="99" t="s">
        <v>174</v>
      </c>
      <c r="G66" s="100">
        <v>6767.5080000000007</v>
      </c>
      <c r="H66" s="101">
        <v>7690.35</v>
      </c>
    </row>
    <row r="67" spans="1:8">
      <c r="A67" s="102">
        <v>38859</v>
      </c>
      <c r="B67" s="102" t="str">
        <f>TEXT($A67,"mmm")</f>
        <v>May</v>
      </c>
      <c r="C67" s="103" t="s">
        <v>79</v>
      </c>
      <c r="D67" s="103" t="s">
        <v>95</v>
      </c>
      <c r="E67" s="103" t="s">
        <v>99</v>
      </c>
      <c r="F67" s="103" t="s">
        <v>175</v>
      </c>
      <c r="G67" s="104">
        <v>3963.8069999999998</v>
      </c>
      <c r="H67" s="105">
        <v>8808.4599999999991</v>
      </c>
    </row>
    <row r="68" spans="1:8">
      <c r="A68" s="97">
        <v>38859</v>
      </c>
      <c r="B68" s="97" t="str">
        <f>TEXT($A68,"mmm")</f>
        <v>May</v>
      </c>
      <c r="C68" s="99" t="s">
        <v>104</v>
      </c>
      <c r="D68" s="99" t="s">
        <v>80</v>
      </c>
      <c r="E68" s="99" t="s">
        <v>105</v>
      </c>
      <c r="F68" s="99" t="s">
        <v>176</v>
      </c>
      <c r="G68" s="100">
        <v>4441.3792000000003</v>
      </c>
      <c r="H68" s="101">
        <v>6531.44</v>
      </c>
    </row>
    <row r="69" spans="1:8">
      <c r="A69" s="102">
        <v>38859</v>
      </c>
      <c r="B69" s="102" t="str">
        <f>TEXT($A69,"mmm")</f>
        <v>May</v>
      </c>
      <c r="C69" s="103" t="s">
        <v>79</v>
      </c>
      <c r="D69" s="103" t="s">
        <v>98</v>
      </c>
      <c r="E69" s="103" t="s">
        <v>105</v>
      </c>
      <c r="F69" s="103" t="s">
        <v>177</v>
      </c>
      <c r="G69" s="104">
        <v>2827.5159999999996</v>
      </c>
      <c r="H69" s="105">
        <v>4792.3999999999996</v>
      </c>
    </row>
    <row r="70" spans="1:8">
      <c r="A70" s="97">
        <v>38859</v>
      </c>
      <c r="B70" s="97" t="str">
        <f>TEXT($A70,"mmm")</f>
        <v>May</v>
      </c>
      <c r="C70" s="99" t="s">
        <v>104</v>
      </c>
      <c r="D70" s="99" t="s">
        <v>92</v>
      </c>
      <c r="E70" s="99" t="s">
        <v>83</v>
      </c>
      <c r="F70" s="99" t="s">
        <v>178</v>
      </c>
      <c r="G70" s="100">
        <v>776.84849999999994</v>
      </c>
      <c r="H70" s="101">
        <v>1726.33</v>
      </c>
    </row>
    <row r="71" spans="1:8">
      <c r="A71" s="102">
        <v>38858</v>
      </c>
      <c r="B71" s="102" t="str">
        <f>TEXT($A71,"mmm")</f>
        <v>May</v>
      </c>
      <c r="C71" s="103" t="s">
        <v>79</v>
      </c>
      <c r="D71" s="103" t="s">
        <v>80</v>
      </c>
      <c r="E71" s="103" t="s">
        <v>94</v>
      </c>
      <c r="F71" s="103" t="s">
        <v>179</v>
      </c>
      <c r="G71" s="104">
        <v>3569.8872000000001</v>
      </c>
      <c r="H71" s="105">
        <v>4056.69</v>
      </c>
    </row>
    <row r="72" spans="1:8">
      <c r="A72" s="97">
        <v>38858</v>
      </c>
      <c r="B72" s="97" t="str">
        <f>TEXT($A72,"mmm")</f>
        <v>May</v>
      </c>
      <c r="C72" s="99" t="s">
        <v>104</v>
      </c>
      <c r="D72" s="99" t="s">
        <v>127</v>
      </c>
      <c r="E72" s="99" t="s">
        <v>144</v>
      </c>
      <c r="F72" s="99" t="s">
        <v>180</v>
      </c>
      <c r="G72" s="100">
        <v>1658.3309999999999</v>
      </c>
      <c r="H72" s="101">
        <v>3685.18</v>
      </c>
    </row>
    <row r="73" spans="1:8">
      <c r="A73" s="102">
        <v>38857</v>
      </c>
      <c r="B73" s="102" t="str">
        <f>TEXT($A73,"mmm")</f>
        <v>May</v>
      </c>
      <c r="C73" s="103" t="s">
        <v>86</v>
      </c>
      <c r="D73" s="103" t="s">
        <v>80</v>
      </c>
      <c r="E73" s="103" t="s">
        <v>122</v>
      </c>
      <c r="F73" s="103" t="s">
        <v>181</v>
      </c>
      <c r="G73" s="104">
        <v>2950.4429</v>
      </c>
      <c r="H73" s="105">
        <v>7974.17</v>
      </c>
    </row>
    <row r="74" spans="1:8">
      <c r="A74" s="97">
        <v>38856</v>
      </c>
      <c r="B74" s="97" t="str">
        <f>TEXT($A74,"mmm")</f>
        <v>May</v>
      </c>
      <c r="C74" s="99" t="s">
        <v>79</v>
      </c>
      <c r="D74" s="99" t="s">
        <v>114</v>
      </c>
      <c r="E74" s="99" t="s">
        <v>158</v>
      </c>
      <c r="F74" s="99" t="s">
        <v>182</v>
      </c>
      <c r="G74" s="100">
        <v>3908.8896</v>
      </c>
      <c r="H74" s="101">
        <v>4441.92</v>
      </c>
    </row>
    <row r="75" spans="1:8">
      <c r="A75" s="102">
        <v>38856</v>
      </c>
      <c r="B75" s="102" t="str">
        <f>TEXT($A75,"mmm")</f>
        <v>May</v>
      </c>
      <c r="C75" s="103" t="s">
        <v>104</v>
      </c>
      <c r="D75" s="103" t="s">
        <v>92</v>
      </c>
      <c r="E75" s="103" t="s">
        <v>105</v>
      </c>
      <c r="F75" s="103" t="s">
        <v>183</v>
      </c>
      <c r="G75" s="104">
        <v>1854.6071999999999</v>
      </c>
      <c r="H75" s="105">
        <v>4313.04</v>
      </c>
    </row>
    <row r="76" spans="1:8">
      <c r="A76" s="97">
        <v>38856</v>
      </c>
      <c r="B76" s="97" t="str">
        <f>TEXT($A76,"mmm")</f>
        <v>May</v>
      </c>
      <c r="C76" s="99" t="s">
        <v>104</v>
      </c>
      <c r="D76" s="99" t="s">
        <v>101</v>
      </c>
      <c r="E76" s="99" t="s">
        <v>89</v>
      </c>
      <c r="F76" s="99" t="s">
        <v>184</v>
      </c>
      <c r="G76" s="100">
        <v>1530.5445</v>
      </c>
      <c r="H76" s="101">
        <v>3401.21</v>
      </c>
    </row>
    <row r="77" spans="1:8">
      <c r="A77" s="102">
        <v>38856</v>
      </c>
      <c r="B77" s="102" t="str">
        <f>TEXT($A77,"mmm")</f>
        <v>May</v>
      </c>
      <c r="C77" s="103" t="s">
        <v>104</v>
      </c>
      <c r="D77" s="103" t="s">
        <v>80</v>
      </c>
      <c r="E77" s="103" t="s">
        <v>89</v>
      </c>
      <c r="F77" s="103" t="s">
        <v>185</v>
      </c>
      <c r="G77" s="104">
        <v>1798.3015999999998</v>
      </c>
      <c r="H77" s="105">
        <v>3100.52</v>
      </c>
    </row>
    <row r="78" spans="1:8">
      <c r="A78" s="97">
        <v>38856</v>
      </c>
      <c r="B78" s="97" t="str">
        <f>TEXT($A78,"mmm")</f>
        <v>May</v>
      </c>
      <c r="C78" s="99" t="s">
        <v>86</v>
      </c>
      <c r="D78" s="99" t="s">
        <v>87</v>
      </c>
      <c r="E78" s="99" t="s">
        <v>144</v>
      </c>
      <c r="F78" s="99" t="s">
        <v>186</v>
      </c>
      <c r="G78" s="100">
        <v>1458.2425000000001</v>
      </c>
      <c r="H78" s="101">
        <v>2651.35</v>
      </c>
    </row>
    <row r="79" spans="1:8">
      <c r="A79" s="102">
        <v>38855</v>
      </c>
      <c r="B79" s="102" t="str">
        <f>TEXT($A79,"mmm")</f>
        <v>May</v>
      </c>
      <c r="C79" s="103" t="s">
        <v>86</v>
      </c>
      <c r="D79" s="103" t="s">
        <v>87</v>
      </c>
      <c r="E79" s="103" t="s">
        <v>81</v>
      </c>
      <c r="F79" s="103" t="s">
        <v>187</v>
      </c>
      <c r="G79" s="104">
        <v>5309.2380000000003</v>
      </c>
      <c r="H79" s="105">
        <v>9653.16</v>
      </c>
    </row>
    <row r="80" spans="1:8">
      <c r="A80" s="97">
        <v>38855</v>
      </c>
      <c r="B80" s="97" t="str">
        <f>TEXT($A80,"mmm")</f>
        <v>May</v>
      </c>
      <c r="C80" s="99" t="s">
        <v>116</v>
      </c>
      <c r="D80" s="99" t="s">
        <v>87</v>
      </c>
      <c r="E80" s="99" t="s">
        <v>144</v>
      </c>
      <c r="F80" s="99" t="s">
        <v>188</v>
      </c>
      <c r="G80" s="100">
        <v>8649.2829500000007</v>
      </c>
      <c r="H80" s="101">
        <v>9250.57</v>
      </c>
    </row>
    <row r="81" spans="1:8">
      <c r="A81" s="102">
        <v>38855</v>
      </c>
      <c r="B81" s="102" t="str">
        <f>TEXT($A81,"mmm")</f>
        <v>May</v>
      </c>
      <c r="C81" s="103" t="s">
        <v>79</v>
      </c>
      <c r="D81" s="103" t="s">
        <v>92</v>
      </c>
      <c r="E81" s="103" t="s">
        <v>89</v>
      </c>
      <c r="F81" s="103" t="s">
        <v>189</v>
      </c>
      <c r="G81" s="104">
        <v>3731.0940000000001</v>
      </c>
      <c r="H81" s="105">
        <v>8291.32</v>
      </c>
    </row>
    <row r="82" spans="1:8">
      <c r="A82" s="97">
        <v>38855</v>
      </c>
      <c r="B82" s="97" t="str">
        <f>TEXT($A82,"mmm")</f>
        <v>May</v>
      </c>
      <c r="C82" s="99" t="s">
        <v>116</v>
      </c>
      <c r="D82" s="99" t="s">
        <v>95</v>
      </c>
      <c r="E82" s="99" t="s">
        <v>158</v>
      </c>
      <c r="F82" s="99" t="s">
        <v>190</v>
      </c>
      <c r="G82" s="100">
        <v>2442.518</v>
      </c>
      <c r="H82" s="101">
        <v>6601.4</v>
      </c>
    </row>
    <row r="83" spans="1:8">
      <c r="A83" s="102">
        <v>38855</v>
      </c>
      <c r="B83" s="102" t="str">
        <f>TEXT($A83,"mmm")</f>
        <v>May</v>
      </c>
      <c r="C83" s="103" t="s">
        <v>116</v>
      </c>
      <c r="D83" s="103" t="s">
        <v>114</v>
      </c>
      <c r="E83" s="103" t="s">
        <v>120</v>
      </c>
      <c r="F83" s="103" t="s">
        <v>191</v>
      </c>
      <c r="G83" s="104">
        <v>3489.6525000000001</v>
      </c>
      <c r="H83" s="105">
        <v>4652.87</v>
      </c>
    </row>
    <row r="84" spans="1:8">
      <c r="A84" s="97">
        <v>38855</v>
      </c>
      <c r="B84" s="97" t="str">
        <f>TEXT($A84,"mmm")</f>
        <v>May</v>
      </c>
      <c r="C84" s="99" t="s">
        <v>79</v>
      </c>
      <c r="D84" s="99" t="s">
        <v>127</v>
      </c>
      <c r="E84" s="99" t="s">
        <v>144</v>
      </c>
      <c r="F84" s="99" t="s">
        <v>192</v>
      </c>
      <c r="G84" s="100">
        <v>4246.5736500000003</v>
      </c>
      <c r="H84" s="101">
        <v>4541.79</v>
      </c>
    </row>
    <row r="85" spans="1:8">
      <c r="A85" s="102">
        <v>38855</v>
      </c>
      <c r="B85" s="102" t="str">
        <f>TEXT($A85,"mmm")</f>
        <v>May</v>
      </c>
      <c r="C85" s="103" t="s">
        <v>79</v>
      </c>
      <c r="D85" s="103" t="s">
        <v>95</v>
      </c>
      <c r="E85" s="103" t="s">
        <v>99</v>
      </c>
      <c r="F85" s="103" t="s">
        <v>193</v>
      </c>
      <c r="G85" s="104">
        <v>406.24650000000003</v>
      </c>
      <c r="H85" s="105">
        <v>738.63</v>
      </c>
    </row>
    <row r="86" spans="1:8">
      <c r="A86" s="97">
        <v>38854</v>
      </c>
      <c r="B86" s="97" t="str">
        <f>TEXT($A86,"mmm")</f>
        <v>May</v>
      </c>
      <c r="C86" s="99" t="s">
        <v>79</v>
      </c>
      <c r="D86" s="99" t="s">
        <v>101</v>
      </c>
      <c r="E86" s="99" t="s">
        <v>96</v>
      </c>
      <c r="F86" s="99" t="s">
        <v>194</v>
      </c>
      <c r="G86" s="100">
        <v>5365.1730000000007</v>
      </c>
      <c r="H86" s="101">
        <v>9754.86</v>
      </c>
    </row>
    <row r="87" spans="1:8">
      <c r="A87" s="102">
        <v>38854</v>
      </c>
      <c r="B87" s="102" t="str">
        <f>TEXT($A87,"mmm")</f>
        <v>May</v>
      </c>
      <c r="C87" s="103" t="s">
        <v>79</v>
      </c>
      <c r="D87" s="103" t="s">
        <v>80</v>
      </c>
      <c r="E87" s="103" t="s">
        <v>89</v>
      </c>
      <c r="F87" s="103" t="s">
        <v>195</v>
      </c>
      <c r="G87" s="104">
        <v>2764.3959999999997</v>
      </c>
      <c r="H87" s="105">
        <v>4766.2</v>
      </c>
    </row>
    <row r="88" spans="1:8">
      <c r="A88" s="97">
        <v>38854</v>
      </c>
      <c r="B88" s="97" t="str">
        <f>TEXT($A88,"mmm")</f>
        <v>May</v>
      </c>
      <c r="C88" s="99" t="s">
        <v>116</v>
      </c>
      <c r="D88" s="99" t="s">
        <v>101</v>
      </c>
      <c r="E88" s="99" t="s">
        <v>108</v>
      </c>
      <c r="F88" s="99" t="s">
        <v>196</v>
      </c>
      <c r="G88" s="100">
        <v>436.86270000000002</v>
      </c>
      <c r="H88" s="101">
        <v>1180.71</v>
      </c>
    </row>
    <row r="89" spans="1:8">
      <c r="A89" s="102">
        <v>38853</v>
      </c>
      <c r="B89" s="102" t="str">
        <f>TEXT($A89,"mmm")</f>
        <v>May</v>
      </c>
      <c r="C89" s="103" t="s">
        <v>116</v>
      </c>
      <c r="D89" s="103" t="s">
        <v>92</v>
      </c>
      <c r="E89" s="103" t="s">
        <v>93</v>
      </c>
      <c r="F89" s="103" t="s">
        <v>197</v>
      </c>
      <c r="G89" s="104">
        <v>4533.7574999999997</v>
      </c>
      <c r="H89" s="105">
        <v>6045.01</v>
      </c>
    </row>
    <row r="90" spans="1:8">
      <c r="A90" s="97">
        <v>38853</v>
      </c>
      <c r="B90" s="97" t="str">
        <f>TEXT($A90,"mmm")</f>
        <v>May</v>
      </c>
      <c r="C90" s="99" t="s">
        <v>79</v>
      </c>
      <c r="D90" s="99" t="s">
        <v>101</v>
      </c>
      <c r="E90" s="99" t="s">
        <v>96</v>
      </c>
      <c r="F90" s="99" t="s">
        <v>198</v>
      </c>
      <c r="G90" s="100">
        <v>272.13300000000004</v>
      </c>
      <c r="H90" s="101">
        <v>604.74</v>
      </c>
    </row>
    <row r="91" spans="1:8">
      <c r="A91" s="102">
        <v>38852</v>
      </c>
      <c r="B91" s="102" t="str">
        <f>TEXT($A91,"mmm")</f>
        <v>May</v>
      </c>
      <c r="C91" s="103" t="s">
        <v>107</v>
      </c>
      <c r="D91" s="103" t="s">
        <v>127</v>
      </c>
      <c r="E91" s="103" t="s">
        <v>122</v>
      </c>
      <c r="F91" s="103" t="s">
        <v>199</v>
      </c>
      <c r="G91" s="104">
        <v>3605.0410000000002</v>
      </c>
      <c r="H91" s="105">
        <v>6554.62</v>
      </c>
    </row>
    <row r="92" spans="1:8">
      <c r="A92" s="97">
        <v>38852</v>
      </c>
      <c r="B92" s="97" t="str">
        <f>TEXT($A92,"mmm")</f>
        <v>May</v>
      </c>
      <c r="C92" s="99" t="s">
        <v>79</v>
      </c>
      <c r="D92" s="99" t="s">
        <v>87</v>
      </c>
      <c r="E92" s="99" t="s">
        <v>120</v>
      </c>
      <c r="F92" s="99" t="s">
        <v>200</v>
      </c>
      <c r="G92" s="100">
        <v>1018.2511000000001</v>
      </c>
      <c r="H92" s="101">
        <v>2752.03</v>
      </c>
    </row>
    <row r="93" spans="1:8">
      <c r="A93" s="102">
        <v>38851</v>
      </c>
      <c r="B93" s="102" t="str">
        <f>TEXT($A93,"mmm")</f>
        <v>May</v>
      </c>
      <c r="C93" s="103" t="s">
        <v>79</v>
      </c>
      <c r="D93" s="103" t="s">
        <v>101</v>
      </c>
      <c r="E93" s="103" t="s">
        <v>94</v>
      </c>
      <c r="F93" s="103" t="s">
        <v>201</v>
      </c>
      <c r="G93" s="104">
        <v>5409.0277999999998</v>
      </c>
      <c r="H93" s="105">
        <v>9325.91</v>
      </c>
    </row>
    <row r="94" spans="1:8">
      <c r="A94" s="97">
        <v>38851</v>
      </c>
      <c r="B94" s="97" t="str">
        <f>TEXT($A94,"mmm")</f>
        <v>May</v>
      </c>
      <c r="C94" s="99" t="s">
        <v>79</v>
      </c>
      <c r="D94" s="99" t="s">
        <v>92</v>
      </c>
      <c r="E94" s="99" t="s">
        <v>108</v>
      </c>
      <c r="F94" s="99" t="s">
        <v>202</v>
      </c>
      <c r="G94" s="100">
        <v>3559.26</v>
      </c>
      <c r="H94" s="101">
        <v>4745.68</v>
      </c>
    </row>
    <row r="95" spans="1:8">
      <c r="A95" s="102">
        <v>38851</v>
      </c>
      <c r="B95" s="102" t="str">
        <f>TEXT($A95,"mmm")</f>
        <v>May</v>
      </c>
      <c r="C95" s="103" t="s">
        <v>79</v>
      </c>
      <c r="D95" s="103" t="s">
        <v>95</v>
      </c>
      <c r="E95" s="103" t="s">
        <v>89</v>
      </c>
      <c r="F95" s="103" t="s">
        <v>203</v>
      </c>
      <c r="G95" s="104">
        <v>692.46749999999997</v>
      </c>
      <c r="H95" s="105">
        <v>923.29</v>
      </c>
    </row>
    <row r="96" spans="1:8">
      <c r="A96" s="97">
        <v>38850</v>
      </c>
      <c r="B96" s="97" t="str">
        <f>TEXT($A96,"mmm")</f>
        <v>May</v>
      </c>
      <c r="C96" s="99" t="s">
        <v>107</v>
      </c>
      <c r="D96" s="99" t="s">
        <v>127</v>
      </c>
      <c r="E96" s="99" t="s">
        <v>105</v>
      </c>
      <c r="F96" s="99" t="s">
        <v>204</v>
      </c>
      <c r="G96" s="100">
        <v>2666.1385999999998</v>
      </c>
      <c r="H96" s="101">
        <v>7205.78</v>
      </c>
    </row>
    <row r="97" spans="1:8">
      <c r="A97" s="102">
        <v>38850</v>
      </c>
      <c r="B97" s="102" t="str">
        <f>TEXT($A97,"mmm")</f>
        <v>May</v>
      </c>
      <c r="C97" s="103" t="s">
        <v>79</v>
      </c>
      <c r="D97" s="103" t="s">
        <v>101</v>
      </c>
      <c r="E97" s="103" t="s">
        <v>120</v>
      </c>
      <c r="F97" s="103" t="s">
        <v>205</v>
      </c>
      <c r="G97" s="104">
        <v>2076.5250000000001</v>
      </c>
      <c r="H97" s="105">
        <v>4614.5</v>
      </c>
    </row>
    <row r="98" spans="1:8">
      <c r="A98" s="97">
        <v>38850</v>
      </c>
      <c r="B98" s="97" t="str">
        <f>TEXT($A98,"mmm")</f>
        <v>May</v>
      </c>
      <c r="C98" s="99" t="s">
        <v>104</v>
      </c>
      <c r="D98" s="99" t="s">
        <v>87</v>
      </c>
      <c r="E98" s="99" t="s">
        <v>122</v>
      </c>
      <c r="F98" s="99" t="s">
        <v>206</v>
      </c>
      <c r="G98" s="100">
        <v>927.62330000000009</v>
      </c>
      <c r="H98" s="101">
        <v>2507.09</v>
      </c>
    </row>
    <row r="99" spans="1:8">
      <c r="A99" s="102">
        <v>38849</v>
      </c>
      <c r="B99" s="102" t="str">
        <f>TEXT($A99,"mmm")</f>
        <v>May</v>
      </c>
      <c r="C99" s="103" t="s">
        <v>104</v>
      </c>
      <c r="D99" s="103" t="s">
        <v>95</v>
      </c>
      <c r="E99" s="103" t="s">
        <v>120</v>
      </c>
      <c r="F99" s="103" t="s">
        <v>207</v>
      </c>
      <c r="G99" s="104">
        <v>4596.9550000000008</v>
      </c>
      <c r="H99" s="105">
        <v>8358.1</v>
      </c>
    </row>
    <row r="100" spans="1:8">
      <c r="A100" s="97">
        <v>38849</v>
      </c>
      <c r="B100" s="97" t="str">
        <f>TEXT($A100,"mmm")</f>
        <v>May</v>
      </c>
      <c r="C100" s="99" t="s">
        <v>79</v>
      </c>
      <c r="D100" s="99" t="s">
        <v>98</v>
      </c>
      <c r="E100" s="99" t="s">
        <v>94</v>
      </c>
      <c r="F100" s="99" t="s">
        <v>208</v>
      </c>
      <c r="G100" s="100">
        <v>4764.9841999999999</v>
      </c>
      <c r="H100" s="101">
        <v>8215.49</v>
      </c>
    </row>
    <row r="101" spans="1:8">
      <c r="A101" s="102">
        <v>38849</v>
      </c>
      <c r="B101" s="102" t="str">
        <f>TEXT($A101,"mmm")</f>
        <v>May</v>
      </c>
      <c r="C101" s="103" t="s">
        <v>107</v>
      </c>
      <c r="D101" s="103" t="s">
        <v>101</v>
      </c>
      <c r="E101" s="103" t="s">
        <v>94</v>
      </c>
      <c r="F101" s="103" t="s">
        <v>209</v>
      </c>
      <c r="G101" s="104">
        <v>1122.2566999999999</v>
      </c>
      <c r="H101" s="105">
        <v>1902.13</v>
      </c>
    </row>
    <row r="102" spans="1:8">
      <c r="A102" s="97">
        <v>38848</v>
      </c>
      <c r="B102" s="97" t="str">
        <f>TEXT($A102,"mmm")</f>
        <v>May</v>
      </c>
      <c r="C102" s="99" t="s">
        <v>116</v>
      </c>
      <c r="D102" s="99" t="s">
        <v>87</v>
      </c>
      <c r="E102" s="99" t="s">
        <v>93</v>
      </c>
      <c r="F102" s="99" t="s">
        <v>210</v>
      </c>
      <c r="G102" s="100">
        <v>3545.6228500000002</v>
      </c>
      <c r="H102" s="101">
        <v>3792.11</v>
      </c>
    </row>
    <row r="103" spans="1:8">
      <c r="A103" s="102">
        <v>38848</v>
      </c>
      <c r="B103" s="102" t="str">
        <f>TEXT($A103,"mmm")</f>
        <v>May</v>
      </c>
      <c r="C103" s="103" t="s">
        <v>107</v>
      </c>
      <c r="D103" s="103" t="s">
        <v>95</v>
      </c>
      <c r="E103" s="103" t="s">
        <v>158</v>
      </c>
      <c r="F103" s="103" t="s">
        <v>211</v>
      </c>
      <c r="G103" s="104">
        <v>2293.8449999999998</v>
      </c>
      <c r="H103" s="105">
        <v>3058.46</v>
      </c>
    </row>
    <row r="104" spans="1:8">
      <c r="A104" s="97">
        <v>38847</v>
      </c>
      <c r="B104" s="97" t="str">
        <f>TEXT($A104,"mmm")</f>
        <v>May</v>
      </c>
      <c r="C104" s="99" t="s">
        <v>79</v>
      </c>
      <c r="D104" s="99" t="s">
        <v>80</v>
      </c>
      <c r="E104" s="99" t="s">
        <v>96</v>
      </c>
      <c r="F104" s="99" t="s">
        <v>212</v>
      </c>
      <c r="G104" s="100">
        <v>4030.73</v>
      </c>
      <c r="H104" s="101">
        <v>7328.6</v>
      </c>
    </row>
    <row r="105" spans="1:8">
      <c r="A105" s="102">
        <v>38847</v>
      </c>
      <c r="B105" s="102" t="str">
        <f>TEXT($A105,"mmm")</f>
        <v>May</v>
      </c>
      <c r="C105" s="103" t="s">
        <v>107</v>
      </c>
      <c r="D105" s="103" t="s">
        <v>87</v>
      </c>
      <c r="E105" s="103" t="s">
        <v>120</v>
      </c>
      <c r="F105" s="103" t="s">
        <v>213</v>
      </c>
      <c r="G105" s="104">
        <v>3475.9285000000004</v>
      </c>
      <c r="H105" s="105">
        <v>6319.87</v>
      </c>
    </row>
    <row r="106" spans="1:8">
      <c r="A106" s="97">
        <v>38847</v>
      </c>
      <c r="B106" s="97" t="str">
        <f>TEXT($A106,"mmm")</f>
        <v>May</v>
      </c>
      <c r="C106" s="99" t="s">
        <v>79</v>
      </c>
      <c r="D106" s="99" t="s">
        <v>92</v>
      </c>
      <c r="E106" s="99" t="s">
        <v>120</v>
      </c>
      <c r="F106" s="99" t="s">
        <v>214</v>
      </c>
      <c r="G106" s="100">
        <v>1855.4204999999999</v>
      </c>
      <c r="H106" s="101">
        <v>5014.6499999999996</v>
      </c>
    </row>
    <row r="107" spans="1:8">
      <c r="A107" s="102">
        <v>38847</v>
      </c>
      <c r="B107" s="102" t="str">
        <f>TEXT($A107,"mmm")</f>
        <v>May</v>
      </c>
      <c r="C107" s="103" t="s">
        <v>107</v>
      </c>
      <c r="D107" s="103" t="s">
        <v>114</v>
      </c>
      <c r="E107" s="103" t="s">
        <v>83</v>
      </c>
      <c r="F107" s="103" t="s">
        <v>215</v>
      </c>
      <c r="G107" s="104">
        <v>2236.3418999999999</v>
      </c>
      <c r="H107" s="105">
        <v>3790.41</v>
      </c>
    </row>
    <row r="108" spans="1:8">
      <c r="A108" s="97">
        <v>38847</v>
      </c>
      <c r="B108" s="97" t="str">
        <f>TEXT($A108,"mmm")</f>
        <v>May</v>
      </c>
      <c r="C108" s="99" t="s">
        <v>107</v>
      </c>
      <c r="D108" s="99" t="s">
        <v>127</v>
      </c>
      <c r="E108" s="99" t="s">
        <v>83</v>
      </c>
      <c r="F108" s="99" t="s">
        <v>216</v>
      </c>
      <c r="G108" s="100">
        <v>2127.2576000000004</v>
      </c>
      <c r="H108" s="101">
        <v>3128.32</v>
      </c>
    </row>
    <row r="109" spans="1:8">
      <c r="A109" s="102">
        <v>38847</v>
      </c>
      <c r="B109" s="102" t="str">
        <f>TEXT($A109,"mmm")</f>
        <v>May</v>
      </c>
      <c r="C109" s="103" t="s">
        <v>79</v>
      </c>
      <c r="D109" s="103" t="s">
        <v>98</v>
      </c>
      <c r="E109" s="103" t="s">
        <v>99</v>
      </c>
      <c r="F109" s="103" t="s">
        <v>217</v>
      </c>
      <c r="G109" s="104">
        <v>637.44709999999998</v>
      </c>
      <c r="H109" s="105">
        <v>1722.83</v>
      </c>
    </row>
    <row r="110" spans="1:8">
      <c r="A110" s="97">
        <v>38846</v>
      </c>
      <c r="B110" s="97" t="str">
        <f>TEXT($A110,"mmm")</f>
        <v>May</v>
      </c>
      <c r="C110" s="99" t="s">
        <v>116</v>
      </c>
      <c r="D110" s="99" t="s">
        <v>114</v>
      </c>
      <c r="E110" s="99" t="s">
        <v>94</v>
      </c>
      <c r="F110" s="99" t="s">
        <v>218</v>
      </c>
      <c r="G110" s="100">
        <v>4285.1774999999998</v>
      </c>
      <c r="H110" s="101">
        <v>5713.57</v>
      </c>
    </row>
    <row r="111" spans="1:8">
      <c r="A111" s="102">
        <v>38845</v>
      </c>
      <c r="B111" s="102" t="str">
        <f>TEXT($A111,"mmm")</f>
        <v>May</v>
      </c>
      <c r="C111" s="103" t="s">
        <v>104</v>
      </c>
      <c r="D111" s="103" t="s">
        <v>95</v>
      </c>
      <c r="E111" s="103" t="s">
        <v>122</v>
      </c>
      <c r="F111" s="103" t="s">
        <v>219</v>
      </c>
      <c r="G111" s="104">
        <v>6255.4949999999999</v>
      </c>
      <c r="H111" s="105">
        <v>8340.66</v>
      </c>
    </row>
    <row r="112" spans="1:8">
      <c r="A112" s="97">
        <v>38845</v>
      </c>
      <c r="B112" s="97" t="str">
        <f>TEXT($A112,"mmm")</f>
        <v>May</v>
      </c>
      <c r="C112" s="99" t="s">
        <v>116</v>
      </c>
      <c r="D112" s="99" t="s">
        <v>87</v>
      </c>
      <c r="E112" s="99" t="s">
        <v>93</v>
      </c>
      <c r="F112" s="99" t="s">
        <v>220</v>
      </c>
      <c r="G112" s="100">
        <v>1834.0455999999999</v>
      </c>
      <c r="H112" s="101">
        <v>4956.88</v>
      </c>
    </row>
    <row r="113" spans="1:8">
      <c r="A113" s="102">
        <v>38844</v>
      </c>
      <c r="B113" s="102" t="str">
        <f>TEXT($A113,"mmm")</f>
        <v>May</v>
      </c>
      <c r="C113" s="103" t="s">
        <v>79</v>
      </c>
      <c r="D113" s="103" t="s">
        <v>87</v>
      </c>
      <c r="E113" s="103" t="s">
        <v>94</v>
      </c>
      <c r="F113" s="103" t="s">
        <v>221</v>
      </c>
      <c r="G113" s="104">
        <v>5026.5109000000002</v>
      </c>
      <c r="H113" s="105">
        <v>8519.51</v>
      </c>
    </row>
    <row r="114" spans="1:8">
      <c r="A114" s="97">
        <v>38844</v>
      </c>
      <c r="B114" s="97" t="str">
        <f>TEXT($A114,"mmm")</f>
        <v>May</v>
      </c>
      <c r="C114" s="99" t="s">
        <v>86</v>
      </c>
      <c r="D114" s="99" t="s">
        <v>87</v>
      </c>
      <c r="E114" s="99" t="s">
        <v>93</v>
      </c>
      <c r="F114" s="99" t="s">
        <v>222</v>
      </c>
      <c r="G114" s="100">
        <v>4677.2253000000001</v>
      </c>
      <c r="H114" s="101">
        <v>5002.38</v>
      </c>
    </row>
    <row r="115" spans="1:8">
      <c r="A115" s="102">
        <v>38844</v>
      </c>
      <c r="B115" s="102" t="str">
        <f>TEXT($A115,"mmm")</f>
        <v>May</v>
      </c>
      <c r="C115" s="103" t="s">
        <v>104</v>
      </c>
      <c r="D115" s="103" t="s">
        <v>127</v>
      </c>
      <c r="E115" s="103" t="s">
        <v>96</v>
      </c>
      <c r="F115" s="103" t="s">
        <v>223</v>
      </c>
      <c r="G115" s="104">
        <v>2018.03855</v>
      </c>
      <c r="H115" s="105">
        <v>2158.33</v>
      </c>
    </row>
    <row r="116" spans="1:8">
      <c r="A116" s="97">
        <v>38843</v>
      </c>
      <c r="B116" s="97" t="str">
        <f>TEXT($A116,"mmm")</f>
        <v>May</v>
      </c>
      <c r="C116" s="99" t="s">
        <v>116</v>
      </c>
      <c r="D116" s="99" t="s">
        <v>114</v>
      </c>
      <c r="E116" s="99" t="s">
        <v>158</v>
      </c>
      <c r="F116" s="99" t="s">
        <v>224</v>
      </c>
      <c r="G116" s="100">
        <v>3172.0617999999999</v>
      </c>
      <c r="H116" s="101">
        <v>8573.14</v>
      </c>
    </row>
    <row r="117" spans="1:8">
      <c r="A117" s="102">
        <v>38843</v>
      </c>
      <c r="B117" s="102" t="str">
        <f>TEXT($A117,"mmm")</f>
        <v>May</v>
      </c>
      <c r="C117" s="103" t="s">
        <v>86</v>
      </c>
      <c r="D117" s="103" t="s">
        <v>95</v>
      </c>
      <c r="E117" s="103" t="s">
        <v>83</v>
      </c>
      <c r="F117" s="103" t="s">
        <v>225</v>
      </c>
      <c r="G117" s="104">
        <v>3558.8649</v>
      </c>
      <c r="H117" s="105">
        <v>8276.43</v>
      </c>
    </row>
    <row r="118" spans="1:8">
      <c r="A118" s="97">
        <v>38843</v>
      </c>
      <c r="B118" s="97" t="str">
        <f>TEXT($A118,"mmm")</f>
        <v>May</v>
      </c>
      <c r="C118" s="99" t="s">
        <v>107</v>
      </c>
      <c r="D118" s="99" t="s">
        <v>92</v>
      </c>
      <c r="E118" s="99" t="s">
        <v>94</v>
      </c>
      <c r="F118" s="99" t="s">
        <v>226</v>
      </c>
      <c r="G118" s="100">
        <v>1558.413</v>
      </c>
      <c r="H118" s="101">
        <v>3463.14</v>
      </c>
    </row>
    <row r="119" spans="1:8">
      <c r="A119" s="102">
        <v>38842</v>
      </c>
      <c r="B119" s="102" t="str">
        <f>TEXT($A119,"mmm")</f>
        <v>May</v>
      </c>
      <c r="C119" s="103" t="s">
        <v>86</v>
      </c>
      <c r="D119" s="103" t="s">
        <v>127</v>
      </c>
      <c r="E119" s="103" t="s">
        <v>129</v>
      </c>
      <c r="F119" s="103" t="s">
        <v>227</v>
      </c>
      <c r="G119" s="104">
        <v>1974.5040999999999</v>
      </c>
      <c r="H119" s="105">
        <v>4591.87</v>
      </c>
    </row>
    <row r="120" spans="1:8">
      <c r="A120" s="97">
        <v>38841</v>
      </c>
      <c r="B120" s="97" t="str">
        <f>TEXT($A120,"mmm")</f>
        <v>May</v>
      </c>
      <c r="C120" s="99" t="s">
        <v>104</v>
      </c>
      <c r="D120" s="99" t="s">
        <v>92</v>
      </c>
      <c r="E120" s="99" t="s">
        <v>108</v>
      </c>
      <c r="F120" s="99" t="s">
        <v>228</v>
      </c>
      <c r="G120" s="100">
        <v>5376.2628999999997</v>
      </c>
      <c r="H120" s="101">
        <v>9112.31</v>
      </c>
    </row>
    <row r="121" spans="1:8">
      <c r="A121" s="102">
        <v>38841</v>
      </c>
      <c r="B121" s="102" t="str">
        <f>TEXT($A121,"mmm")</f>
        <v>May</v>
      </c>
      <c r="C121" s="103" t="s">
        <v>79</v>
      </c>
      <c r="D121" s="103" t="s">
        <v>80</v>
      </c>
      <c r="E121" s="103" t="s">
        <v>96</v>
      </c>
      <c r="F121" s="103" t="s">
        <v>229</v>
      </c>
      <c r="G121" s="104">
        <v>7980.0847500000009</v>
      </c>
      <c r="H121" s="105">
        <v>8534.85</v>
      </c>
    </row>
    <row r="122" spans="1:8">
      <c r="A122" s="97">
        <v>38840</v>
      </c>
      <c r="B122" s="97" t="str">
        <f>TEXT($A122,"mmm")</f>
        <v>May</v>
      </c>
      <c r="C122" s="99" t="s">
        <v>107</v>
      </c>
      <c r="D122" s="99" t="s">
        <v>92</v>
      </c>
      <c r="E122" s="99" t="s">
        <v>108</v>
      </c>
      <c r="F122" s="99" t="s">
        <v>230</v>
      </c>
      <c r="G122" s="100">
        <v>4468.6187</v>
      </c>
      <c r="H122" s="101">
        <v>7573.93</v>
      </c>
    </row>
    <row r="123" spans="1:8">
      <c r="A123" s="102">
        <v>38840</v>
      </c>
      <c r="B123" s="102" t="str">
        <f>TEXT($A123,"mmm")</f>
        <v>May</v>
      </c>
      <c r="C123" s="103" t="s">
        <v>104</v>
      </c>
      <c r="D123" s="103" t="s">
        <v>101</v>
      </c>
      <c r="E123" s="103" t="s">
        <v>129</v>
      </c>
      <c r="F123" s="103" t="s">
        <v>231</v>
      </c>
      <c r="G123" s="104">
        <v>3843.0652999999998</v>
      </c>
      <c r="H123" s="105">
        <v>6513.67</v>
      </c>
    </row>
    <row r="124" spans="1:8">
      <c r="A124" s="97">
        <v>38840</v>
      </c>
      <c r="B124" s="97" t="str">
        <f>TEXT($A124,"mmm")</f>
        <v>May</v>
      </c>
      <c r="C124" s="99" t="s">
        <v>107</v>
      </c>
      <c r="D124" s="99" t="s">
        <v>101</v>
      </c>
      <c r="E124" s="99" t="s">
        <v>120</v>
      </c>
      <c r="F124" s="99" t="s">
        <v>232</v>
      </c>
      <c r="G124" s="100">
        <v>3904.1549999999997</v>
      </c>
      <c r="H124" s="101">
        <v>5205.54</v>
      </c>
    </row>
    <row r="125" spans="1:8">
      <c r="A125" s="102">
        <v>38840</v>
      </c>
      <c r="B125" s="102" t="str">
        <f>TEXT($A125,"mmm")</f>
        <v>May</v>
      </c>
      <c r="C125" s="103" t="s">
        <v>79</v>
      </c>
      <c r="D125" s="103" t="s">
        <v>98</v>
      </c>
      <c r="E125" s="103" t="s">
        <v>120</v>
      </c>
      <c r="F125" s="103" t="s">
        <v>233</v>
      </c>
      <c r="G125" s="104">
        <v>4846.9558500000003</v>
      </c>
      <c r="H125" s="105">
        <v>5183.91</v>
      </c>
    </row>
    <row r="126" spans="1:8">
      <c r="A126" s="97">
        <v>38840</v>
      </c>
      <c r="B126" s="97" t="str">
        <f>TEXT($A126,"mmm")</f>
        <v>May</v>
      </c>
      <c r="C126" s="99" t="s">
        <v>79</v>
      </c>
      <c r="D126" s="99" t="s">
        <v>127</v>
      </c>
      <c r="E126" s="99" t="s">
        <v>81</v>
      </c>
      <c r="F126" s="99" t="s">
        <v>234</v>
      </c>
      <c r="G126" s="100">
        <v>2075.59</v>
      </c>
      <c r="H126" s="101">
        <v>3773.8</v>
      </c>
    </row>
    <row r="127" spans="1:8">
      <c r="A127" s="102">
        <v>38840</v>
      </c>
      <c r="B127" s="102" t="str">
        <f>TEXT($A127,"mmm")</f>
        <v>May</v>
      </c>
      <c r="C127" s="103" t="s">
        <v>86</v>
      </c>
      <c r="D127" s="103" t="s">
        <v>114</v>
      </c>
      <c r="E127" s="103" t="s">
        <v>93</v>
      </c>
      <c r="F127" s="103" t="s">
        <v>235</v>
      </c>
      <c r="G127" s="104">
        <v>1978.1514500000001</v>
      </c>
      <c r="H127" s="105">
        <v>2115.67</v>
      </c>
    </row>
    <row r="128" spans="1:8">
      <c r="A128" s="97">
        <v>38839</v>
      </c>
      <c r="B128" s="97" t="str">
        <f>TEXT($A128,"mmm")</f>
        <v>May</v>
      </c>
      <c r="C128" s="99" t="s">
        <v>79</v>
      </c>
      <c r="D128" s="99" t="s">
        <v>80</v>
      </c>
      <c r="E128" s="99" t="s">
        <v>83</v>
      </c>
      <c r="F128" s="99" t="s">
        <v>236</v>
      </c>
      <c r="G128" s="100">
        <v>5363.0444000000007</v>
      </c>
      <c r="H128" s="101">
        <v>7886.83</v>
      </c>
    </row>
    <row r="129" spans="1:8">
      <c r="A129" s="102">
        <v>38839</v>
      </c>
      <c r="B129" s="102" t="str">
        <f>TEXT($A129,"mmm")</f>
        <v>May</v>
      </c>
      <c r="C129" s="103" t="s">
        <v>86</v>
      </c>
      <c r="D129" s="103" t="s">
        <v>87</v>
      </c>
      <c r="E129" s="103" t="s">
        <v>93</v>
      </c>
      <c r="F129" s="103" t="s">
        <v>237</v>
      </c>
      <c r="G129" s="104">
        <v>3127.7565</v>
      </c>
      <c r="H129" s="105">
        <v>6950.57</v>
      </c>
    </row>
    <row r="130" spans="1:8">
      <c r="A130" s="97">
        <v>38839</v>
      </c>
      <c r="B130" s="97" t="str">
        <f>TEXT($A130,"mmm")</f>
        <v>May</v>
      </c>
      <c r="C130" s="99" t="s">
        <v>107</v>
      </c>
      <c r="D130" s="99" t="s">
        <v>80</v>
      </c>
      <c r="E130" s="99" t="s">
        <v>81</v>
      </c>
      <c r="F130" s="99" t="s">
        <v>238</v>
      </c>
      <c r="G130" s="100">
        <v>2420.2440000000001</v>
      </c>
      <c r="H130" s="101">
        <v>5378.32</v>
      </c>
    </row>
    <row r="131" spans="1:8">
      <c r="A131" s="102">
        <v>38839</v>
      </c>
      <c r="B131" s="102" t="str">
        <f>TEXT($A131,"mmm")</f>
        <v>May</v>
      </c>
      <c r="C131" s="103" t="s">
        <v>79</v>
      </c>
      <c r="D131" s="103" t="s">
        <v>95</v>
      </c>
      <c r="E131" s="103" t="s">
        <v>81</v>
      </c>
      <c r="F131" s="103" t="s">
        <v>239</v>
      </c>
      <c r="G131" s="104">
        <v>1775.075</v>
      </c>
      <c r="H131" s="105">
        <v>4797.5</v>
      </c>
    </row>
    <row r="132" spans="1:8">
      <c r="A132" s="97">
        <v>38839</v>
      </c>
      <c r="B132" s="97" t="str">
        <f>TEXT($A132,"mmm")</f>
        <v>May</v>
      </c>
      <c r="C132" s="99" t="s">
        <v>86</v>
      </c>
      <c r="D132" s="99" t="s">
        <v>92</v>
      </c>
      <c r="E132" s="99" t="s">
        <v>120</v>
      </c>
      <c r="F132" s="99" t="s">
        <v>240</v>
      </c>
      <c r="G132" s="100">
        <v>1265.308</v>
      </c>
      <c r="H132" s="101">
        <v>1437.85</v>
      </c>
    </row>
    <row r="133" spans="1:8">
      <c r="A133" s="102">
        <v>38838</v>
      </c>
      <c r="B133" s="102" t="str">
        <f>TEXT($A133,"mmm")</f>
        <v>May</v>
      </c>
      <c r="C133" s="103" t="s">
        <v>107</v>
      </c>
      <c r="D133" s="103" t="s">
        <v>114</v>
      </c>
      <c r="E133" s="103" t="s">
        <v>89</v>
      </c>
      <c r="F133" s="103" t="s">
        <v>241</v>
      </c>
      <c r="G133" s="104">
        <v>6605.4974999999995</v>
      </c>
      <c r="H133" s="105">
        <v>8807.33</v>
      </c>
    </row>
    <row r="134" spans="1:8">
      <c r="A134" s="97">
        <v>38838</v>
      </c>
      <c r="B134" s="97" t="str">
        <f>TEXT($A134,"mmm")</f>
        <v>May</v>
      </c>
      <c r="C134" s="99" t="s">
        <v>79</v>
      </c>
      <c r="D134" s="99" t="s">
        <v>114</v>
      </c>
      <c r="E134" s="99" t="s">
        <v>99</v>
      </c>
      <c r="F134" s="99" t="s">
        <v>242</v>
      </c>
      <c r="G134" s="100">
        <v>3750.0773000000004</v>
      </c>
      <c r="H134" s="101">
        <v>8721.11</v>
      </c>
    </row>
    <row r="135" spans="1:8">
      <c r="A135" s="102">
        <v>38838</v>
      </c>
      <c r="B135" s="102" t="str">
        <f>TEXT($A135,"mmm")</f>
        <v>May</v>
      </c>
      <c r="C135" s="103" t="s">
        <v>116</v>
      </c>
      <c r="D135" s="103" t="s">
        <v>92</v>
      </c>
      <c r="E135" s="103" t="s">
        <v>89</v>
      </c>
      <c r="F135" s="103" t="s">
        <v>243</v>
      </c>
      <c r="G135" s="104">
        <v>5990.4974999999995</v>
      </c>
      <c r="H135" s="105">
        <v>7987.33</v>
      </c>
    </row>
    <row r="136" spans="1:8">
      <c r="A136" s="97">
        <v>38838</v>
      </c>
      <c r="B136" s="97" t="str">
        <f>TEXT($A136,"mmm")</f>
        <v>May</v>
      </c>
      <c r="C136" s="99" t="s">
        <v>79</v>
      </c>
      <c r="D136" s="99" t="s">
        <v>101</v>
      </c>
      <c r="E136" s="99" t="s">
        <v>81</v>
      </c>
      <c r="F136" s="99" t="s">
        <v>244</v>
      </c>
      <c r="G136" s="100">
        <v>3297.0465000000004</v>
      </c>
      <c r="H136" s="101">
        <v>7326.77</v>
      </c>
    </row>
    <row r="137" spans="1:8">
      <c r="A137" s="102">
        <v>38838</v>
      </c>
      <c r="B137" s="102" t="str">
        <f>TEXT($A137,"mmm")</f>
        <v>May</v>
      </c>
      <c r="C137" s="103" t="s">
        <v>79</v>
      </c>
      <c r="D137" s="103" t="s">
        <v>101</v>
      </c>
      <c r="E137" s="103" t="s">
        <v>158</v>
      </c>
      <c r="F137" s="103" t="s">
        <v>245</v>
      </c>
      <c r="G137" s="104">
        <v>3650.8996000000006</v>
      </c>
      <c r="H137" s="105">
        <v>5368.97</v>
      </c>
    </row>
    <row r="138" spans="1:8">
      <c r="A138" s="97">
        <v>38838</v>
      </c>
      <c r="B138" s="97" t="str">
        <f>TEXT($A138,"mmm")</f>
        <v>May</v>
      </c>
      <c r="C138" s="99" t="s">
        <v>79</v>
      </c>
      <c r="D138" s="99" t="s">
        <v>87</v>
      </c>
      <c r="E138" s="99" t="s">
        <v>108</v>
      </c>
      <c r="F138" s="99" t="s">
        <v>246</v>
      </c>
      <c r="G138" s="100">
        <v>3084.0745999999999</v>
      </c>
      <c r="H138" s="101">
        <v>5317.37</v>
      </c>
    </row>
    <row r="139" spans="1:8">
      <c r="A139" s="102">
        <v>38838</v>
      </c>
      <c r="B139" s="102" t="str">
        <f>TEXT($A139,"mmm")</f>
        <v>May</v>
      </c>
      <c r="C139" s="103" t="s">
        <v>79</v>
      </c>
      <c r="D139" s="103" t="s">
        <v>80</v>
      </c>
      <c r="E139" s="103" t="s">
        <v>94</v>
      </c>
      <c r="F139" s="103" t="s">
        <v>247</v>
      </c>
      <c r="G139" s="104">
        <v>2081.3031999999998</v>
      </c>
      <c r="H139" s="105">
        <v>4840.24</v>
      </c>
    </row>
    <row r="140" spans="1:8">
      <c r="A140" s="97">
        <v>38838</v>
      </c>
      <c r="B140" s="97" t="str">
        <f>TEXT($A140,"mmm")</f>
        <v>May</v>
      </c>
      <c r="C140" s="99" t="s">
        <v>79</v>
      </c>
      <c r="D140" s="99" t="s">
        <v>127</v>
      </c>
      <c r="E140" s="99" t="s">
        <v>158</v>
      </c>
      <c r="F140" s="99" t="s">
        <v>248</v>
      </c>
      <c r="G140" s="100">
        <v>2347.59</v>
      </c>
      <c r="H140" s="101">
        <v>3130.12</v>
      </c>
    </row>
    <row r="141" spans="1:8">
      <c r="A141" s="102">
        <v>38837</v>
      </c>
      <c r="B141" s="102" t="str">
        <f>TEXT($A141,"mmm")</f>
        <v>Apr</v>
      </c>
      <c r="C141" s="103" t="s">
        <v>107</v>
      </c>
      <c r="D141" s="103" t="s">
        <v>98</v>
      </c>
      <c r="E141" s="103" t="s">
        <v>83</v>
      </c>
      <c r="F141" s="103" t="s">
        <v>249</v>
      </c>
      <c r="G141" s="104">
        <v>3233.7251000000001</v>
      </c>
      <c r="H141" s="105">
        <v>5480.89</v>
      </c>
    </row>
    <row r="142" spans="1:8">
      <c r="A142" s="97">
        <v>38837</v>
      </c>
      <c r="B142" s="97" t="str">
        <f>TEXT($A142,"mmm")</f>
        <v>Apr</v>
      </c>
      <c r="C142" s="99" t="s">
        <v>79</v>
      </c>
      <c r="D142" s="99" t="s">
        <v>87</v>
      </c>
      <c r="E142" s="99" t="s">
        <v>129</v>
      </c>
      <c r="F142" s="99" t="s">
        <v>250</v>
      </c>
      <c r="G142" s="100">
        <v>2796.4023999999999</v>
      </c>
      <c r="H142" s="101">
        <v>3177.73</v>
      </c>
    </row>
    <row r="143" spans="1:8">
      <c r="A143" s="102">
        <v>38837</v>
      </c>
      <c r="B143" s="102" t="str">
        <f>TEXT($A143,"mmm")</f>
        <v>Apr</v>
      </c>
      <c r="C143" s="103" t="s">
        <v>107</v>
      </c>
      <c r="D143" s="103" t="s">
        <v>92</v>
      </c>
      <c r="E143" s="103" t="s">
        <v>120</v>
      </c>
      <c r="F143" s="103" t="s">
        <v>251</v>
      </c>
      <c r="G143" s="104">
        <v>730.46249999999998</v>
      </c>
      <c r="H143" s="105">
        <v>973.95</v>
      </c>
    </row>
    <row r="144" spans="1:8">
      <c r="A144" s="97">
        <v>38836</v>
      </c>
      <c r="B144" s="97" t="str">
        <f>TEXT($A144,"mmm")</f>
        <v>Apr</v>
      </c>
      <c r="C144" s="99" t="s">
        <v>86</v>
      </c>
      <c r="D144" s="99" t="s">
        <v>101</v>
      </c>
      <c r="E144" s="99" t="s">
        <v>144</v>
      </c>
      <c r="F144" s="99" t="s">
        <v>252</v>
      </c>
      <c r="G144" s="100">
        <v>3491.3835000000004</v>
      </c>
      <c r="H144" s="101">
        <v>6347.97</v>
      </c>
    </row>
    <row r="145" spans="1:8">
      <c r="A145" s="102">
        <v>38836</v>
      </c>
      <c r="B145" s="102" t="str">
        <f>TEXT($A145,"mmm")</f>
        <v>Apr</v>
      </c>
      <c r="C145" s="103" t="s">
        <v>116</v>
      </c>
      <c r="D145" s="103" t="s">
        <v>80</v>
      </c>
      <c r="E145" s="103" t="s">
        <v>89</v>
      </c>
      <c r="F145" s="103" t="s">
        <v>253</v>
      </c>
      <c r="G145" s="104">
        <v>3196.6177999999995</v>
      </c>
      <c r="H145" s="105">
        <v>5511.41</v>
      </c>
    </row>
    <row r="146" spans="1:8">
      <c r="A146" s="97">
        <v>38836</v>
      </c>
      <c r="B146" s="97" t="str">
        <f>TEXT($A146,"mmm")</f>
        <v>Apr</v>
      </c>
      <c r="C146" s="99" t="s">
        <v>116</v>
      </c>
      <c r="D146" s="99" t="s">
        <v>80</v>
      </c>
      <c r="E146" s="99" t="s">
        <v>120</v>
      </c>
      <c r="F146" s="99" t="s">
        <v>254</v>
      </c>
      <c r="G146" s="100">
        <v>2714.3696</v>
      </c>
      <c r="H146" s="101">
        <v>3991.72</v>
      </c>
    </row>
    <row r="147" spans="1:8">
      <c r="A147" s="102">
        <v>38836</v>
      </c>
      <c r="B147" s="102" t="str">
        <f>TEXT($A147,"mmm")</f>
        <v>Apr</v>
      </c>
      <c r="C147" s="103" t="s">
        <v>104</v>
      </c>
      <c r="D147" s="103" t="s">
        <v>95</v>
      </c>
      <c r="E147" s="103" t="s">
        <v>158</v>
      </c>
      <c r="F147" s="103" t="s">
        <v>255</v>
      </c>
      <c r="G147" s="104">
        <v>195.21899999999999</v>
      </c>
      <c r="H147" s="105">
        <v>433.82</v>
      </c>
    </row>
    <row r="148" spans="1:8">
      <c r="A148" s="97">
        <v>38835</v>
      </c>
      <c r="B148" s="97" t="str">
        <f>TEXT($A148,"mmm")</f>
        <v>Apr</v>
      </c>
      <c r="C148" s="99" t="s">
        <v>107</v>
      </c>
      <c r="D148" s="99" t="s">
        <v>114</v>
      </c>
      <c r="E148" s="99" t="s">
        <v>94</v>
      </c>
      <c r="F148" s="99" t="s">
        <v>256</v>
      </c>
      <c r="G148" s="100">
        <v>3290.5840000000003</v>
      </c>
      <c r="H148" s="101">
        <v>3739.3</v>
      </c>
    </row>
    <row r="149" spans="1:8">
      <c r="A149" s="102">
        <v>38835</v>
      </c>
      <c r="B149" s="102" t="str">
        <f>TEXT($A149,"mmm")</f>
        <v>Apr</v>
      </c>
      <c r="C149" s="103" t="s">
        <v>86</v>
      </c>
      <c r="D149" s="103" t="s">
        <v>127</v>
      </c>
      <c r="E149" s="103" t="s">
        <v>83</v>
      </c>
      <c r="F149" s="103" t="s">
        <v>257</v>
      </c>
      <c r="G149" s="104">
        <v>98.042600000000007</v>
      </c>
      <c r="H149" s="105">
        <v>264.98</v>
      </c>
    </row>
    <row r="150" spans="1:8">
      <c r="A150" s="97">
        <v>38834</v>
      </c>
      <c r="B150" s="97" t="str">
        <f>TEXT($A150,"mmm")</f>
        <v>Apr</v>
      </c>
      <c r="C150" s="99" t="s">
        <v>86</v>
      </c>
      <c r="D150" s="99" t="s">
        <v>95</v>
      </c>
      <c r="E150" s="99" t="s">
        <v>96</v>
      </c>
      <c r="F150" s="99" t="s">
        <v>196</v>
      </c>
      <c r="G150" s="100">
        <v>1186.6409000000001</v>
      </c>
      <c r="H150" s="101">
        <v>2759.63</v>
      </c>
    </row>
    <row r="151" spans="1:8">
      <c r="A151" s="102">
        <v>38833</v>
      </c>
      <c r="B151" s="102" t="str">
        <f>TEXT($A151,"mmm")</f>
        <v>Apr</v>
      </c>
      <c r="C151" s="103" t="s">
        <v>86</v>
      </c>
      <c r="D151" s="103" t="s">
        <v>98</v>
      </c>
      <c r="E151" s="103" t="s">
        <v>94</v>
      </c>
      <c r="F151" s="103" t="s">
        <v>258</v>
      </c>
      <c r="G151" s="104">
        <v>7054.7752</v>
      </c>
      <c r="H151" s="105">
        <v>8016.79</v>
      </c>
    </row>
    <row r="152" spans="1:8">
      <c r="A152" s="97">
        <v>38833</v>
      </c>
      <c r="B152" s="97" t="str">
        <f>TEXT($A152,"mmm")</f>
        <v>Apr</v>
      </c>
      <c r="C152" s="99" t="s">
        <v>79</v>
      </c>
      <c r="D152" s="99" t="s">
        <v>98</v>
      </c>
      <c r="E152" s="99" t="s">
        <v>96</v>
      </c>
      <c r="F152" s="99" t="s">
        <v>259</v>
      </c>
      <c r="G152" s="100">
        <v>317.27120000000002</v>
      </c>
      <c r="H152" s="101">
        <v>737.84</v>
      </c>
    </row>
    <row r="153" spans="1:8">
      <c r="A153" s="102">
        <v>38832</v>
      </c>
      <c r="B153" s="102" t="str">
        <f>TEXT($A153,"mmm")</f>
        <v>Apr</v>
      </c>
      <c r="C153" s="103" t="s">
        <v>116</v>
      </c>
      <c r="D153" s="103" t="s">
        <v>127</v>
      </c>
      <c r="E153" s="103" t="s">
        <v>108</v>
      </c>
      <c r="F153" s="103" t="s">
        <v>260</v>
      </c>
      <c r="G153" s="104">
        <v>8333.411900000001</v>
      </c>
      <c r="H153" s="105">
        <v>8912.74</v>
      </c>
    </row>
    <row r="154" spans="1:8">
      <c r="A154" s="97">
        <v>38832</v>
      </c>
      <c r="B154" s="97" t="str">
        <f>TEXT($A154,"mmm")</f>
        <v>Apr</v>
      </c>
      <c r="C154" s="99" t="s">
        <v>79</v>
      </c>
      <c r="D154" s="99" t="s">
        <v>98</v>
      </c>
      <c r="E154" s="99" t="s">
        <v>108</v>
      </c>
      <c r="F154" s="99" t="s">
        <v>261</v>
      </c>
      <c r="G154" s="100">
        <v>3342.2579999999998</v>
      </c>
      <c r="H154" s="101">
        <v>7427.24</v>
      </c>
    </row>
    <row r="155" spans="1:8">
      <c r="A155" s="102">
        <v>38830</v>
      </c>
      <c r="B155" s="102" t="str">
        <f>TEXT($A155,"mmm")</f>
        <v>Apr</v>
      </c>
      <c r="C155" s="103" t="s">
        <v>116</v>
      </c>
      <c r="D155" s="103" t="s">
        <v>95</v>
      </c>
      <c r="E155" s="103" t="s">
        <v>99</v>
      </c>
      <c r="F155" s="103" t="s">
        <v>262</v>
      </c>
      <c r="G155" s="104">
        <v>1673.6358</v>
      </c>
      <c r="H155" s="105">
        <v>4523.34</v>
      </c>
    </row>
    <row r="156" spans="1:8">
      <c r="A156" s="97">
        <v>38828</v>
      </c>
      <c r="B156" s="97" t="str">
        <f>TEXT($A156,"mmm")</f>
        <v>Apr</v>
      </c>
      <c r="C156" s="99" t="s">
        <v>79</v>
      </c>
      <c r="D156" s="99" t="s">
        <v>98</v>
      </c>
      <c r="E156" s="99" t="s">
        <v>105</v>
      </c>
      <c r="F156" s="99" t="s">
        <v>263</v>
      </c>
      <c r="G156" s="100">
        <v>3627.81</v>
      </c>
      <c r="H156" s="101">
        <v>8061.8</v>
      </c>
    </row>
    <row r="157" spans="1:8">
      <c r="A157" s="102">
        <v>38828</v>
      </c>
      <c r="B157" s="102" t="str">
        <f>TEXT($A157,"mmm")</f>
        <v>Apr</v>
      </c>
      <c r="C157" s="103" t="s">
        <v>107</v>
      </c>
      <c r="D157" s="103" t="s">
        <v>80</v>
      </c>
      <c r="E157" s="103" t="s">
        <v>122</v>
      </c>
      <c r="F157" s="103" t="s">
        <v>264</v>
      </c>
      <c r="G157" s="104">
        <v>3303.1997999999999</v>
      </c>
      <c r="H157" s="105">
        <v>7681.86</v>
      </c>
    </row>
    <row r="158" spans="1:8">
      <c r="A158" s="97">
        <v>38828</v>
      </c>
      <c r="B158" s="97" t="str">
        <f>TEXT($A158,"mmm")</f>
        <v>Apr</v>
      </c>
      <c r="C158" s="99" t="s">
        <v>107</v>
      </c>
      <c r="D158" s="99" t="s">
        <v>95</v>
      </c>
      <c r="E158" s="99" t="s">
        <v>96</v>
      </c>
      <c r="F158" s="99" t="s">
        <v>265</v>
      </c>
      <c r="G158" s="100">
        <v>3122.1255999999998</v>
      </c>
      <c r="H158" s="101">
        <v>3547.87</v>
      </c>
    </row>
    <row r="159" spans="1:8">
      <c r="A159" s="102">
        <v>38827</v>
      </c>
      <c r="B159" s="102" t="str">
        <f>TEXT($A159,"mmm")</f>
        <v>Apr</v>
      </c>
      <c r="C159" s="103" t="s">
        <v>79</v>
      </c>
      <c r="D159" s="103" t="s">
        <v>95</v>
      </c>
      <c r="E159" s="103" t="s">
        <v>129</v>
      </c>
      <c r="F159" s="103" t="s">
        <v>266</v>
      </c>
      <c r="G159" s="104">
        <v>5717.9141999999993</v>
      </c>
      <c r="H159" s="105">
        <v>9691.3799999999992</v>
      </c>
    </row>
    <row r="160" spans="1:8">
      <c r="A160" s="97">
        <v>38826</v>
      </c>
      <c r="B160" s="97" t="str">
        <f>TEXT($A160,"mmm")</f>
        <v>Apr</v>
      </c>
      <c r="C160" s="99" t="s">
        <v>86</v>
      </c>
      <c r="D160" s="99" t="s">
        <v>80</v>
      </c>
      <c r="E160" s="99" t="s">
        <v>93</v>
      </c>
      <c r="F160" s="99" t="s">
        <v>267</v>
      </c>
      <c r="G160" s="100">
        <v>4338.3998000000001</v>
      </c>
      <c r="H160" s="101">
        <v>7353.22</v>
      </c>
    </row>
    <row r="161" spans="1:8">
      <c r="A161" s="102">
        <v>38826</v>
      </c>
      <c r="B161" s="102" t="str">
        <f>TEXT($A161,"mmm")</f>
        <v>Apr</v>
      </c>
      <c r="C161" s="103" t="s">
        <v>79</v>
      </c>
      <c r="D161" s="103" t="s">
        <v>95</v>
      </c>
      <c r="E161" s="103" t="s">
        <v>120</v>
      </c>
      <c r="F161" s="103" t="s">
        <v>268</v>
      </c>
      <c r="G161" s="104">
        <v>1741.0227</v>
      </c>
      <c r="H161" s="105">
        <v>4048.89</v>
      </c>
    </row>
    <row r="162" spans="1:8">
      <c r="A162" s="97">
        <v>38826</v>
      </c>
      <c r="B162" s="97" t="str">
        <f>TEXT($A162,"mmm")</f>
        <v>Apr</v>
      </c>
      <c r="C162" s="99" t="s">
        <v>79</v>
      </c>
      <c r="D162" s="99" t="s">
        <v>87</v>
      </c>
      <c r="E162" s="99" t="s">
        <v>94</v>
      </c>
      <c r="F162" s="99" t="s">
        <v>269</v>
      </c>
      <c r="G162" s="100">
        <v>2382.9450000000002</v>
      </c>
      <c r="H162" s="101">
        <v>3177.26</v>
      </c>
    </row>
    <row r="163" spans="1:8">
      <c r="A163" s="102">
        <v>38825</v>
      </c>
      <c r="B163" s="102" t="str">
        <f>TEXT($A163,"mmm")</f>
        <v>Apr</v>
      </c>
      <c r="C163" s="103" t="s">
        <v>116</v>
      </c>
      <c r="D163" s="103" t="s">
        <v>114</v>
      </c>
      <c r="E163" s="103" t="s">
        <v>83</v>
      </c>
      <c r="F163" s="103" t="s">
        <v>270</v>
      </c>
      <c r="G163" s="104">
        <v>2322.1385</v>
      </c>
      <c r="H163" s="105">
        <v>4222.07</v>
      </c>
    </row>
    <row r="164" spans="1:8">
      <c r="A164" s="97">
        <v>38825</v>
      </c>
      <c r="B164" s="97" t="str">
        <f>TEXT($A164,"mmm")</f>
        <v>Apr</v>
      </c>
      <c r="C164" s="99" t="s">
        <v>107</v>
      </c>
      <c r="D164" s="99" t="s">
        <v>95</v>
      </c>
      <c r="E164" s="99" t="s">
        <v>158</v>
      </c>
      <c r="F164" s="99" t="s">
        <v>271</v>
      </c>
      <c r="G164" s="100">
        <v>3239.9900500000003</v>
      </c>
      <c r="H164" s="101">
        <v>3465.23</v>
      </c>
    </row>
    <row r="165" spans="1:8">
      <c r="A165" s="102">
        <v>38824</v>
      </c>
      <c r="B165" s="102" t="str">
        <f>TEXT($A165,"mmm")</f>
        <v>Apr</v>
      </c>
      <c r="C165" s="103" t="s">
        <v>86</v>
      </c>
      <c r="D165" s="103" t="s">
        <v>127</v>
      </c>
      <c r="E165" s="103" t="s">
        <v>120</v>
      </c>
      <c r="F165" s="103" t="s">
        <v>272</v>
      </c>
      <c r="G165" s="104">
        <v>3781.3185000000003</v>
      </c>
      <c r="H165" s="105">
        <v>8402.93</v>
      </c>
    </row>
    <row r="166" spans="1:8">
      <c r="A166" s="97">
        <v>38823</v>
      </c>
      <c r="B166" s="97" t="str">
        <f>TEXT($A166,"mmm")</f>
        <v>Apr</v>
      </c>
      <c r="C166" s="99" t="s">
        <v>79</v>
      </c>
      <c r="D166" s="99" t="s">
        <v>114</v>
      </c>
      <c r="E166" s="99" t="s">
        <v>144</v>
      </c>
      <c r="F166" s="99" t="s">
        <v>273</v>
      </c>
      <c r="G166" s="100">
        <v>6989.4615999999996</v>
      </c>
      <c r="H166" s="101">
        <v>7942.57</v>
      </c>
    </row>
    <row r="167" spans="1:8">
      <c r="A167" s="102">
        <v>38823</v>
      </c>
      <c r="B167" s="102" t="str">
        <f>TEXT($A167,"mmm")</f>
        <v>Apr</v>
      </c>
      <c r="C167" s="103" t="s">
        <v>104</v>
      </c>
      <c r="D167" s="103" t="s">
        <v>101</v>
      </c>
      <c r="E167" s="103" t="s">
        <v>81</v>
      </c>
      <c r="F167" s="103" t="s">
        <v>274</v>
      </c>
      <c r="G167" s="104">
        <v>3494.5920000000001</v>
      </c>
      <c r="H167" s="105">
        <v>7765.76</v>
      </c>
    </row>
    <row r="168" spans="1:8">
      <c r="A168" s="97">
        <v>38823</v>
      </c>
      <c r="B168" s="97" t="str">
        <f>TEXT($A168,"mmm")</f>
        <v>Apr</v>
      </c>
      <c r="C168" s="99" t="s">
        <v>107</v>
      </c>
      <c r="D168" s="99" t="s">
        <v>80</v>
      </c>
      <c r="E168" s="99" t="s">
        <v>99</v>
      </c>
      <c r="F168" s="99" t="s">
        <v>275</v>
      </c>
      <c r="G168" s="100">
        <v>4473.2474999999995</v>
      </c>
      <c r="H168" s="101">
        <v>5964.33</v>
      </c>
    </row>
    <row r="169" spans="1:8">
      <c r="A169" s="102">
        <v>38823</v>
      </c>
      <c r="B169" s="102" t="str">
        <f>TEXT($A169,"mmm")</f>
        <v>Apr</v>
      </c>
      <c r="C169" s="103" t="s">
        <v>116</v>
      </c>
      <c r="D169" s="103" t="s">
        <v>92</v>
      </c>
      <c r="E169" s="103" t="s">
        <v>105</v>
      </c>
      <c r="F169" s="103" t="s">
        <v>276</v>
      </c>
      <c r="G169" s="104">
        <v>2521.9542999999999</v>
      </c>
      <c r="H169" s="105">
        <v>5865.01</v>
      </c>
    </row>
    <row r="170" spans="1:8">
      <c r="A170" s="97">
        <v>38823</v>
      </c>
      <c r="B170" s="97" t="str">
        <f>TEXT($A170,"mmm")</f>
        <v>Apr</v>
      </c>
      <c r="C170" s="99" t="s">
        <v>79</v>
      </c>
      <c r="D170" s="99" t="s">
        <v>101</v>
      </c>
      <c r="E170" s="99" t="s">
        <v>93</v>
      </c>
      <c r="F170" s="99" t="s">
        <v>277</v>
      </c>
      <c r="G170" s="100">
        <v>2986.6552000000006</v>
      </c>
      <c r="H170" s="101">
        <v>4392.1400000000003</v>
      </c>
    </row>
    <row r="171" spans="1:8">
      <c r="A171" s="102">
        <v>38823</v>
      </c>
      <c r="B171" s="102" t="str">
        <f>TEXT($A171,"mmm")</f>
        <v>Apr</v>
      </c>
      <c r="C171" s="103" t="s">
        <v>104</v>
      </c>
      <c r="D171" s="103" t="s">
        <v>95</v>
      </c>
      <c r="E171" s="103" t="s">
        <v>108</v>
      </c>
      <c r="F171" s="103" t="s">
        <v>278</v>
      </c>
      <c r="G171" s="104">
        <v>2350.4615999999996</v>
      </c>
      <c r="H171" s="105">
        <v>4052.52</v>
      </c>
    </row>
    <row r="172" spans="1:8">
      <c r="A172" s="97">
        <v>38822</v>
      </c>
      <c r="B172" s="97" t="str">
        <f>TEXT($A172,"mmm")</f>
        <v>Apr</v>
      </c>
      <c r="C172" s="99" t="s">
        <v>104</v>
      </c>
      <c r="D172" s="99" t="s">
        <v>101</v>
      </c>
      <c r="E172" s="99" t="s">
        <v>83</v>
      </c>
      <c r="F172" s="99" t="s">
        <v>279</v>
      </c>
      <c r="G172" s="100">
        <v>3894.4124999999999</v>
      </c>
      <c r="H172" s="101">
        <v>8654.25</v>
      </c>
    </row>
    <row r="173" spans="1:8">
      <c r="A173" s="102">
        <v>38822</v>
      </c>
      <c r="B173" s="102" t="str">
        <f>TEXT($A173,"mmm")</f>
        <v>Apr</v>
      </c>
      <c r="C173" s="103" t="s">
        <v>86</v>
      </c>
      <c r="D173" s="103" t="s">
        <v>80</v>
      </c>
      <c r="E173" s="103" t="s">
        <v>96</v>
      </c>
      <c r="F173" s="103" t="s">
        <v>280</v>
      </c>
      <c r="G173" s="104">
        <v>1935.9611</v>
      </c>
      <c r="H173" s="105">
        <v>3281.29</v>
      </c>
    </row>
    <row r="174" spans="1:8">
      <c r="A174" s="97">
        <v>38822</v>
      </c>
      <c r="B174" s="97" t="str">
        <f>TEXT($A174,"mmm")</f>
        <v>Apr</v>
      </c>
      <c r="C174" s="99" t="s">
        <v>79</v>
      </c>
      <c r="D174" s="99" t="s">
        <v>95</v>
      </c>
      <c r="E174" s="99" t="s">
        <v>93</v>
      </c>
      <c r="F174" s="99" t="s">
        <v>281</v>
      </c>
      <c r="G174" s="100">
        <v>1182.0463999999999</v>
      </c>
      <c r="H174" s="101">
        <v>3194.72</v>
      </c>
    </row>
    <row r="175" spans="1:8">
      <c r="A175" s="102">
        <v>38821</v>
      </c>
      <c r="B175" s="102" t="str">
        <f>TEXT($A175,"mmm")</f>
        <v>Apr</v>
      </c>
      <c r="C175" s="103" t="s">
        <v>79</v>
      </c>
      <c r="D175" s="103" t="s">
        <v>87</v>
      </c>
      <c r="E175" s="103" t="s">
        <v>120</v>
      </c>
      <c r="F175" s="103" t="s">
        <v>282</v>
      </c>
      <c r="G175" s="104">
        <v>5822.4975999999997</v>
      </c>
      <c r="H175" s="105">
        <v>9868.64</v>
      </c>
    </row>
    <row r="176" spans="1:8">
      <c r="A176" s="97">
        <v>38821</v>
      </c>
      <c r="B176" s="97" t="str">
        <f>TEXT($A176,"mmm")</f>
        <v>Apr</v>
      </c>
      <c r="C176" s="99" t="s">
        <v>86</v>
      </c>
      <c r="D176" s="99" t="s">
        <v>98</v>
      </c>
      <c r="E176" s="99" t="s">
        <v>144</v>
      </c>
      <c r="F176" s="99" t="s">
        <v>283</v>
      </c>
      <c r="G176" s="100">
        <v>5082.0752000000002</v>
      </c>
      <c r="H176" s="101">
        <v>7473.64</v>
      </c>
    </row>
    <row r="177" spans="1:8">
      <c r="A177" s="102">
        <v>38821</v>
      </c>
      <c r="B177" s="102" t="str">
        <f>TEXT($A177,"mmm")</f>
        <v>Apr</v>
      </c>
      <c r="C177" s="103" t="s">
        <v>79</v>
      </c>
      <c r="D177" s="103" t="s">
        <v>92</v>
      </c>
      <c r="E177" s="103" t="s">
        <v>120</v>
      </c>
      <c r="F177" s="103" t="s">
        <v>284</v>
      </c>
      <c r="G177" s="104">
        <v>6416.8395500000006</v>
      </c>
      <c r="H177" s="105">
        <v>6862.93</v>
      </c>
    </row>
    <row r="178" spans="1:8">
      <c r="A178" s="97">
        <v>38821</v>
      </c>
      <c r="B178" s="97" t="str">
        <f>TEXT($A178,"mmm")</f>
        <v>Apr</v>
      </c>
      <c r="C178" s="99" t="s">
        <v>116</v>
      </c>
      <c r="D178" s="99" t="s">
        <v>80</v>
      </c>
      <c r="E178" s="99" t="s">
        <v>83</v>
      </c>
      <c r="F178" s="99" t="s">
        <v>285</v>
      </c>
      <c r="G178" s="100">
        <v>6221.9201000000003</v>
      </c>
      <c r="H178" s="101">
        <v>6654.46</v>
      </c>
    </row>
    <row r="179" spans="1:8">
      <c r="A179" s="102">
        <v>38821</v>
      </c>
      <c r="B179" s="102" t="str">
        <f>TEXT($A179,"mmm")</f>
        <v>Apr</v>
      </c>
      <c r="C179" s="103" t="s">
        <v>79</v>
      </c>
      <c r="D179" s="103" t="s">
        <v>114</v>
      </c>
      <c r="E179" s="103" t="s">
        <v>99</v>
      </c>
      <c r="F179" s="103" t="s">
        <v>286</v>
      </c>
      <c r="G179" s="104">
        <v>343.21950000000004</v>
      </c>
      <c r="H179" s="105">
        <v>762.71</v>
      </c>
    </row>
    <row r="180" spans="1:8">
      <c r="A180" s="97">
        <v>38821</v>
      </c>
      <c r="B180" s="97" t="str">
        <f>TEXT($A180,"mmm")</f>
        <v>Apr</v>
      </c>
      <c r="C180" s="99" t="s">
        <v>79</v>
      </c>
      <c r="D180" s="99" t="s">
        <v>80</v>
      </c>
      <c r="E180" s="99" t="s">
        <v>96</v>
      </c>
      <c r="F180" s="99" t="s">
        <v>287</v>
      </c>
      <c r="G180" s="100">
        <v>189.83305000000001</v>
      </c>
      <c r="H180" s="101">
        <v>203.03</v>
      </c>
    </row>
    <row r="181" spans="1:8">
      <c r="A181" s="102">
        <v>38820</v>
      </c>
      <c r="B181" s="102" t="str">
        <f>TEXT($A181,"mmm")</f>
        <v>Apr</v>
      </c>
      <c r="C181" s="103" t="s">
        <v>116</v>
      </c>
      <c r="D181" s="103" t="s">
        <v>92</v>
      </c>
      <c r="E181" s="103" t="s">
        <v>122</v>
      </c>
      <c r="F181" s="103" t="s">
        <v>288</v>
      </c>
      <c r="G181" s="104">
        <v>5416.9879499999997</v>
      </c>
      <c r="H181" s="105">
        <v>5793.57</v>
      </c>
    </row>
    <row r="182" spans="1:8">
      <c r="A182" s="97">
        <v>38820</v>
      </c>
      <c r="B182" s="97" t="str">
        <f>TEXT($A182,"mmm")</f>
        <v>Apr</v>
      </c>
      <c r="C182" s="99" t="s">
        <v>86</v>
      </c>
      <c r="D182" s="99" t="s">
        <v>80</v>
      </c>
      <c r="E182" s="99" t="s">
        <v>99</v>
      </c>
      <c r="F182" s="99" t="s">
        <v>289</v>
      </c>
      <c r="G182" s="100">
        <v>3293.4255999999996</v>
      </c>
      <c r="H182" s="101">
        <v>5678.32</v>
      </c>
    </row>
    <row r="183" spans="1:8">
      <c r="A183" s="102">
        <v>38820</v>
      </c>
      <c r="B183" s="102" t="str">
        <f>TEXT($A183,"mmm")</f>
        <v>Apr</v>
      </c>
      <c r="C183" s="103" t="s">
        <v>79</v>
      </c>
      <c r="D183" s="103" t="s">
        <v>87</v>
      </c>
      <c r="E183" s="103" t="s">
        <v>108</v>
      </c>
      <c r="F183" s="103" t="s">
        <v>290</v>
      </c>
      <c r="G183" s="104">
        <v>457.75659999999999</v>
      </c>
      <c r="H183" s="105">
        <v>1237.18</v>
      </c>
    </row>
    <row r="184" spans="1:8">
      <c r="A184" s="97">
        <v>38819</v>
      </c>
      <c r="B184" s="97" t="str">
        <f>TEXT($A184,"mmm")</f>
        <v>Apr</v>
      </c>
      <c r="C184" s="99" t="s">
        <v>79</v>
      </c>
      <c r="D184" s="99" t="s">
        <v>80</v>
      </c>
      <c r="E184" s="99" t="s">
        <v>122</v>
      </c>
      <c r="F184" s="99" t="s">
        <v>291</v>
      </c>
      <c r="G184" s="100">
        <v>5261.6081999999997</v>
      </c>
      <c r="H184" s="101">
        <v>8917.98</v>
      </c>
    </row>
    <row r="185" spans="1:8">
      <c r="A185" s="102">
        <v>38819</v>
      </c>
      <c r="B185" s="102" t="str">
        <f>TEXT($A185,"mmm")</f>
        <v>Apr</v>
      </c>
      <c r="C185" s="103" t="s">
        <v>79</v>
      </c>
      <c r="D185" s="103" t="s">
        <v>127</v>
      </c>
      <c r="E185" s="103" t="s">
        <v>83</v>
      </c>
      <c r="F185" s="103" t="s">
        <v>292</v>
      </c>
      <c r="G185" s="104">
        <v>4866.6001999999999</v>
      </c>
      <c r="H185" s="105">
        <v>8390.69</v>
      </c>
    </row>
    <row r="186" spans="1:8">
      <c r="A186" s="97">
        <v>38819</v>
      </c>
      <c r="B186" s="97" t="str">
        <f>TEXT($A186,"mmm")</f>
        <v>Apr</v>
      </c>
      <c r="C186" s="99" t="s">
        <v>116</v>
      </c>
      <c r="D186" s="99" t="s">
        <v>95</v>
      </c>
      <c r="E186" s="99" t="s">
        <v>120</v>
      </c>
      <c r="F186" s="99" t="s">
        <v>293</v>
      </c>
      <c r="G186" s="100">
        <v>5928.8175000000001</v>
      </c>
      <c r="H186" s="101">
        <v>7905.09</v>
      </c>
    </row>
    <row r="187" spans="1:8">
      <c r="A187" s="102">
        <v>38819</v>
      </c>
      <c r="B187" s="102" t="str">
        <f>TEXT($A187,"mmm")</f>
        <v>Apr</v>
      </c>
      <c r="C187" s="103" t="s">
        <v>116</v>
      </c>
      <c r="D187" s="103" t="s">
        <v>127</v>
      </c>
      <c r="E187" s="103" t="s">
        <v>99</v>
      </c>
      <c r="F187" s="103" t="s">
        <v>294</v>
      </c>
      <c r="G187" s="104">
        <v>987.8309999999999</v>
      </c>
      <c r="H187" s="105">
        <v>2195.1799999999998</v>
      </c>
    </row>
    <row r="188" spans="1:8">
      <c r="A188" s="97">
        <v>38819</v>
      </c>
      <c r="B188" s="97" t="str">
        <f>TEXT($A188,"mmm")</f>
        <v>Apr</v>
      </c>
      <c r="C188" s="99" t="s">
        <v>104</v>
      </c>
      <c r="D188" s="99" t="s">
        <v>80</v>
      </c>
      <c r="E188" s="99" t="s">
        <v>158</v>
      </c>
      <c r="F188" s="99" t="s">
        <v>295</v>
      </c>
      <c r="G188" s="100">
        <v>751.75649999999996</v>
      </c>
      <c r="H188" s="101">
        <v>1670.57</v>
      </c>
    </row>
    <row r="189" spans="1:8">
      <c r="A189" s="102">
        <v>38818</v>
      </c>
      <c r="B189" s="102" t="str">
        <f>TEXT($A189,"mmm")</f>
        <v>Apr</v>
      </c>
      <c r="C189" s="103" t="s">
        <v>79</v>
      </c>
      <c r="D189" s="103" t="s">
        <v>114</v>
      </c>
      <c r="E189" s="103" t="s">
        <v>120</v>
      </c>
      <c r="F189" s="103" t="s">
        <v>296</v>
      </c>
      <c r="G189" s="104">
        <v>3267.6043999999997</v>
      </c>
      <c r="H189" s="105">
        <v>7599.08</v>
      </c>
    </row>
    <row r="190" spans="1:8">
      <c r="A190" s="97">
        <v>38817</v>
      </c>
      <c r="B190" s="97" t="str">
        <f>TEXT($A190,"mmm")</f>
        <v>Apr</v>
      </c>
      <c r="C190" s="99" t="s">
        <v>107</v>
      </c>
      <c r="D190" s="99" t="s">
        <v>114</v>
      </c>
      <c r="E190" s="99" t="s">
        <v>108</v>
      </c>
      <c r="F190" s="99" t="s">
        <v>297</v>
      </c>
      <c r="G190" s="100">
        <v>8220.264799999999</v>
      </c>
      <c r="H190" s="101">
        <v>9341.2099999999991</v>
      </c>
    </row>
    <row r="191" spans="1:8">
      <c r="A191" s="102">
        <v>38817</v>
      </c>
      <c r="B191" s="102" t="str">
        <f>TEXT($A191,"mmm")</f>
        <v>Apr</v>
      </c>
      <c r="C191" s="103" t="s">
        <v>116</v>
      </c>
      <c r="D191" s="103" t="s">
        <v>101</v>
      </c>
      <c r="E191" s="103" t="s">
        <v>129</v>
      </c>
      <c r="F191" s="103" t="s">
        <v>298</v>
      </c>
      <c r="G191" s="104">
        <v>2373.2788</v>
      </c>
      <c r="H191" s="105">
        <v>4091.86</v>
      </c>
    </row>
    <row r="192" spans="1:8">
      <c r="A192" s="97">
        <v>38816</v>
      </c>
      <c r="B192" s="97" t="str">
        <f>TEXT($A192,"mmm")</f>
        <v>Apr</v>
      </c>
      <c r="C192" s="99" t="s">
        <v>86</v>
      </c>
      <c r="D192" s="99" t="s">
        <v>114</v>
      </c>
      <c r="E192" s="99" t="s">
        <v>83</v>
      </c>
      <c r="F192" s="99" t="s">
        <v>299</v>
      </c>
      <c r="G192" s="100">
        <v>3119.4790000000003</v>
      </c>
      <c r="H192" s="101">
        <v>5671.78</v>
      </c>
    </row>
    <row r="193" spans="1:8">
      <c r="A193" s="102">
        <v>38816</v>
      </c>
      <c r="B193" s="102" t="str">
        <f>TEXT($A193,"mmm")</f>
        <v>Apr</v>
      </c>
      <c r="C193" s="103" t="s">
        <v>86</v>
      </c>
      <c r="D193" s="103" t="s">
        <v>87</v>
      </c>
      <c r="E193" s="103" t="s">
        <v>99</v>
      </c>
      <c r="F193" s="103" t="s">
        <v>300</v>
      </c>
      <c r="G193" s="104">
        <v>2647.4331999999999</v>
      </c>
      <c r="H193" s="105">
        <v>4564.54</v>
      </c>
    </row>
    <row r="194" spans="1:8">
      <c r="A194" s="97">
        <v>38816</v>
      </c>
      <c r="B194" s="97" t="str">
        <f>TEXT($A194,"mmm")</f>
        <v>Apr</v>
      </c>
      <c r="C194" s="99" t="s">
        <v>107</v>
      </c>
      <c r="D194" s="99" t="s">
        <v>92</v>
      </c>
      <c r="E194" s="99" t="s">
        <v>144</v>
      </c>
      <c r="F194" s="99" t="s">
        <v>163</v>
      </c>
      <c r="G194" s="100">
        <v>1126.7080000000001</v>
      </c>
      <c r="H194" s="101">
        <v>2048.56</v>
      </c>
    </row>
    <row r="195" spans="1:8">
      <c r="A195" s="102">
        <v>38816</v>
      </c>
      <c r="B195" s="102" t="str">
        <f>TEXT($A195,"mmm")</f>
        <v>Apr</v>
      </c>
      <c r="C195" s="103" t="s">
        <v>79</v>
      </c>
      <c r="D195" s="103" t="s">
        <v>127</v>
      </c>
      <c r="E195" s="103" t="s">
        <v>94</v>
      </c>
      <c r="F195" s="103" t="s">
        <v>301</v>
      </c>
      <c r="G195" s="104">
        <v>1786.3472000000002</v>
      </c>
      <c r="H195" s="105">
        <v>2029.94</v>
      </c>
    </row>
    <row r="196" spans="1:8">
      <c r="A196" s="97">
        <v>38814</v>
      </c>
      <c r="B196" s="97" t="str">
        <f>TEXT($A196,"mmm")</f>
        <v>Apr</v>
      </c>
      <c r="C196" s="99" t="s">
        <v>79</v>
      </c>
      <c r="D196" s="99" t="s">
        <v>87</v>
      </c>
      <c r="E196" s="99" t="s">
        <v>94</v>
      </c>
      <c r="F196" s="99" t="s">
        <v>302</v>
      </c>
      <c r="G196" s="100">
        <v>3150.2799</v>
      </c>
      <c r="H196" s="101">
        <v>8514.27</v>
      </c>
    </row>
    <row r="197" spans="1:8">
      <c r="A197" s="102">
        <v>38814</v>
      </c>
      <c r="B197" s="102" t="str">
        <f>TEXT($A197,"mmm")</f>
        <v>Apr</v>
      </c>
      <c r="C197" s="103" t="s">
        <v>79</v>
      </c>
      <c r="D197" s="103" t="s">
        <v>127</v>
      </c>
      <c r="E197" s="103" t="s">
        <v>158</v>
      </c>
      <c r="F197" s="103" t="s">
        <v>303</v>
      </c>
      <c r="G197" s="104">
        <v>2178.0852999999997</v>
      </c>
      <c r="H197" s="105">
        <v>3691.67</v>
      </c>
    </row>
    <row r="198" spans="1:8">
      <c r="A198" s="97">
        <v>38814</v>
      </c>
      <c r="B198" s="97" t="str">
        <f>TEXT($A198,"mmm")</f>
        <v>Apr</v>
      </c>
      <c r="C198" s="99" t="s">
        <v>79</v>
      </c>
      <c r="D198" s="99" t="s">
        <v>98</v>
      </c>
      <c r="E198" s="99" t="s">
        <v>83</v>
      </c>
      <c r="F198" s="99" t="s">
        <v>304</v>
      </c>
      <c r="G198" s="100">
        <v>1664.5013999999999</v>
      </c>
      <c r="H198" s="101">
        <v>2869.83</v>
      </c>
    </row>
    <row r="199" spans="1:8">
      <c r="A199" s="102">
        <v>38814</v>
      </c>
      <c r="B199" s="102" t="str">
        <f>TEXT($A199,"mmm")</f>
        <v>Apr</v>
      </c>
      <c r="C199" s="103" t="s">
        <v>79</v>
      </c>
      <c r="D199" s="103" t="s">
        <v>87</v>
      </c>
      <c r="E199" s="103" t="s">
        <v>105</v>
      </c>
      <c r="F199" s="103" t="s">
        <v>305</v>
      </c>
      <c r="G199" s="104">
        <v>913.30279999999993</v>
      </c>
      <c r="H199" s="105">
        <v>1574.66</v>
      </c>
    </row>
    <row r="200" spans="1:8">
      <c r="A200" s="97">
        <v>38814</v>
      </c>
      <c r="B200" s="97" t="str">
        <f>TEXT($A200,"mmm")</f>
        <v>Apr</v>
      </c>
      <c r="C200" s="99" t="s">
        <v>104</v>
      </c>
      <c r="D200" s="99" t="s">
        <v>87</v>
      </c>
      <c r="E200" s="99" t="s">
        <v>89</v>
      </c>
      <c r="F200" s="99" t="s">
        <v>306</v>
      </c>
      <c r="G200" s="100">
        <v>712.92650000000003</v>
      </c>
      <c r="H200" s="101">
        <v>1296.23</v>
      </c>
    </row>
    <row r="201" spans="1:8">
      <c r="A201" s="102">
        <v>38813</v>
      </c>
      <c r="B201" s="102" t="str">
        <f>TEXT($A201,"mmm")</f>
        <v>Apr</v>
      </c>
      <c r="C201" s="103" t="s">
        <v>107</v>
      </c>
      <c r="D201" s="103" t="s">
        <v>101</v>
      </c>
      <c r="E201" s="103" t="s">
        <v>158</v>
      </c>
      <c r="F201" s="103" t="s">
        <v>307</v>
      </c>
      <c r="G201" s="104">
        <v>4686.9570000000003</v>
      </c>
      <c r="H201" s="105">
        <v>8521.74</v>
      </c>
    </row>
    <row r="202" spans="1:8">
      <c r="A202" s="97">
        <v>38813</v>
      </c>
      <c r="B202" s="97" t="str">
        <f>TEXT($A202,"mmm")</f>
        <v>Apr</v>
      </c>
      <c r="C202" s="99" t="s">
        <v>104</v>
      </c>
      <c r="D202" s="99" t="s">
        <v>80</v>
      </c>
      <c r="E202" s="99" t="s">
        <v>129</v>
      </c>
      <c r="F202" s="99" t="s">
        <v>308</v>
      </c>
      <c r="G202" s="100">
        <v>1934.5303999999999</v>
      </c>
      <c r="H202" s="101">
        <v>2198.33</v>
      </c>
    </row>
    <row r="203" spans="1:8">
      <c r="A203" s="102">
        <v>38812</v>
      </c>
      <c r="B203" s="102" t="str">
        <f>TEXT($A203,"mmm")</f>
        <v>Apr</v>
      </c>
      <c r="C203" s="103" t="s">
        <v>104</v>
      </c>
      <c r="D203" s="103" t="s">
        <v>101</v>
      </c>
      <c r="E203" s="103" t="s">
        <v>99</v>
      </c>
      <c r="F203" s="103" t="s">
        <v>309</v>
      </c>
      <c r="G203" s="104">
        <v>5043.5935000000009</v>
      </c>
      <c r="H203" s="105">
        <v>9170.17</v>
      </c>
    </row>
    <row r="204" spans="1:8">
      <c r="A204" s="97">
        <v>38812</v>
      </c>
      <c r="B204" s="97" t="str">
        <f>TEXT($A204,"mmm")</f>
        <v>Apr</v>
      </c>
      <c r="C204" s="99" t="s">
        <v>104</v>
      </c>
      <c r="D204" s="99" t="s">
        <v>114</v>
      </c>
      <c r="E204" s="99" t="s">
        <v>105</v>
      </c>
      <c r="F204" s="99" t="s">
        <v>310</v>
      </c>
      <c r="G204" s="100">
        <v>3135.6094000000003</v>
      </c>
      <c r="H204" s="101">
        <v>8474.6200000000008</v>
      </c>
    </row>
    <row r="205" spans="1:8">
      <c r="A205" s="102">
        <v>38812</v>
      </c>
      <c r="B205" s="102" t="str">
        <f>TEXT($A205,"mmm")</f>
        <v>Apr</v>
      </c>
      <c r="C205" s="103" t="s">
        <v>79</v>
      </c>
      <c r="D205" s="103" t="s">
        <v>92</v>
      </c>
      <c r="E205" s="103" t="s">
        <v>93</v>
      </c>
      <c r="F205" s="103" t="s">
        <v>311</v>
      </c>
      <c r="G205" s="104">
        <v>4647.2855000000009</v>
      </c>
      <c r="H205" s="105">
        <v>8449.61</v>
      </c>
    </row>
    <row r="206" spans="1:8">
      <c r="A206" s="97">
        <v>38812</v>
      </c>
      <c r="B206" s="97" t="str">
        <f>TEXT($A206,"mmm")</f>
        <v>Apr</v>
      </c>
      <c r="C206" s="99" t="s">
        <v>116</v>
      </c>
      <c r="D206" s="99" t="s">
        <v>98</v>
      </c>
      <c r="E206" s="99" t="s">
        <v>99</v>
      </c>
      <c r="F206" s="99" t="s">
        <v>312</v>
      </c>
      <c r="G206" s="100">
        <v>1451.0067999999999</v>
      </c>
      <c r="H206" s="101">
        <v>3921.64</v>
      </c>
    </row>
    <row r="207" spans="1:8">
      <c r="A207" s="102">
        <v>38812</v>
      </c>
      <c r="B207" s="102" t="str">
        <f>TEXT($A207,"mmm")</f>
        <v>Apr</v>
      </c>
      <c r="C207" s="103" t="s">
        <v>86</v>
      </c>
      <c r="D207" s="103" t="s">
        <v>114</v>
      </c>
      <c r="E207" s="103" t="s">
        <v>120</v>
      </c>
      <c r="F207" s="103" t="s">
        <v>313</v>
      </c>
      <c r="G207" s="104">
        <v>714.63149999999996</v>
      </c>
      <c r="H207" s="105">
        <v>1588.07</v>
      </c>
    </row>
    <row r="208" spans="1:8">
      <c r="A208" s="97">
        <v>38811</v>
      </c>
      <c r="B208" s="97" t="str">
        <f>TEXT($A208,"mmm")</f>
        <v>Apr</v>
      </c>
      <c r="C208" s="99" t="s">
        <v>79</v>
      </c>
      <c r="D208" s="99" t="s">
        <v>87</v>
      </c>
      <c r="E208" s="99" t="s">
        <v>129</v>
      </c>
      <c r="F208" s="99" t="s">
        <v>314</v>
      </c>
      <c r="G208" s="100">
        <v>4973.4025000000001</v>
      </c>
      <c r="H208" s="101">
        <v>9042.5499999999993</v>
      </c>
    </row>
    <row r="209" spans="1:8">
      <c r="A209" s="102">
        <v>38811</v>
      </c>
      <c r="B209" s="102" t="str">
        <f>TEXT($A209,"mmm")</f>
        <v>Apr</v>
      </c>
      <c r="C209" s="103" t="s">
        <v>104</v>
      </c>
      <c r="D209" s="103" t="s">
        <v>87</v>
      </c>
      <c r="E209" s="103" t="s">
        <v>89</v>
      </c>
      <c r="F209" s="103" t="s">
        <v>315</v>
      </c>
      <c r="G209" s="104">
        <v>5554.4544000000005</v>
      </c>
      <c r="H209" s="105">
        <v>6311.88</v>
      </c>
    </row>
    <row r="210" spans="1:8">
      <c r="A210" s="97">
        <v>38811</v>
      </c>
      <c r="B210" s="97" t="str">
        <f>TEXT($A210,"mmm")</f>
        <v>Apr</v>
      </c>
      <c r="C210" s="99" t="s">
        <v>79</v>
      </c>
      <c r="D210" s="99" t="s">
        <v>92</v>
      </c>
      <c r="E210" s="99" t="s">
        <v>129</v>
      </c>
      <c r="F210" s="99" t="s">
        <v>316</v>
      </c>
      <c r="G210" s="100">
        <v>1231.7985000000001</v>
      </c>
      <c r="H210" s="101">
        <v>2737.33</v>
      </c>
    </row>
    <row r="211" spans="1:8">
      <c r="A211" s="102">
        <v>38811</v>
      </c>
      <c r="B211" s="102" t="str">
        <f>TEXT($A211,"mmm")</f>
        <v>Apr</v>
      </c>
      <c r="C211" s="103" t="s">
        <v>116</v>
      </c>
      <c r="D211" s="103" t="s">
        <v>87</v>
      </c>
      <c r="E211" s="103" t="s">
        <v>96</v>
      </c>
      <c r="F211" s="103" t="s">
        <v>317</v>
      </c>
      <c r="G211" s="104">
        <v>1961.4825000000001</v>
      </c>
      <c r="H211" s="105">
        <v>2615.31</v>
      </c>
    </row>
    <row r="212" spans="1:8">
      <c r="A212" s="97">
        <v>38811</v>
      </c>
      <c r="B212" s="97" t="str">
        <f>TEXT($A212,"mmm")</f>
        <v>Apr</v>
      </c>
      <c r="C212" s="99" t="s">
        <v>79</v>
      </c>
      <c r="D212" s="99" t="s">
        <v>80</v>
      </c>
      <c r="E212" s="99" t="s">
        <v>105</v>
      </c>
      <c r="F212" s="99" t="s">
        <v>318</v>
      </c>
      <c r="G212" s="100">
        <v>1070.9503</v>
      </c>
      <c r="H212" s="101">
        <v>1815.17</v>
      </c>
    </row>
    <row r="213" spans="1:8">
      <c r="A213" s="102">
        <v>38810</v>
      </c>
      <c r="B213" s="102" t="str">
        <f>TEXT($A213,"mmm")</f>
        <v>Apr</v>
      </c>
      <c r="C213" s="103" t="s">
        <v>116</v>
      </c>
      <c r="D213" s="103" t="s">
        <v>114</v>
      </c>
      <c r="E213" s="103" t="s">
        <v>93</v>
      </c>
      <c r="F213" s="103" t="s">
        <v>319</v>
      </c>
      <c r="G213" s="104">
        <v>8792.467200000001</v>
      </c>
      <c r="H213" s="105">
        <v>9991.44</v>
      </c>
    </row>
    <row r="214" spans="1:8">
      <c r="A214" s="97">
        <v>38810</v>
      </c>
      <c r="B214" s="97" t="str">
        <f>TEXT($A214,"mmm")</f>
        <v>Apr</v>
      </c>
      <c r="C214" s="99" t="s">
        <v>79</v>
      </c>
      <c r="D214" s="99" t="s">
        <v>98</v>
      </c>
      <c r="E214" s="99" t="s">
        <v>83</v>
      </c>
      <c r="F214" s="99" t="s">
        <v>320</v>
      </c>
      <c r="G214" s="100">
        <v>6397.6814000000004</v>
      </c>
      <c r="H214" s="101">
        <v>6842.44</v>
      </c>
    </row>
    <row r="215" spans="1:8">
      <c r="A215" s="102">
        <v>38810</v>
      </c>
      <c r="B215" s="102" t="str">
        <f>TEXT($A215,"mmm")</f>
        <v>Apr</v>
      </c>
      <c r="C215" s="103" t="s">
        <v>116</v>
      </c>
      <c r="D215" s="103" t="s">
        <v>92</v>
      </c>
      <c r="E215" s="103" t="s">
        <v>89</v>
      </c>
      <c r="F215" s="103" t="s">
        <v>321</v>
      </c>
      <c r="G215" s="104">
        <v>3714.3155500000003</v>
      </c>
      <c r="H215" s="105">
        <v>3972.53</v>
      </c>
    </row>
    <row r="216" spans="1:8">
      <c r="A216" s="97">
        <v>38808</v>
      </c>
      <c r="B216" s="97" t="str">
        <f>TEXT($A216,"mmm")</f>
        <v>Apr</v>
      </c>
      <c r="C216" s="99" t="s">
        <v>79</v>
      </c>
      <c r="D216" s="99" t="s">
        <v>127</v>
      </c>
      <c r="E216" s="99" t="s">
        <v>96</v>
      </c>
      <c r="F216" s="99" t="s">
        <v>322</v>
      </c>
      <c r="G216" s="100">
        <v>1908.7650000000001</v>
      </c>
      <c r="H216" s="101">
        <v>4241.7</v>
      </c>
    </row>
    <row r="217" spans="1:8">
      <c r="A217" s="102">
        <v>38807</v>
      </c>
      <c r="B217" s="102" t="str">
        <f>TEXT($A217,"mmm")</f>
        <v>Mar</v>
      </c>
      <c r="C217" s="103" t="s">
        <v>107</v>
      </c>
      <c r="D217" s="103" t="s">
        <v>87</v>
      </c>
      <c r="E217" s="103" t="s">
        <v>81</v>
      </c>
      <c r="F217" s="103" t="s">
        <v>323</v>
      </c>
      <c r="G217" s="104">
        <v>4453.9949999999999</v>
      </c>
      <c r="H217" s="105">
        <v>5938.66</v>
      </c>
    </row>
    <row r="218" spans="1:8">
      <c r="A218" s="97">
        <v>38807</v>
      </c>
      <c r="B218" s="97" t="str">
        <f>TEXT($A218,"mmm")</f>
        <v>Mar</v>
      </c>
      <c r="C218" s="99" t="s">
        <v>107</v>
      </c>
      <c r="D218" s="99" t="s">
        <v>127</v>
      </c>
      <c r="E218" s="99" t="s">
        <v>158</v>
      </c>
      <c r="F218" s="99" t="s">
        <v>324</v>
      </c>
      <c r="G218" s="100">
        <v>892.64960000000008</v>
      </c>
      <c r="H218" s="101">
        <v>1312.72</v>
      </c>
    </row>
    <row r="219" spans="1:8">
      <c r="A219" s="102">
        <v>38807</v>
      </c>
      <c r="B219" s="102" t="str">
        <f>TEXT($A219,"mmm")</f>
        <v>Mar</v>
      </c>
      <c r="C219" s="103" t="s">
        <v>79</v>
      </c>
      <c r="D219" s="103" t="s">
        <v>114</v>
      </c>
      <c r="E219" s="103" t="s">
        <v>94</v>
      </c>
      <c r="F219" s="103" t="s">
        <v>325</v>
      </c>
      <c r="G219" s="104">
        <v>714.15640000000008</v>
      </c>
      <c r="H219" s="105">
        <v>1050.23</v>
      </c>
    </row>
    <row r="220" spans="1:8">
      <c r="A220" s="97">
        <v>38806</v>
      </c>
      <c r="B220" s="97" t="str">
        <f>TEXT($A220,"mmm")</f>
        <v>Mar</v>
      </c>
      <c r="C220" s="99" t="s">
        <v>116</v>
      </c>
      <c r="D220" s="99" t="s">
        <v>80</v>
      </c>
      <c r="E220" s="99" t="s">
        <v>96</v>
      </c>
      <c r="F220" s="99" t="s">
        <v>326</v>
      </c>
      <c r="G220" s="100">
        <v>3133.125</v>
      </c>
      <c r="H220" s="101">
        <v>6962.5</v>
      </c>
    </row>
    <row r="221" spans="1:8">
      <c r="A221" s="102">
        <v>38805</v>
      </c>
      <c r="B221" s="102" t="str">
        <f>TEXT($A221,"mmm")</f>
        <v>Mar</v>
      </c>
      <c r="C221" s="103" t="s">
        <v>86</v>
      </c>
      <c r="D221" s="103" t="s">
        <v>98</v>
      </c>
      <c r="E221" s="103" t="s">
        <v>144</v>
      </c>
      <c r="F221" s="103" t="s">
        <v>327</v>
      </c>
      <c r="G221" s="104">
        <v>4241.5408000000007</v>
      </c>
      <c r="H221" s="105">
        <v>6237.56</v>
      </c>
    </row>
    <row r="222" spans="1:8">
      <c r="A222" s="97">
        <v>38805</v>
      </c>
      <c r="B222" s="97" t="str">
        <f>TEXT($A222,"mmm")</f>
        <v>Mar</v>
      </c>
      <c r="C222" s="99" t="s">
        <v>86</v>
      </c>
      <c r="D222" s="99" t="s">
        <v>87</v>
      </c>
      <c r="E222" s="99" t="s">
        <v>93</v>
      </c>
      <c r="F222" s="99" t="s">
        <v>328</v>
      </c>
      <c r="G222" s="100">
        <v>1929.2939999999999</v>
      </c>
      <c r="H222" s="101">
        <v>4287.32</v>
      </c>
    </row>
    <row r="223" spans="1:8">
      <c r="A223" s="102">
        <v>38805</v>
      </c>
      <c r="B223" s="102" t="str">
        <f>TEXT($A223,"mmm")</f>
        <v>Mar</v>
      </c>
      <c r="C223" s="103" t="s">
        <v>104</v>
      </c>
      <c r="D223" s="103" t="s">
        <v>114</v>
      </c>
      <c r="E223" s="103" t="s">
        <v>105</v>
      </c>
      <c r="F223" s="103" t="s">
        <v>329</v>
      </c>
      <c r="G223" s="104">
        <v>1746.5424</v>
      </c>
      <c r="H223" s="105">
        <v>3011.28</v>
      </c>
    </row>
    <row r="224" spans="1:8">
      <c r="A224" s="97">
        <v>38805</v>
      </c>
      <c r="B224" s="97" t="str">
        <f>TEXT($A224,"mmm")</f>
        <v>Mar</v>
      </c>
      <c r="C224" s="99" t="s">
        <v>79</v>
      </c>
      <c r="D224" s="99" t="s">
        <v>98</v>
      </c>
      <c r="E224" s="99" t="s">
        <v>158</v>
      </c>
      <c r="F224" s="99" t="s">
        <v>330</v>
      </c>
      <c r="G224" s="100">
        <v>525.56119999999999</v>
      </c>
      <c r="H224" s="101">
        <v>906.14</v>
      </c>
    </row>
    <row r="225" spans="1:8">
      <c r="A225" s="102">
        <v>38804</v>
      </c>
      <c r="B225" s="102" t="str">
        <f>TEXT($A225,"mmm")</f>
        <v>Mar</v>
      </c>
      <c r="C225" s="103" t="s">
        <v>107</v>
      </c>
      <c r="D225" s="103" t="s">
        <v>87</v>
      </c>
      <c r="E225" s="103" t="s">
        <v>129</v>
      </c>
      <c r="F225" s="103" t="s">
        <v>331</v>
      </c>
      <c r="G225" s="104">
        <v>6103.3632000000007</v>
      </c>
      <c r="H225" s="105">
        <v>6935.64</v>
      </c>
    </row>
    <row r="226" spans="1:8">
      <c r="A226" s="97">
        <v>38804</v>
      </c>
      <c r="B226" s="97" t="str">
        <f>TEXT($A226,"mmm")</f>
        <v>Mar</v>
      </c>
      <c r="C226" s="99" t="s">
        <v>116</v>
      </c>
      <c r="D226" s="99" t="s">
        <v>101</v>
      </c>
      <c r="E226" s="99" t="s">
        <v>99</v>
      </c>
      <c r="F226" s="99" t="s">
        <v>332</v>
      </c>
      <c r="G226" s="100">
        <v>1539.5333000000001</v>
      </c>
      <c r="H226" s="101">
        <v>3580.31</v>
      </c>
    </row>
    <row r="227" spans="1:8">
      <c r="A227" s="102">
        <v>38803</v>
      </c>
      <c r="B227" s="102" t="str">
        <f>TEXT($A227,"mmm")</f>
        <v>Mar</v>
      </c>
      <c r="C227" s="103" t="s">
        <v>116</v>
      </c>
      <c r="D227" s="103" t="s">
        <v>98</v>
      </c>
      <c r="E227" s="103" t="s">
        <v>158</v>
      </c>
      <c r="F227" s="103" t="s">
        <v>333</v>
      </c>
      <c r="G227" s="104">
        <v>5943.5551999999998</v>
      </c>
      <c r="H227" s="105">
        <v>6754.04</v>
      </c>
    </row>
    <row r="228" spans="1:8">
      <c r="A228" s="97">
        <v>38803</v>
      </c>
      <c r="B228" s="97" t="str">
        <f>TEXT($A228,"mmm")</f>
        <v>Mar</v>
      </c>
      <c r="C228" s="99" t="s">
        <v>107</v>
      </c>
      <c r="D228" s="99" t="s">
        <v>80</v>
      </c>
      <c r="E228" s="99" t="s">
        <v>83</v>
      </c>
      <c r="F228" s="99" t="s">
        <v>334</v>
      </c>
      <c r="G228" s="100">
        <v>3377.2602999999999</v>
      </c>
      <c r="H228" s="101">
        <v>5724.17</v>
      </c>
    </row>
    <row r="229" spans="1:8">
      <c r="A229" s="102">
        <v>38802</v>
      </c>
      <c r="B229" s="102" t="str">
        <f>TEXT($A229,"mmm")</f>
        <v>Mar</v>
      </c>
      <c r="C229" s="103" t="s">
        <v>79</v>
      </c>
      <c r="D229" s="103" t="s">
        <v>98</v>
      </c>
      <c r="E229" s="103" t="s">
        <v>122</v>
      </c>
      <c r="F229" s="103" t="s">
        <v>335</v>
      </c>
      <c r="G229" s="104">
        <v>2736.1545000000001</v>
      </c>
      <c r="H229" s="105">
        <v>4637.55</v>
      </c>
    </row>
    <row r="230" spans="1:8">
      <c r="A230" s="97">
        <v>38802</v>
      </c>
      <c r="B230" s="97" t="str">
        <f>TEXT($A230,"mmm")</f>
        <v>Mar</v>
      </c>
      <c r="C230" s="99" t="s">
        <v>86</v>
      </c>
      <c r="D230" s="99" t="s">
        <v>92</v>
      </c>
      <c r="E230" s="99" t="s">
        <v>129</v>
      </c>
      <c r="F230" s="99" t="s">
        <v>336</v>
      </c>
      <c r="G230" s="100">
        <v>3488.5488</v>
      </c>
      <c r="H230" s="101">
        <v>3964.26</v>
      </c>
    </row>
    <row r="231" spans="1:8">
      <c r="A231" s="102">
        <v>38802</v>
      </c>
      <c r="B231" s="102" t="str">
        <f>TEXT($A231,"mmm")</f>
        <v>Mar</v>
      </c>
      <c r="C231" s="103" t="s">
        <v>79</v>
      </c>
      <c r="D231" s="103" t="s">
        <v>101</v>
      </c>
      <c r="E231" s="103" t="s">
        <v>93</v>
      </c>
      <c r="F231" s="103" t="s">
        <v>337</v>
      </c>
      <c r="G231" s="104">
        <v>1619.5635000000002</v>
      </c>
      <c r="H231" s="105">
        <v>3599.03</v>
      </c>
    </row>
    <row r="232" spans="1:8">
      <c r="A232" s="97">
        <v>38802</v>
      </c>
      <c r="B232" s="97" t="str">
        <f>TEXT($A232,"mmm")</f>
        <v>Mar</v>
      </c>
      <c r="C232" s="99" t="s">
        <v>116</v>
      </c>
      <c r="D232" s="99" t="s">
        <v>95</v>
      </c>
      <c r="E232" s="99" t="s">
        <v>129</v>
      </c>
      <c r="F232" s="99" t="s">
        <v>338</v>
      </c>
      <c r="G232" s="100">
        <v>2675.9324999999999</v>
      </c>
      <c r="H232" s="101">
        <v>3567.91</v>
      </c>
    </row>
    <row r="233" spans="1:8">
      <c r="A233" s="102">
        <v>38802</v>
      </c>
      <c r="B233" s="102" t="str">
        <f>TEXT($A233,"mmm")</f>
        <v>Mar</v>
      </c>
      <c r="C233" s="103" t="s">
        <v>116</v>
      </c>
      <c r="D233" s="103" t="s">
        <v>80</v>
      </c>
      <c r="E233" s="103" t="s">
        <v>108</v>
      </c>
      <c r="F233" s="103" t="s">
        <v>339</v>
      </c>
      <c r="G233" s="104">
        <v>1404.5454</v>
      </c>
      <c r="H233" s="105">
        <v>2421.63</v>
      </c>
    </row>
    <row r="234" spans="1:8">
      <c r="A234" s="97">
        <v>38801</v>
      </c>
      <c r="B234" s="97" t="str">
        <f>TEXT($A234,"mmm")</f>
        <v>Mar</v>
      </c>
      <c r="C234" s="99" t="s">
        <v>116</v>
      </c>
      <c r="D234" s="99" t="s">
        <v>80</v>
      </c>
      <c r="E234" s="99" t="s">
        <v>144</v>
      </c>
      <c r="F234" s="99" t="s">
        <v>340</v>
      </c>
      <c r="G234" s="100">
        <v>4543.4642000000003</v>
      </c>
      <c r="H234" s="101">
        <v>4859.32</v>
      </c>
    </row>
    <row r="235" spans="1:8">
      <c r="A235" s="102">
        <v>38801</v>
      </c>
      <c r="B235" s="102" t="str">
        <f>TEXT($A235,"mmm")</f>
        <v>Mar</v>
      </c>
      <c r="C235" s="103" t="s">
        <v>79</v>
      </c>
      <c r="D235" s="103" t="s">
        <v>98</v>
      </c>
      <c r="E235" s="103" t="s">
        <v>99</v>
      </c>
      <c r="F235" s="103" t="s">
        <v>341</v>
      </c>
      <c r="G235" s="104">
        <v>1044.9780000000001</v>
      </c>
      <c r="H235" s="105">
        <v>1899.96</v>
      </c>
    </row>
    <row r="236" spans="1:8">
      <c r="A236" s="97">
        <v>38800</v>
      </c>
      <c r="B236" s="97" t="str">
        <f>TEXT($A236,"mmm")</f>
        <v>Mar</v>
      </c>
      <c r="C236" s="99" t="s">
        <v>104</v>
      </c>
      <c r="D236" s="99" t="s">
        <v>98</v>
      </c>
      <c r="E236" s="99" t="s">
        <v>122</v>
      </c>
      <c r="F236" s="99" t="s">
        <v>342</v>
      </c>
      <c r="G236" s="100">
        <v>4901.4291999999996</v>
      </c>
      <c r="H236" s="101">
        <v>8450.74</v>
      </c>
    </row>
    <row r="237" spans="1:8">
      <c r="A237" s="102">
        <v>38800</v>
      </c>
      <c r="B237" s="102" t="str">
        <f>TEXT($A237,"mmm")</f>
        <v>Mar</v>
      </c>
      <c r="C237" s="103" t="s">
        <v>116</v>
      </c>
      <c r="D237" s="103" t="s">
        <v>101</v>
      </c>
      <c r="E237" s="103" t="s">
        <v>120</v>
      </c>
      <c r="F237" s="103" t="s">
        <v>343</v>
      </c>
      <c r="G237" s="104">
        <v>5628.87</v>
      </c>
      <c r="H237" s="105">
        <v>8277.75</v>
      </c>
    </row>
    <row r="238" spans="1:8">
      <c r="A238" s="97">
        <v>38800</v>
      </c>
      <c r="B238" s="97" t="str">
        <f>TEXT($A238,"mmm")</f>
        <v>Mar</v>
      </c>
      <c r="C238" s="99" t="s">
        <v>79</v>
      </c>
      <c r="D238" s="99" t="s">
        <v>98</v>
      </c>
      <c r="E238" s="99" t="s">
        <v>93</v>
      </c>
      <c r="F238" s="99" t="s">
        <v>344</v>
      </c>
      <c r="G238" s="100">
        <v>141.084</v>
      </c>
      <c r="H238" s="101">
        <v>313.52</v>
      </c>
    </row>
    <row r="239" spans="1:8">
      <c r="A239" s="102">
        <v>38799</v>
      </c>
      <c r="B239" s="102" t="str">
        <f>TEXT($A239,"mmm")</f>
        <v>Mar</v>
      </c>
      <c r="C239" s="103" t="s">
        <v>79</v>
      </c>
      <c r="D239" s="103" t="s">
        <v>92</v>
      </c>
      <c r="E239" s="103" t="s">
        <v>122</v>
      </c>
      <c r="F239" s="103" t="s">
        <v>345</v>
      </c>
      <c r="G239" s="104">
        <v>5256.5046999999995</v>
      </c>
      <c r="H239" s="105">
        <v>8909.33</v>
      </c>
    </row>
    <row r="240" spans="1:8">
      <c r="A240" s="97">
        <v>38799</v>
      </c>
      <c r="B240" s="97" t="str">
        <f>TEXT($A240,"mmm")</f>
        <v>Mar</v>
      </c>
      <c r="C240" s="99" t="s">
        <v>116</v>
      </c>
      <c r="D240" s="99" t="s">
        <v>95</v>
      </c>
      <c r="E240" s="99" t="s">
        <v>120</v>
      </c>
      <c r="F240" s="99" t="s">
        <v>346</v>
      </c>
      <c r="G240" s="100">
        <v>3132.0574999999999</v>
      </c>
      <c r="H240" s="101">
        <v>5694.65</v>
      </c>
    </row>
    <row r="241" spans="1:8">
      <c r="A241" s="102">
        <v>38799</v>
      </c>
      <c r="B241" s="102" t="str">
        <f>TEXT($A241,"mmm")</f>
        <v>Mar</v>
      </c>
      <c r="C241" s="103" t="s">
        <v>79</v>
      </c>
      <c r="D241" s="103" t="s">
        <v>114</v>
      </c>
      <c r="E241" s="103" t="s">
        <v>105</v>
      </c>
      <c r="F241" s="103" t="s">
        <v>347</v>
      </c>
      <c r="G241" s="104">
        <v>1283.2636</v>
      </c>
      <c r="H241" s="105">
        <v>3468.28</v>
      </c>
    </row>
    <row r="242" spans="1:8">
      <c r="A242" s="97">
        <v>38799</v>
      </c>
      <c r="B242" s="97" t="str">
        <f>TEXT($A242,"mmm")</f>
        <v>Mar</v>
      </c>
      <c r="C242" s="99" t="s">
        <v>79</v>
      </c>
      <c r="D242" s="99" t="s">
        <v>98</v>
      </c>
      <c r="E242" s="99" t="s">
        <v>129</v>
      </c>
      <c r="F242" s="99" t="s">
        <v>348</v>
      </c>
      <c r="G242" s="100">
        <v>1050.7852</v>
      </c>
      <c r="H242" s="101">
        <v>2839.96</v>
      </c>
    </row>
    <row r="243" spans="1:8">
      <c r="A243" s="102">
        <v>38799</v>
      </c>
      <c r="B243" s="102" t="str">
        <f>TEXT($A243,"mmm")</f>
        <v>Mar</v>
      </c>
      <c r="C243" s="103" t="s">
        <v>79</v>
      </c>
      <c r="D243" s="103" t="s">
        <v>95</v>
      </c>
      <c r="E243" s="103" t="s">
        <v>93</v>
      </c>
      <c r="F243" s="103" t="s">
        <v>349</v>
      </c>
      <c r="G243" s="104">
        <v>1496.6930000000002</v>
      </c>
      <c r="H243" s="105">
        <v>2721.26</v>
      </c>
    </row>
    <row r="244" spans="1:8">
      <c r="A244" s="97">
        <v>38798</v>
      </c>
      <c r="B244" s="97" t="str">
        <f>TEXT($A244,"mmm")</f>
        <v>Mar</v>
      </c>
      <c r="C244" s="99" t="s">
        <v>107</v>
      </c>
      <c r="D244" s="99" t="s">
        <v>114</v>
      </c>
      <c r="E244" s="99" t="s">
        <v>120</v>
      </c>
      <c r="F244" s="99" t="s">
        <v>350</v>
      </c>
      <c r="G244" s="100">
        <v>4458.369850000001</v>
      </c>
      <c r="H244" s="101">
        <v>4768.3100000000004</v>
      </c>
    </row>
    <row r="245" spans="1:8">
      <c r="A245" s="102">
        <v>38798</v>
      </c>
      <c r="B245" s="102" t="str">
        <f>TEXT($A245,"mmm")</f>
        <v>Mar</v>
      </c>
      <c r="C245" s="103" t="s">
        <v>79</v>
      </c>
      <c r="D245" s="103" t="s">
        <v>114</v>
      </c>
      <c r="E245" s="103" t="s">
        <v>158</v>
      </c>
      <c r="F245" s="103" t="s">
        <v>351</v>
      </c>
      <c r="G245" s="104">
        <v>1547.5295000000001</v>
      </c>
      <c r="H245" s="105">
        <v>2813.69</v>
      </c>
    </row>
    <row r="246" spans="1:8">
      <c r="A246" s="97">
        <v>38798</v>
      </c>
      <c r="B246" s="97" t="str">
        <f>TEXT($A246,"mmm")</f>
        <v>Mar</v>
      </c>
      <c r="C246" s="99" t="s">
        <v>104</v>
      </c>
      <c r="D246" s="99" t="s">
        <v>80</v>
      </c>
      <c r="E246" s="99" t="s">
        <v>129</v>
      </c>
      <c r="F246" s="99" t="s">
        <v>352</v>
      </c>
      <c r="G246" s="100">
        <v>2230.5711999999999</v>
      </c>
      <c r="H246" s="101">
        <v>2534.7399999999998</v>
      </c>
    </row>
    <row r="247" spans="1:8">
      <c r="A247" s="102">
        <v>38798</v>
      </c>
      <c r="B247" s="102" t="str">
        <f>TEXT($A247,"mmm")</f>
        <v>Mar</v>
      </c>
      <c r="C247" s="103" t="s">
        <v>86</v>
      </c>
      <c r="D247" s="103" t="s">
        <v>127</v>
      </c>
      <c r="E247" s="103" t="s">
        <v>81</v>
      </c>
      <c r="F247" s="103" t="s">
        <v>353</v>
      </c>
      <c r="G247" s="104">
        <v>1828.1823999999999</v>
      </c>
      <c r="H247" s="105">
        <v>2077.48</v>
      </c>
    </row>
    <row r="248" spans="1:8">
      <c r="A248" s="97">
        <v>38798</v>
      </c>
      <c r="B248" s="97" t="str">
        <f>TEXT($A248,"mmm")</f>
        <v>Mar</v>
      </c>
      <c r="C248" s="99" t="s">
        <v>107</v>
      </c>
      <c r="D248" s="99" t="s">
        <v>114</v>
      </c>
      <c r="E248" s="99" t="s">
        <v>105</v>
      </c>
      <c r="F248" s="99" t="s">
        <v>354</v>
      </c>
      <c r="G248" s="100">
        <v>899.5376</v>
      </c>
      <c r="H248" s="101">
        <v>1524.64</v>
      </c>
    </row>
    <row r="249" spans="1:8">
      <c r="A249" s="102">
        <v>38797</v>
      </c>
      <c r="B249" s="102" t="str">
        <f>TEXT($A249,"mmm")</f>
        <v>Mar</v>
      </c>
      <c r="C249" s="103" t="s">
        <v>116</v>
      </c>
      <c r="D249" s="103" t="s">
        <v>92</v>
      </c>
      <c r="E249" s="103" t="s">
        <v>99</v>
      </c>
      <c r="F249" s="103" t="s">
        <v>355</v>
      </c>
      <c r="G249" s="104">
        <v>4823.6870000000008</v>
      </c>
      <c r="H249" s="105">
        <v>8770.34</v>
      </c>
    </row>
    <row r="250" spans="1:8">
      <c r="A250" s="97">
        <v>38797</v>
      </c>
      <c r="B250" s="97" t="str">
        <f>TEXT($A250,"mmm")</f>
        <v>Mar</v>
      </c>
      <c r="C250" s="99" t="s">
        <v>86</v>
      </c>
      <c r="D250" s="99" t="s">
        <v>114</v>
      </c>
      <c r="E250" s="99" t="s">
        <v>105</v>
      </c>
      <c r="F250" s="99" t="s">
        <v>356</v>
      </c>
      <c r="G250" s="100">
        <v>4071.1359999999995</v>
      </c>
      <c r="H250" s="101">
        <v>7019.2</v>
      </c>
    </row>
    <row r="251" spans="1:8">
      <c r="A251" s="102">
        <v>38797</v>
      </c>
      <c r="B251" s="102" t="str">
        <f>TEXT($A251,"mmm")</f>
        <v>Mar</v>
      </c>
      <c r="C251" s="103" t="s">
        <v>107</v>
      </c>
      <c r="D251" s="103" t="s">
        <v>98</v>
      </c>
      <c r="E251" s="103" t="s">
        <v>108</v>
      </c>
      <c r="F251" s="103" t="s">
        <v>357</v>
      </c>
      <c r="G251" s="104">
        <v>2464.9074999999998</v>
      </c>
      <c r="H251" s="105">
        <v>4481.6499999999996</v>
      </c>
    </row>
    <row r="252" spans="1:8">
      <c r="A252" s="97">
        <v>38796</v>
      </c>
      <c r="B252" s="97" t="str">
        <f>TEXT($A252,"mmm")</f>
        <v>Mar</v>
      </c>
      <c r="C252" s="99" t="s">
        <v>86</v>
      </c>
      <c r="D252" s="99" t="s">
        <v>101</v>
      </c>
      <c r="E252" s="99" t="s">
        <v>105</v>
      </c>
      <c r="F252" s="99" t="s">
        <v>358</v>
      </c>
      <c r="G252" s="100">
        <v>3175.6136000000006</v>
      </c>
      <c r="H252" s="101">
        <v>4670.0200000000004</v>
      </c>
    </row>
    <row r="253" spans="1:8">
      <c r="A253" s="102">
        <v>38796</v>
      </c>
      <c r="B253" s="102" t="str">
        <f>TEXT($A253,"mmm")</f>
        <v>Mar</v>
      </c>
      <c r="C253" s="103" t="s">
        <v>107</v>
      </c>
      <c r="D253" s="103" t="s">
        <v>98</v>
      </c>
      <c r="E253" s="103" t="s">
        <v>81</v>
      </c>
      <c r="F253" s="103" t="s">
        <v>359</v>
      </c>
      <c r="G253" s="104">
        <v>699.2444999999999</v>
      </c>
      <c r="H253" s="105">
        <v>1889.85</v>
      </c>
    </row>
    <row r="254" spans="1:8">
      <c r="A254" s="97">
        <v>38796</v>
      </c>
      <c r="B254" s="97" t="str">
        <f>TEXT($A254,"mmm")</f>
        <v>Mar</v>
      </c>
      <c r="C254" s="99" t="s">
        <v>79</v>
      </c>
      <c r="D254" s="99" t="s">
        <v>95</v>
      </c>
      <c r="E254" s="99" t="s">
        <v>144</v>
      </c>
      <c r="F254" s="99" t="s">
        <v>360</v>
      </c>
      <c r="G254" s="100">
        <v>86.159099999999995</v>
      </c>
      <c r="H254" s="101">
        <v>200.37</v>
      </c>
    </row>
    <row r="255" spans="1:8">
      <c r="A255" s="102">
        <v>38795</v>
      </c>
      <c r="B255" s="102" t="str">
        <f>TEXT($A255,"mmm")</f>
        <v>Mar</v>
      </c>
      <c r="C255" s="103" t="s">
        <v>116</v>
      </c>
      <c r="D255" s="103" t="s">
        <v>95</v>
      </c>
      <c r="E255" s="103" t="s">
        <v>144</v>
      </c>
      <c r="F255" s="103" t="s">
        <v>361</v>
      </c>
      <c r="G255" s="104">
        <v>4976.2782999999999</v>
      </c>
      <c r="H255" s="105">
        <v>8434.3700000000008</v>
      </c>
    </row>
    <row r="256" spans="1:8">
      <c r="A256" s="97">
        <v>38795</v>
      </c>
      <c r="B256" s="97" t="str">
        <f>TEXT($A256,"mmm")</f>
        <v>Mar</v>
      </c>
      <c r="C256" s="99" t="s">
        <v>116</v>
      </c>
      <c r="D256" s="99" t="s">
        <v>101</v>
      </c>
      <c r="E256" s="99" t="s">
        <v>96</v>
      </c>
      <c r="F256" s="99" t="s">
        <v>362</v>
      </c>
      <c r="G256" s="100">
        <v>3434.0249999999996</v>
      </c>
      <c r="H256" s="101">
        <v>4578.7</v>
      </c>
    </row>
    <row r="257" spans="1:8">
      <c r="A257" s="102">
        <v>38794</v>
      </c>
      <c r="B257" s="102" t="str">
        <f>TEXT($A257,"mmm")</f>
        <v>Mar</v>
      </c>
      <c r="C257" s="103" t="s">
        <v>79</v>
      </c>
      <c r="D257" s="103" t="s">
        <v>92</v>
      </c>
      <c r="E257" s="103" t="s">
        <v>144</v>
      </c>
      <c r="F257" s="103" t="s">
        <v>363</v>
      </c>
      <c r="G257" s="104">
        <v>4003.0485000000008</v>
      </c>
      <c r="H257" s="105">
        <v>7278.27</v>
      </c>
    </row>
    <row r="258" spans="1:8">
      <c r="A258" s="97">
        <v>38794</v>
      </c>
      <c r="B258" s="97" t="str">
        <f>TEXT($A258,"mmm")</f>
        <v>Mar</v>
      </c>
      <c r="C258" s="99" t="s">
        <v>86</v>
      </c>
      <c r="D258" s="99" t="s">
        <v>95</v>
      </c>
      <c r="E258" s="99" t="s">
        <v>94</v>
      </c>
      <c r="F258" s="99" t="s">
        <v>364</v>
      </c>
      <c r="G258" s="100">
        <v>3495.9450000000002</v>
      </c>
      <c r="H258" s="101">
        <v>4661.26</v>
      </c>
    </row>
    <row r="259" spans="1:8">
      <c r="A259" s="102">
        <v>38794</v>
      </c>
      <c r="B259" s="102" t="str">
        <f>TEXT($A259,"mmm")</f>
        <v>Mar</v>
      </c>
      <c r="C259" s="103" t="s">
        <v>86</v>
      </c>
      <c r="D259" s="103" t="s">
        <v>80</v>
      </c>
      <c r="E259" s="103" t="s">
        <v>158</v>
      </c>
      <c r="F259" s="103" t="s">
        <v>365</v>
      </c>
      <c r="G259" s="104">
        <v>2962.5288</v>
      </c>
      <c r="H259" s="105">
        <v>4356.66</v>
      </c>
    </row>
    <row r="260" spans="1:8">
      <c r="A260" s="97">
        <v>38793</v>
      </c>
      <c r="B260" s="97" t="str">
        <f>TEXT($A260,"mmm")</f>
        <v>Mar</v>
      </c>
      <c r="C260" s="99" t="s">
        <v>79</v>
      </c>
      <c r="D260" s="99" t="s">
        <v>98</v>
      </c>
      <c r="E260" s="99" t="s">
        <v>96</v>
      </c>
      <c r="F260" s="99" t="s">
        <v>366</v>
      </c>
      <c r="G260" s="100">
        <v>3308.4067999999997</v>
      </c>
      <c r="H260" s="101">
        <v>8941.64</v>
      </c>
    </row>
    <row r="261" spans="1:8">
      <c r="A261" s="102">
        <v>38793</v>
      </c>
      <c r="B261" s="102" t="str">
        <f>TEXT($A261,"mmm")</f>
        <v>Mar</v>
      </c>
      <c r="C261" s="103" t="s">
        <v>107</v>
      </c>
      <c r="D261" s="103" t="s">
        <v>92</v>
      </c>
      <c r="E261" s="103" t="s">
        <v>96</v>
      </c>
      <c r="F261" s="103" t="s">
        <v>367</v>
      </c>
      <c r="G261" s="104">
        <v>6362.7404500000002</v>
      </c>
      <c r="H261" s="105">
        <v>6805.07</v>
      </c>
    </row>
    <row r="262" spans="1:8">
      <c r="A262" s="97">
        <v>38792</v>
      </c>
      <c r="B262" s="97" t="str">
        <f>TEXT($A262,"mmm")</f>
        <v>Mar</v>
      </c>
      <c r="C262" s="99" t="s">
        <v>79</v>
      </c>
      <c r="D262" s="99" t="s">
        <v>87</v>
      </c>
      <c r="E262" s="99" t="s">
        <v>81</v>
      </c>
      <c r="F262" s="99" t="s">
        <v>368</v>
      </c>
      <c r="G262" s="100">
        <v>9007.0513499999997</v>
      </c>
      <c r="H262" s="101">
        <v>9633.2099999999991</v>
      </c>
    </row>
    <row r="263" spans="1:8">
      <c r="A263" s="102">
        <v>38792</v>
      </c>
      <c r="B263" s="102" t="str">
        <f>TEXT($A263,"mmm")</f>
        <v>Mar</v>
      </c>
      <c r="C263" s="103" t="s">
        <v>86</v>
      </c>
      <c r="D263" s="103" t="s">
        <v>87</v>
      </c>
      <c r="E263" s="103" t="s">
        <v>144</v>
      </c>
      <c r="F263" s="103" t="s">
        <v>369</v>
      </c>
      <c r="G263" s="104">
        <v>3494.4615000000003</v>
      </c>
      <c r="H263" s="105">
        <v>7765.47</v>
      </c>
    </row>
    <row r="264" spans="1:8">
      <c r="A264" s="97">
        <v>38791</v>
      </c>
      <c r="B264" s="97" t="str">
        <f>TEXT($A264,"mmm")</f>
        <v>Mar</v>
      </c>
      <c r="C264" s="99" t="s">
        <v>79</v>
      </c>
      <c r="D264" s="99" t="s">
        <v>114</v>
      </c>
      <c r="E264" s="99" t="s">
        <v>83</v>
      </c>
      <c r="F264" s="99" t="s">
        <v>370</v>
      </c>
      <c r="G264" s="100">
        <v>5948.1664000000001</v>
      </c>
      <c r="H264" s="101">
        <v>6759.28</v>
      </c>
    </row>
    <row r="265" spans="1:8">
      <c r="A265" s="102">
        <v>38791</v>
      </c>
      <c r="B265" s="102" t="str">
        <f>TEXT($A265,"mmm")</f>
        <v>Mar</v>
      </c>
      <c r="C265" s="103" t="s">
        <v>116</v>
      </c>
      <c r="D265" s="103" t="s">
        <v>92</v>
      </c>
      <c r="E265" s="103" t="s">
        <v>83</v>
      </c>
      <c r="F265" s="103" t="s">
        <v>371</v>
      </c>
      <c r="G265" s="104">
        <v>3260.0040000000004</v>
      </c>
      <c r="H265" s="105">
        <v>3704.55</v>
      </c>
    </row>
    <row r="266" spans="1:8">
      <c r="A266" s="97">
        <v>38790</v>
      </c>
      <c r="B266" s="97" t="str">
        <f>TEXT($A266,"mmm")</f>
        <v>Mar</v>
      </c>
      <c r="C266" s="99" t="s">
        <v>86</v>
      </c>
      <c r="D266" s="99" t="s">
        <v>127</v>
      </c>
      <c r="E266" s="99" t="s">
        <v>99</v>
      </c>
      <c r="F266" s="99" t="s">
        <v>372</v>
      </c>
      <c r="G266" s="100">
        <v>4846.16</v>
      </c>
      <c r="H266" s="101">
        <v>5507</v>
      </c>
    </row>
    <row r="267" spans="1:8">
      <c r="A267" s="102">
        <v>38790</v>
      </c>
      <c r="B267" s="102" t="str">
        <f>TEXT($A267,"mmm")</f>
        <v>Mar</v>
      </c>
      <c r="C267" s="103" t="s">
        <v>104</v>
      </c>
      <c r="D267" s="103" t="s">
        <v>92</v>
      </c>
      <c r="E267" s="103" t="s">
        <v>96</v>
      </c>
      <c r="F267" s="103" t="s">
        <v>373</v>
      </c>
      <c r="G267" s="104">
        <v>1804.0170500000002</v>
      </c>
      <c r="H267" s="105">
        <v>1929.43</v>
      </c>
    </row>
    <row r="268" spans="1:8">
      <c r="A268" s="97">
        <v>38788</v>
      </c>
      <c r="B268" s="97" t="str">
        <f>TEXT($A268,"mmm")</f>
        <v>Mar</v>
      </c>
      <c r="C268" s="99" t="s">
        <v>116</v>
      </c>
      <c r="D268" s="99" t="s">
        <v>87</v>
      </c>
      <c r="E268" s="99" t="s">
        <v>81</v>
      </c>
      <c r="F268" s="99" t="s">
        <v>374</v>
      </c>
      <c r="G268" s="100">
        <v>3445.1291999999999</v>
      </c>
      <c r="H268" s="101">
        <v>9311.16</v>
      </c>
    </row>
    <row r="269" spans="1:8">
      <c r="A269" s="102">
        <v>38788</v>
      </c>
      <c r="B269" s="102" t="str">
        <f>TEXT($A269,"mmm")</f>
        <v>Mar</v>
      </c>
      <c r="C269" s="103" t="s">
        <v>104</v>
      </c>
      <c r="D269" s="103" t="s">
        <v>98</v>
      </c>
      <c r="E269" s="103" t="s">
        <v>89</v>
      </c>
      <c r="F269" s="103" t="s">
        <v>375</v>
      </c>
      <c r="G269" s="104">
        <v>3499.5866000000001</v>
      </c>
      <c r="H269" s="105">
        <v>6033.77</v>
      </c>
    </row>
    <row r="270" spans="1:8">
      <c r="A270" s="97">
        <v>38788</v>
      </c>
      <c r="B270" s="97" t="str">
        <f>TEXT($A270,"mmm")</f>
        <v>Mar</v>
      </c>
      <c r="C270" s="99" t="s">
        <v>107</v>
      </c>
      <c r="D270" s="99" t="s">
        <v>101</v>
      </c>
      <c r="E270" s="99" t="s">
        <v>105</v>
      </c>
      <c r="F270" s="99" t="s">
        <v>376</v>
      </c>
      <c r="G270" s="100">
        <v>4265.7031999999999</v>
      </c>
      <c r="H270" s="101">
        <v>4847.3900000000003</v>
      </c>
    </row>
    <row r="271" spans="1:8">
      <c r="A271" s="102">
        <v>38788</v>
      </c>
      <c r="B271" s="102" t="str">
        <f>TEXT($A271,"mmm")</f>
        <v>Mar</v>
      </c>
      <c r="C271" s="103" t="s">
        <v>86</v>
      </c>
      <c r="D271" s="103" t="s">
        <v>92</v>
      </c>
      <c r="E271" s="103" t="s">
        <v>89</v>
      </c>
      <c r="F271" s="103" t="s">
        <v>377</v>
      </c>
      <c r="G271" s="104">
        <v>411.52140000000003</v>
      </c>
      <c r="H271" s="105">
        <v>1112.22</v>
      </c>
    </row>
    <row r="272" spans="1:8">
      <c r="A272" s="97">
        <v>38787</v>
      </c>
      <c r="B272" s="97" t="str">
        <f>TEXT($A272,"mmm")</f>
        <v>Mar</v>
      </c>
      <c r="C272" s="99" t="s">
        <v>79</v>
      </c>
      <c r="D272" s="99" t="s">
        <v>127</v>
      </c>
      <c r="E272" s="99" t="s">
        <v>81</v>
      </c>
      <c r="F272" s="99" t="s">
        <v>378</v>
      </c>
      <c r="G272" s="100">
        <v>3255.3096000000005</v>
      </c>
      <c r="H272" s="101">
        <v>4787.22</v>
      </c>
    </row>
    <row r="273" spans="1:8">
      <c r="A273" s="102">
        <v>38786</v>
      </c>
      <c r="B273" s="102" t="str">
        <f>TEXT($A273,"mmm")</f>
        <v>Mar</v>
      </c>
      <c r="C273" s="103" t="s">
        <v>104</v>
      </c>
      <c r="D273" s="103" t="s">
        <v>92</v>
      </c>
      <c r="E273" s="103" t="s">
        <v>99</v>
      </c>
      <c r="F273" s="103" t="s">
        <v>379</v>
      </c>
      <c r="G273" s="104">
        <v>4264.0992999999999</v>
      </c>
      <c r="H273" s="105">
        <v>9916.51</v>
      </c>
    </row>
    <row r="274" spans="1:8">
      <c r="A274" s="97">
        <v>38786</v>
      </c>
      <c r="B274" s="97" t="str">
        <f>TEXT($A274,"mmm")</f>
        <v>Mar</v>
      </c>
      <c r="C274" s="99" t="s">
        <v>79</v>
      </c>
      <c r="D274" s="99" t="s">
        <v>98</v>
      </c>
      <c r="E274" s="99" t="s">
        <v>94</v>
      </c>
      <c r="F274" s="99" t="s">
        <v>380</v>
      </c>
      <c r="G274" s="100">
        <v>2963.2338</v>
      </c>
      <c r="H274" s="101">
        <v>8008.74</v>
      </c>
    </row>
    <row r="275" spans="1:8">
      <c r="A275" s="102">
        <v>38786</v>
      </c>
      <c r="B275" s="102" t="str">
        <f>TEXT($A275,"mmm")</f>
        <v>Mar</v>
      </c>
      <c r="C275" s="103" t="s">
        <v>116</v>
      </c>
      <c r="D275" s="103" t="s">
        <v>127</v>
      </c>
      <c r="E275" s="103" t="s">
        <v>89</v>
      </c>
      <c r="F275" s="103" t="s">
        <v>381</v>
      </c>
      <c r="G275" s="104">
        <v>4378.3432000000003</v>
      </c>
      <c r="H275" s="105">
        <v>4682.72</v>
      </c>
    </row>
    <row r="276" spans="1:8">
      <c r="A276" s="97">
        <v>38784</v>
      </c>
      <c r="B276" s="97" t="str">
        <f>TEXT($A276,"mmm")</f>
        <v>Mar</v>
      </c>
      <c r="C276" s="99" t="s">
        <v>107</v>
      </c>
      <c r="D276" s="99" t="s">
        <v>95</v>
      </c>
      <c r="E276" s="99" t="s">
        <v>108</v>
      </c>
      <c r="F276" s="99" t="s">
        <v>382</v>
      </c>
      <c r="G276" s="100">
        <v>4014.9744999999998</v>
      </c>
      <c r="H276" s="101">
        <v>9337.15</v>
      </c>
    </row>
    <row r="277" spans="1:8">
      <c r="A277" s="102">
        <v>38784</v>
      </c>
      <c r="B277" s="102" t="str">
        <f>TEXT($A277,"mmm")</f>
        <v>Mar</v>
      </c>
      <c r="C277" s="103" t="s">
        <v>104</v>
      </c>
      <c r="D277" s="103" t="s">
        <v>127</v>
      </c>
      <c r="E277" s="103" t="s">
        <v>83</v>
      </c>
      <c r="F277" s="103" t="s">
        <v>383</v>
      </c>
      <c r="G277" s="104">
        <v>1701.144</v>
      </c>
      <c r="H277" s="105">
        <v>3780.32</v>
      </c>
    </row>
    <row r="278" spans="1:8">
      <c r="A278" s="97">
        <v>38784</v>
      </c>
      <c r="B278" s="97" t="str">
        <f>TEXT($A278,"mmm")</f>
        <v>Mar</v>
      </c>
      <c r="C278" s="99" t="s">
        <v>79</v>
      </c>
      <c r="D278" s="99" t="s">
        <v>98</v>
      </c>
      <c r="E278" s="99" t="s">
        <v>89</v>
      </c>
      <c r="F278" s="99" t="s">
        <v>384</v>
      </c>
      <c r="G278" s="100">
        <v>975.73850000000004</v>
      </c>
      <c r="H278" s="101">
        <v>1774.07</v>
      </c>
    </row>
    <row r="279" spans="1:8">
      <c r="A279" s="102">
        <v>38784</v>
      </c>
      <c r="B279" s="102" t="str">
        <f>TEXT($A279,"mmm")</f>
        <v>Mar</v>
      </c>
      <c r="C279" s="103" t="s">
        <v>79</v>
      </c>
      <c r="D279" s="103" t="s">
        <v>87</v>
      </c>
      <c r="E279" s="103" t="s">
        <v>120</v>
      </c>
      <c r="F279" s="103" t="s">
        <v>385</v>
      </c>
      <c r="G279" s="104">
        <v>218.27250000000001</v>
      </c>
      <c r="H279" s="105">
        <v>291.02999999999997</v>
      </c>
    </row>
    <row r="280" spans="1:8">
      <c r="A280" s="97">
        <v>38783</v>
      </c>
      <c r="B280" s="97" t="str">
        <f>TEXT($A280,"mmm")</f>
        <v>Mar</v>
      </c>
      <c r="C280" s="99" t="s">
        <v>107</v>
      </c>
      <c r="D280" s="99" t="s">
        <v>87</v>
      </c>
      <c r="E280" s="99" t="s">
        <v>108</v>
      </c>
      <c r="F280" s="99" t="s">
        <v>386</v>
      </c>
      <c r="G280" s="100">
        <v>2672.1805000000004</v>
      </c>
      <c r="H280" s="101">
        <v>4858.51</v>
      </c>
    </row>
    <row r="281" spans="1:8">
      <c r="A281" s="102">
        <v>38782</v>
      </c>
      <c r="B281" s="102" t="str">
        <f>TEXT($A281,"mmm")</f>
        <v>Mar</v>
      </c>
      <c r="C281" s="103" t="s">
        <v>79</v>
      </c>
      <c r="D281" s="103" t="s">
        <v>95</v>
      </c>
      <c r="E281" s="103" t="s">
        <v>89</v>
      </c>
      <c r="F281" s="103" t="s">
        <v>387</v>
      </c>
      <c r="G281" s="104">
        <v>7657.3321000000005</v>
      </c>
      <c r="H281" s="105">
        <v>8189.66</v>
      </c>
    </row>
    <row r="282" spans="1:8">
      <c r="A282" s="97">
        <v>38782</v>
      </c>
      <c r="B282" s="97" t="str">
        <f>TEXT($A282,"mmm")</f>
        <v>Mar</v>
      </c>
      <c r="C282" s="99" t="s">
        <v>104</v>
      </c>
      <c r="D282" s="99" t="s">
        <v>95</v>
      </c>
      <c r="E282" s="99" t="s">
        <v>96</v>
      </c>
      <c r="F282" s="99" t="s">
        <v>388</v>
      </c>
      <c r="G282" s="100">
        <v>4512.3936000000003</v>
      </c>
      <c r="H282" s="101">
        <v>5127.72</v>
      </c>
    </row>
    <row r="283" spans="1:8">
      <c r="A283" s="102">
        <v>38782</v>
      </c>
      <c r="B283" s="102" t="str">
        <f>TEXT($A283,"mmm")</f>
        <v>Mar</v>
      </c>
      <c r="C283" s="103" t="s">
        <v>79</v>
      </c>
      <c r="D283" s="103" t="s">
        <v>95</v>
      </c>
      <c r="E283" s="103" t="s">
        <v>129</v>
      </c>
      <c r="F283" s="103" t="s">
        <v>389</v>
      </c>
      <c r="G283" s="104">
        <v>1880.9747999999997</v>
      </c>
      <c r="H283" s="105">
        <v>4374.3599999999997</v>
      </c>
    </row>
    <row r="284" spans="1:8">
      <c r="A284" s="97">
        <v>38782</v>
      </c>
      <c r="B284" s="97" t="str">
        <f>TEXT($A284,"mmm")</f>
        <v>Mar</v>
      </c>
      <c r="C284" s="99" t="s">
        <v>79</v>
      </c>
      <c r="D284" s="99" t="s">
        <v>80</v>
      </c>
      <c r="E284" s="99" t="s">
        <v>89</v>
      </c>
      <c r="F284" s="99" t="s">
        <v>390</v>
      </c>
      <c r="G284" s="100">
        <v>2356.6840000000002</v>
      </c>
      <c r="H284" s="101">
        <v>4284.88</v>
      </c>
    </row>
    <row r="285" spans="1:8">
      <c r="A285" s="102">
        <v>38782</v>
      </c>
      <c r="B285" s="102" t="str">
        <f>TEXT($A285,"mmm")</f>
        <v>Mar</v>
      </c>
      <c r="C285" s="103" t="s">
        <v>116</v>
      </c>
      <c r="D285" s="103" t="s">
        <v>127</v>
      </c>
      <c r="E285" s="103" t="s">
        <v>122</v>
      </c>
      <c r="F285" s="103" t="s">
        <v>391</v>
      </c>
      <c r="G285" s="104">
        <v>925.96050000000002</v>
      </c>
      <c r="H285" s="105">
        <v>2057.69</v>
      </c>
    </row>
    <row r="286" spans="1:8">
      <c r="A286" s="97">
        <v>38781</v>
      </c>
      <c r="B286" s="97" t="str">
        <f>TEXT($A286,"mmm")</f>
        <v>Mar</v>
      </c>
      <c r="C286" s="99" t="s">
        <v>104</v>
      </c>
      <c r="D286" s="99" t="s">
        <v>101</v>
      </c>
      <c r="E286" s="99" t="s">
        <v>105</v>
      </c>
      <c r="F286" s="99" t="s">
        <v>392</v>
      </c>
      <c r="G286" s="100">
        <v>4802.7132000000001</v>
      </c>
      <c r="H286" s="101">
        <v>8280.5400000000009</v>
      </c>
    </row>
    <row r="287" spans="1:8">
      <c r="A287" s="102">
        <v>38781</v>
      </c>
      <c r="B287" s="102" t="str">
        <f>TEXT($A287,"mmm")</f>
        <v>Mar</v>
      </c>
      <c r="C287" s="103" t="s">
        <v>86</v>
      </c>
      <c r="D287" s="103" t="s">
        <v>87</v>
      </c>
      <c r="E287" s="103" t="s">
        <v>89</v>
      </c>
      <c r="F287" s="103" t="s">
        <v>393</v>
      </c>
      <c r="G287" s="104">
        <v>1200.8757000000001</v>
      </c>
      <c r="H287" s="105">
        <v>3245.61</v>
      </c>
    </row>
    <row r="288" spans="1:8">
      <c r="A288" s="97">
        <v>38781</v>
      </c>
      <c r="B288" s="97" t="str">
        <f>TEXT($A288,"mmm")</f>
        <v>Mar</v>
      </c>
      <c r="C288" s="99" t="s">
        <v>107</v>
      </c>
      <c r="D288" s="99" t="s">
        <v>92</v>
      </c>
      <c r="E288" s="99" t="s">
        <v>120</v>
      </c>
      <c r="F288" s="99" t="s">
        <v>394</v>
      </c>
      <c r="G288" s="100">
        <v>1032.2926</v>
      </c>
      <c r="H288" s="101">
        <v>2789.98</v>
      </c>
    </row>
    <row r="289" spans="1:8">
      <c r="A289" s="102">
        <v>38781</v>
      </c>
      <c r="B289" s="102" t="str">
        <f>TEXT($A289,"mmm")</f>
        <v>Mar</v>
      </c>
      <c r="C289" s="103" t="s">
        <v>107</v>
      </c>
      <c r="D289" s="103" t="s">
        <v>95</v>
      </c>
      <c r="E289" s="103" t="s">
        <v>83</v>
      </c>
      <c r="F289" s="103" t="s">
        <v>395</v>
      </c>
      <c r="G289" s="104">
        <v>755.2985000000001</v>
      </c>
      <c r="H289" s="105">
        <v>1373.27</v>
      </c>
    </row>
    <row r="290" spans="1:8">
      <c r="A290" s="97">
        <v>38780</v>
      </c>
      <c r="B290" s="97" t="str">
        <f>TEXT($A290,"mmm")</f>
        <v>Mar</v>
      </c>
      <c r="C290" s="99" t="s">
        <v>79</v>
      </c>
      <c r="D290" s="99" t="s">
        <v>92</v>
      </c>
      <c r="E290" s="99" t="s">
        <v>108</v>
      </c>
      <c r="F290" s="99" t="s">
        <v>396</v>
      </c>
      <c r="G290" s="100">
        <v>5659.9349999999995</v>
      </c>
      <c r="H290" s="101">
        <v>7546.58</v>
      </c>
    </row>
    <row r="291" spans="1:8">
      <c r="A291" s="102">
        <v>38780</v>
      </c>
      <c r="B291" s="102" t="str">
        <f>TEXT($A291,"mmm")</f>
        <v>Mar</v>
      </c>
      <c r="C291" s="103" t="s">
        <v>79</v>
      </c>
      <c r="D291" s="103" t="s">
        <v>127</v>
      </c>
      <c r="E291" s="103" t="s">
        <v>144</v>
      </c>
      <c r="F291" s="103" t="s">
        <v>397</v>
      </c>
      <c r="G291" s="104">
        <v>361.3383</v>
      </c>
      <c r="H291" s="105">
        <v>976.59</v>
      </c>
    </row>
    <row r="292" spans="1:8">
      <c r="A292" s="97">
        <v>38779</v>
      </c>
      <c r="B292" s="97" t="str">
        <f>TEXT($A292,"mmm")</f>
        <v>Mar</v>
      </c>
      <c r="C292" s="99" t="s">
        <v>104</v>
      </c>
      <c r="D292" s="99" t="s">
        <v>127</v>
      </c>
      <c r="E292" s="99" t="s">
        <v>89</v>
      </c>
      <c r="F292" s="99" t="s">
        <v>398</v>
      </c>
      <c r="G292" s="100">
        <v>5971.7849999999999</v>
      </c>
      <c r="H292" s="101">
        <v>7962.38</v>
      </c>
    </row>
    <row r="293" spans="1:8">
      <c r="A293" s="102">
        <v>38779</v>
      </c>
      <c r="B293" s="102" t="str">
        <f>TEXT($A293,"mmm")</f>
        <v>Mar</v>
      </c>
      <c r="C293" s="103" t="s">
        <v>104</v>
      </c>
      <c r="D293" s="103" t="s">
        <v>95</v>
      </c>
      <c r="E293" s="103" t="s">
        <v>108</v>
      </c>
      <c r="F293" s="103" t="s">
        <v>399</v>
      </c>
      <c r="G293" s="104">
        <v>426.47829999999999</v>
      </c>
      <c r="H293" s="105">
        <v>991.81</v>
      </c>
    </row>
    <row r="294" spans="1:8">
      <c r="A294" s="97">
        <v>38779</v>
      </c>
      <c r="B294" s="97" t="str">
        <f>TEXT($A294,"mmm")</f>
        <v>Mar</v>
      </c>
      <c r="C294" s="99" t="s">
        <v>79</v>
      </c>
      <c r="D294" s="99" t="s">
        <v>101</v>
      </c>
      <c r="E294" s="99" t="s">
        <v>144</v>
      </c>
      <c r="F294" s="99" t="s">
        <v>400</v>
      </c>
      <c r="G294" s="100">
        <v>428.12119999999999</v>
      </c>
      <c r="H294" s="101">
        <v>738.14</v>
      </c>
    </row>
    <row r="295" spans="1:8">
      <c r="A295" s="102">
        <v>38778</v>
      </c>
      <c r="B295" s="102" t="str">
        <f>TEXT($A295,"mmm")</f>
        <v>Mar</v>
      </c>
      <c r="C295" s="103" t="s">
        <v>107</v>
      </c>
      <c r="D295" s="103" t="s">
        <v>101</v>
      </c>
      <c r="E295" s="103" t="s">
        <v>89</v>
      </c>
      <c r="F295" s="103" t="s">
        <v>401</v>
      </c>
      <c r="G295" s="104">
        <v>3827.0385000000006</v>
      </c>
      <c r="H295" s="105">
        <v>8504.5300000000007</v>
      </c>
    </row>
    <row r="296" spans="1:8">
      <c r="A296" s="97">
        <v>38778</v>
      </c>
      <c r="B296" s="97" t="str">
        <f>TEXT($A296,"mmm")</f>
        <v>Mar</v>
      </c>
      <c r="C296" s="99" t="s">
        <v>79</v>
      </c>
      <c r="D296" s="99" t="s">
        <v>98</v>
      </c>
      <c r="E296" s="99" t="s">
        <v>158</v>
      </c>
      <c r="F296" s="99" t="s">
        <v>402</v>
      </c>
      <c r="G296" s="100">
        <v>3802.8859999999995</v>
      </c>
      <c r="H296" s="101">
        <v>6556.7</v>
      </c>
    </row>
    <row r="297" spans="1:8">
      <c r="A297" s="102">
        <v>38778</v>
      </c>
      <c r="B297" s="102" t="str">
        <f>TEXT($A297,"mmm")</f>
        <v>Mar</v>
      </c>
      <c r="C297" s="103" t="s">
        <v>116</v>
      </c>
      <c r="D297" s="103" t="s">
        <v>98</v>
      </c>
      <c r="E297" s="103" t="s">
        <v>108</v>
      </c>
      <c r="F297" s="103" t="s">
        <v>403</v>
      </c>
      <c r="G297" s="104">
        <v>1850.7735</v>
      </c>
      <c r="H297" s="105">
        <v>4112.83</v>
      </c>
    </row>
    <row r="298" spans="1:8">
      <c r="A298" s="97">
        <v>38778</v>
      </c>
      <c r="B298" s="97" t="str">
        <f>TEXT($A298,"mmm")</f>
        <v>Mar</v>
      </c>
      <c r="C298" s="99" t="s">
        <v>107</v>
      </c>
      <c r="D298" s="99" t="s">
        <v>80</v>
      </c>
      <c r="E298" s="99" t="s">
        <v>144</v>
      </c>
      <c r="F298" s="99" t="s">
        <v>404</v>
      </c>
      <c r="G298" s="100">
        <v>2450.7608</v>
      </c>
      <c r="H298" s="101">
        <v>3604.06</v>
      </c>
    </row>
    <row r="299" spans="1:8">
      <c r="A299" s="102">
        <v>38778</v>
      </c>
      <c r="B299" s="102" t="str">
        <f>TEXT($A299,"mmm")</f>
        <v>Mar</v>
      </c>
      <c r="C299" s="103" t="s">
        <v>107</v>
      </c>
      <c r="D299" s="103" t="s">
        <v>95</v>
      </c>
      <c r="E299" s="103" t="s">
        <v>94</v>
      </c>
      <c r="F299" s="103" t="s">
        <v>405</v>
      </c>
      <c r="G299" s="104">
        <v>2916.7138</v>
      </c>
      <c r="H299" s="105">
        <v>3119.48</v>
      </c>
    </row>
    <row r="300" spans="1:8">
      <c r="A300" s="97">
        <v>38778</v>
      </c>
      <c r="B300" s="97" t="str">
        <f>TEXT($A300,"mmm")</f>
        <v>Mar</v>
      </c>
      <c r="C300" s="99" t="s">
        <v>79</v>
      </c>
      <c r="D300" s="99" t="s">
        <v>101</v>
      </c>
      <c r="E300" s="99" t="s">
        <v>105</v>
      </c>
      <c r="F300" s="99" t="s">
        <v>406</v>
      </c>
      <c r="G300" s="100">
        <v>2779.3623000000002</v>
      </c>
      <c r="H300" s="101">
        <v>2972.58</v>
      </c>
    </row>
    <row r="301" spans="1:8">
      <c r="A301" s="102">
        <v>38777</v>
      </c>
      <c r="B301" s="102" t="str">
        <f>TEXT($A301,"mmm")</f>
        <v>Mar</v>
      </c>
      <c r="C301" s="103" t="s">
        <v>116</v>
      </c>
      <c r="D301" s="103" t="s">
        <v>114</v>
      </c>
      <c r="E301" s="103" t="s">
        <v>120</v>
      </c>
      <c r="F301" s="103" t="s">
        <v>407</v>
      </c>
      <c r="G301" s="104">
        <v>3185.7074000000002</v>
      </c>
      <c r="H301" s="105">
        <v>8610.02</v>
      </c>
    </row>
    <row r="302" spans="1:8">
      <c r="A302" s="97">
        <v>38777</v>
      </c>
      <c r="B302" s="97" t="str">
        <f>TEXT($A302,"mmm")</f>
        <v>Mar</v>
      </c>
      <c r="C302" s="99" t="s">
        <v>116</v>
      </c>
      <c r="D302" s="99" t="s">
        <v>87</v>
      </c>
      <c r="E302" s="99" t="s">
        <v>120</v>
      </c>
      <c r="F302" s="99" t="s">
        <v>408</v>
      </c>
      <c r="G302" s="100">
        <v>4421.1944999999996</v>
      </c>
      <c r="H302" s="101">
        <v>7493.55</v>
      </c>
    </row>
    <row r="303" spans="1:8">
      <c r="A303" s="102">
        <v>38777</v>
      </c>
      <c r="B303" s="102" t="str">
        <f>TEXT($A303,"mmm")</f>
        <v>Mar</v>
      </c>
      <c r="C303" s="103" t="s">
        <v>107</v>
      </c>
      <c r="D303" s="103" t="s">
        <v>127</v>
      </c>
      <c r="E303" s="103" t="s">
        <v>96</v>
      </c>
      <c r="F303" s="103" t="s">
        <v>409</v>
      </c>
      <c r="G303" s="104">
        <v>4976.1312000000007</v>
      </c>
      <c r="H303" s="105">
        <v>7317.84</v>
      </c>
    </row>
    <row r="304" spans="1:8">
      <c r="A304" s="97">
        <v>38777</v>
      </c>
      <c r="B304" s="97" t="str">
        <f>TEXT($A304,"mmm")</f>
        <v>Mar</v>
      </c>
      <c r="C304" s="99" t="s">
        <v>79</v>
      </c>
      <c r="D304" s="99" t="s">
        <v>127</v>
      </c>
      <c r="E304" s="99" t="s">
        <v>96</v>
      </c>
      <c r="F304" s="99" t="s">
        <v>410</v>
      </c>
      <c r="G304" s="100">
        <v>1885.7070000000001</v>
      </c>
      <c r="H304" s="101">
        <v>4190.46</v>
      </c>
    </row>
    <row r="305" spans="1:8">
      <c r="A305" s="102">
        <v>38777</v>
      </c>
      <c r="B305" s="102" t="str">
        <f>TEXT($A305,"mmm")</f>
        <v>Mar</v>
      </c>
      <c r="C305" s="103" t="s">
        <v>107</v>
      </c>
      <c r="D305" s="103" t="s">
        <v>95</v>
      </c>
      <c r="E305" s="103" t="s">
        <v>144</v>
      </c>
      <c r="F305" s="103" t="s">
        <v>411</v>
      </c>
      <c r="G305" s="104">
        <v>1843.8420000000001</v>
      </c>
      <c r="H305" s="105">
        <v>3352.44</v>
      </c>
    </row>
    <row r="306" spans="1:8">
      <c r="A306" s="97">
        <v>38777</v>
      </c>
      <c r="B306" s="97" t="str">
        <f>TEXT($A306,"mmm")</f>
        <v>Mar</v>
      </c>
      <c r="C306" s="99" t="s">
        <v>86</v>
      </c>
      <c r="D306" s="99" t="s">
        <v>87</v>
      </c>
      <c r="E306" s="99" t="s">
        <v>83</v>
      </c>
      <c r="F306" s="99" t="s">
        <v>412</v>
      </c>
      <c r="G306" s="100">
        <v>1277.9685999999999</v>
      </c>
      <c r="H306" s="101">
        <v>2972.02</v>
      </c>
    </row>
    <row r="307" spans="1:8">
      <c r="A307" s="102">
        <v>38777</v>
      </c>
      <c r="B307" s="102" t="str">
        <f>TEXT($A307,"mmm")</f>
        <v>Mar</v>
      </c>
      <c r="C307" s="103" t="s">
        <v>116</v>
      </c>
      <c r="D307" s="103" t="s">
        <v>98</v>
      </c>
      <c r="E307" s="103" t="s">
        <v>83</v>
      </c>
      <c r="F307" s="103" t="s">
        <v>413</v>
      </c>
      <c r="G307" s="104">
        <v>1049.8713</v>
      </c>
      <c r="H307" s="105">
        <v>2837.49</v>
      </c>
    </row>
    <row r="308" spans="1:8">
      <c r="A308" s="97">
        <v>38776</v>
      </c>
      <c r="B308" s="97" t="str">
        <f>TEXT($A308,"mmm")</f>
        <v>Feb</v>
      </c>
      <c r="C308" s="99" t="s">
        <v>116</v>
      </c>
      <c r="D308" s="99" t="s">
        <v>127</v>
      </c>
      <c r="E308" s="99" t="s">
        <v>158</v>
      </c>
      <c r="F308" s="99" t="s">
        <v>414</v>
      </c>
      <c r="G308" s="100">
        <v>8702.3376000000007</v>
      </c>
      <c r="H308" s="101">
        <v>9889.02</v>
      </c>
    </row>
    <row r="309" spans="1:8">
      <c r="A309" s="102">
        <v>38776</v>
      </c>
      <c r="B309" s="102" t="str">
        <f>TEXT($A309,"mmm")</f>
        <v>Feb</v>
      </c>
      <c r="C309" s="103" t="s">
        <v>107</v>
      </c>
      <c r="D309" s="103" t="s">
        <v>114</v>
      </c>
      <c r="E309" s="103" t="s">
        <v>81</v>
      </c>
      <c r="F309" s="103" t="s">
        <v>415</v>
      </c>
      <c r="G309" s="104">
        <v>213.42189999999999</v>
      </c>
      <c r="H309" s="105">
        <v>496.33</v>
      </c>
    </row>
    <row r="310" spans="1:8">
      <c r="A310" s="97">
        <v>38776</v>
      </c>
      <c r="B310" s="97" t="str">
        <f>TEXT($A310,"mmm")</f>
        <v>Feb</v>
      </c>
      <c r="C310" s="99" t="s">
        <v>107</v>
      </c>
      <c r="D310" s="99" t="s">
        <v>95</v>
      </c>
      <c r="E310" s="99" t="s">
        <v>122</v>
      </c>
      <c r="F310" s="99" t="s">
        <v>416</v>
      </c>
      <c r="G310" s="100">
        <v>125.89989999999999</v>
      </c>
      <c r="H310" s="101">
        <v>340.27</v>
      </c>
    </row>
    <row r="311" spans="1:8">
      <c r="A311" s="102">
        <v>38776</v>
      </c>
      <c r="B311" s="102" t="str">
        <f>TEXT($A311,"mmm")</f>
        <v>Feb</v>
      </c>
      <c r="C311" s="103" t="s">
        <v>79</v>
      </c>
      <c r="D311" s="103" t="s">
        <v>80</v>
      </c>
      <c r="E311" s="103" t="s">
        <v>144</v>
      </c>
      <c r="F311" s="103" t="s">
        <v>417</v>
      </c>
      <c r="G311" s="104">
        <v>206.6925</v>
      </c>
      <c r="H311" s="105">
        <v>275.58999999999997</v>
      </c>
    </row>
    <row r="312" spans="1:8">
      <c r="A312" s="97">
        <v>38774</v>
      </c>
      <c r="B312" s="97" t="str">
        <f>TEXT($A312,"mmm")</f>
        <v>Feb</v>
      </c>
      <c r="C312" s="99" t="s">
        <v>107</v>
      </c>
      <c r="D312" s="99" t="s">
        <v>92</v>
      </c>
      <c r="E312" s="99" t="s">
        <v>108</v>
      </c>
      <c r="F312" s="99" t="s">
        <v>418</v>
      </c>
      <c r="G312" s="100">
        <v>2746.3432000000003</v>
      </c>
      <c r="H312" s="101">
        <v>4038.74</v>
      </c>
    </row>
    <row r="313" spans="1:8">
      <c r="A313" s="102">
        <v>38774</v>
      </c>
      <c r="B313" s="102" t="str">
        <f>TEXT($A313,"mmm")</f>
        <v>Feb</v>
      </c>
      <c r="C313" s="103" t="s">
        <v>86</v>
      </c>
      <c r="D313" s="103" t="s">
        <v>92</v>
      </c>
      <c r="E313" s="103" t="s">
        <v>94</v>
      </c>
      <c r="F313" s="103" t="s">
        <v>419</v>
      </c>
      <c r="G313" s="104">
        <v>15.061999999999999</v>
      </c>
      <c r="H313" s="105">
        <v>22.15</v>
      </c>
    </row>
    <row r="314" spans="1:8">
      <c r="A314" s="97">
        <v>38773</v>
      </c>
      <c r="B314" s="97" t="str">
        <f>TEXT($A314,"mmm")</f>
        <v>Feb</v>
      </c>
      <c r="C314" s="99" t="s">
        <v>79</v>
      </c>
      <c r="D314" s="99" t="s">
        <v>95</v>
      </c>
      <c r="E314" s="99" t="s">
        <v>81</v>
      </c>
      <c r="F314" s="99" t="s">
        <v>420</v>
      </c>
      <c r="G314" s="100">
        <v>4071.8318999999997</v>
      </c>
      <c r="H314" s="101">
        <v>6901.41</v>
      </c>
    </row>
    <row r="315" spans="1:8">
      <c r="A315" s="102">
        <v>38773</v>
      </c>
      <c r="B315" s="102" t="str">
        <f>TEXT($A315,"mmm")</f>
        <v>Feb</v>
      </c>
      <c r="C315" s="103" t="s">
        <v>104</v>
      </c>
      <c r="D315" s="103" t="s">
        <v>87</v>
      </c>
      <c r="E315" s="103" t="s">
        <v>122</v>
      </c>
      <c r="F315" s="103" t="s">
        <v>421</v>
      </c>
      <c r="G315" s="104">
        <v>2306.7687000000001</v>
      </c>
      <c r="H315" s="105">
        <v>6234.51</v>
      </c>
    </row>
    <row r="316" spans="1:8">
      <c r="A316" s="97">
        <v>38773</v>
      </c>
      <c r="B316" s="97" t="str">
        <f>TEXT($A316,"mmm")</f>
        <v>Feb</v>
      </c>
      <c r="C316" s="99" t="s">
        <v>79</v>
      </c>
      <c r="D316" s="99" t="s">
        <v>95</v>
      </c>
      <c r="E316" s="99" t="s">
        <v>108</v>
      </c>
      <c r="F316" s="99" t="s">
        <v>422</v>
      </c>
      <c r="G316" s="100">
        <v>1315.10555</v>
      </c>
      <c r="H316" s="101">
        <v>1406.53</v>
      </c>
    </row>
    <row r="317" spans="1:8">
      <c r="A317" s="102">
        <v>38772</v>
      </c>
      <c r="B317" s="102" t="str">
        <f>TEXT($A317,"mmm")</f>
        <v>Feb</v>
      </c>
      <c r="C317" s="103" t="s">
        <v>86</v>
      </c>
      <c r="D317" s="103" t="s">
        <v>87</v>
      </c>
      <c r="E317" s="103" t="s">
        <v>96</v>
      </c>
      <c r="F317" s="103" t="s">
        <v>423</v>
      </c>
      <c r="G317" s="104">
        <v>5772.3440500000006</v>
      </c>
      <c r="H317" s="105">
        <v>6173.63</v>
      </c>
    </row>
    <row r="318" spans="1:8">
      <c r="A318" s="97">
        <v>38771</v>
      </c>
      <c r="B318" s="97" t="str">
        <f>TEXT($A318,"mmm")</f>
        <v>Feb</v>
      </c>
      <c r="C318" s="99" t="s">
        <v>86</v>
      </c>
      <c r="D318" s="99" t="s">
        <v>98</v>
      </c>
      <c r="E318" s="99" t="s">
        <v>99</v>
      </c>
      <c r="F318" s="99" t="s">
        <v>424</v>
      </c>
      <c r="G318" s="100">
        <v>3682.6287999999995</v>
      </c>
      <c r="H318" s="101">
        <v>6349.36</v>
      </c>
    </row>
    <row r="319" spans="1:8">
      <c r="A319" s="102">
        <v>38771</v>
      </c>
      <c r="B319" s="102" t="str">
        <f>TEXT($A319,"mmm")</f>
        <v>Feb</v>
      </c>
      <c r="C319" s="103" t="s">
        <v>79</v>
      </c>
      <c r="D319" s="103" t="s">
        <v>101</v>
      </c>
      <c r="E319" s="103" t="s">
        <v>83</v>
      </c>
      <c r="F319" s="103" t="s">
        <v>425</v>
      </c>
      <c r="G319" s="104">
        <v>2010.0104999999999</v>
      </c>
      <c r="H319" s="105">
        <v>4466.6899999999996</v>
      </c>
    </row>
    <row r="320" spans="1:8">
      <c r="A320" s="97">
        <v>38771</v>
      </c>
      <c r="B320" s="97" t="str">
        <f>TEXT($A320,"mmm")</f>
        <v>Feb</v>
      </c>
      <c r="C320" s="99" t="s">
        <v>104</v>
      </c>
      <c r="D320" s="99" t="s">
        <v>80</v>
      </c>
      <c r="E320" s="99" t="s">
        <v>122</v>
      </c>
      <c r="F320" s="99" t="s">
        <v>426</v>
      </c>
      <c r="G320" s="100">
        <v>1776.6</v>
      </c>
      <c r="H320" s="101">
        <v>2368.8000000000002</v>
      </c>
    </row>
    <row r="321" spans="1:8">
      <c r="A321" s="102">
        <v>38770</v>
      </c>
      <c r="B321" s="102" t="str">
        <f>TEXT($A321,"mmm")</f>
        <v>Feb</v>
      </c>
      <c r="C321" s="103" t="s">
        <v>79</v>
      </c>
      <c r="D321" s="103" t="s">
        <v>92</v>
      </c>
      <c r="E321" s="103" t="s">
        <v>83</v>
      </c>
      <c r="F321" s="103" t="s">
        <v>427</v>
      </c>
      <c r="G321" s="104">
        <v>793.90680000000009</v>
      </c>
      <c r="H321" s="105">
        <v>1167.51</v>
      </c>
    </row>
    <row r="322" spans="1:8">
      <c r="A322" s="97">
        <v>38770</v>
      </c>
      <c r="B322" s="97" t="str">
        <f>TEXT($A322,"mmm")</f>
        <v>Feb</v>
      </c>
      <c r="C322" s="99" t="s">
        <v>104</v>
      </c>
      <c r="D322" s="99" t="s">
        <v>101</v>
      </c>
      <c r="E322" s="99" t="s">
        <v>83</v>
      </c>
      <c r="F322" s="99" t="s">
        <v>428</v>
      </c>
      <c r="G322" s="100">
        <v>283.11800000000005</v>
      </c>
      <c r="H322" s="101">
        <v>302.8</v>
      </c>
    </row>
    <row r="323" spans="1:8">
      <c r="A323" s="102">
        <v>38769</v>
      </c>
      <c r="B323" s="102" t="str">
        <f>TEXT($A323,"mmm")</f>
        <v>Feb</v>
      </c>
      <c r="C323" s="103" t="s">
        <v>104</v>
      </c>
      <c r="D323" s="103" t="s">
        <v>92</v>
      </c>
      <c r="E323" s="103" t="s">
        <v>81</v>
      </c>
      <c r="F323" s="103" t="s">
        <v>429</v>
      </c>
      <c r="G323" s="104">
        <v>1860.2527</v>
      </c>
      <c r="H323" s="105">
        <v>5027.71</v>
      </c>
    </row>
    <row r="324" spans="1:8">
      <c r="A324" s="97">
        <v>38768</v>
      </c>
      <c r="B324" s="97" t="str">
        <f>TEXT($A324,"mmm")</f>
        <v>Feb</v>
      </c>
      <c r="C324" s="99" t="s">
        <v>104</v>
      </c>
      <c r="D324" s="99" t="s">
        <v>80</v>
      </c>
      <c r="E324" s="99" t="s">
        <v>120</v>
      </c>
      <c r="F324" s="99" t="s">
        <v>430</v>
      </c>
      <c r="G324" s="100">
        <v>5014.6275000000005</v>
      </c>
      <c r="H324" s="101">
        <v>6686.17</v>
      </c>
    </row>
    <row r="325" spans="1:8">
      <c r="A325" s="102">
        <v>38768</v>
      </c>
      <c r="B325" s="102" t="str">
        <f>TEXT($A325,"mmm")</f>
        <v>Feb</v>
      </c>
      <c r="C325" s="103" t="s">
        <v>107</v>
      </c>
      <c r="D325" s="103" t="s">
        <v>98</v>
      </c>
      <c r="E325" s="103" t="s">
        <v>89</v>
      </c>
      <c r="F325" s="103" t="s">
        <v>431</v>
      </c>
      <c r="G325" s="104">
        <v>2423.79</v>
      </c>
      <c r="H325" s="105">
        <v>5386.2</v>
      </c>
    </row>
    <row r="326" spans="1:8">
      <c r="A326" s="97">
        <v>38768</v>
      </c>
      <c r="B326" s="97" t="str">
        <f>TEXT($A326,"mmm")</f>
        <v>Feb</v>
      </c>
      <c r="C326" s="99" t="s">
        <v>86</v>
      </c>
      <c r="D326" s="99" t="s">
        <v>80</v>
      </c>
      <c r="E326" s="99" t="s">
        <v>96</v>
      </c>
      <c r="F326" s="99" t="s">
        <v>432</v>
      </c>
      <c r="G326" s="100">
        <v>2350.1340000000005</v>
      </c>
      <c r="H326" s="101">
        <v>5222.5200000000004</v>
      </c>
    </row>
    <row r="327" spans="1:8">
      <c r="A327" s="102">
        <v>38768</v>
      </c>
      <c r="B327" s="102" t="str">
        <f>TEXT($A327,"mmm")</f>
        <v>Feb</v>
      </c>
      <c r="C327" s="103" t="s">
        <v>104</v>
      </c>
      <c r="D327" s="103" t="s">
        <v>87</v>
      </c>
      <c r="E327" s="103" t="s">
        <v>144</v>
      </c>
      <c r="F327" s="103" t="s">
        <v>433</v>
      </c>
      <c r="G327" s="104">
        <v>3507.3016000000002</v>
      </c>
      <c r="H327" s="105">
        <v>3985.57</v>
      </c>
    </row>
    <row r="328" spans="1:8">
      <c r="A328" s="97">
        <v>38768</v>
      </c>
      <c r="B328" s="97" t="str">
        <f>TEXT($A328,"mmm")</f>
        <v>Feb</v>
      </c>
      <c r="C328" s="99" t="s">
        <v>104</v>
      </c>
      <c r="D328" s="99" t="s">
        <v>92</v>
      </c>
      <c r="E328" s="99" t="s">
        <v>120</v>
      </c>
      <c r="F328" s="99" t="s">
        <v>434</v>
      </c>
      <c r="G328" s="100">
        <v>1279.0194999999999</v>
      </c>
      <c r="H328" s="101">
        <v>2325.4899999999998</v>
      </c>
    </row>
    <row r="329" spans="1:8">
      <c r="A329" s="102">
        <v>38768</v>
      </c>
      <c r="B329" s="102" t="str">
        <f>TEXT($A329,"mmm")</f>
        <v>Feb</v>
      </c>
      <c r="C329" s="103" t="s">
        <v>79</v>
      </c>
      <c r="D329" s="103" t="s">
        <v>98</v>
      </c>
      <c r="E329" s="103" t="s">
        <v>129</v>
      </c>
      <c r="F329" s="103" t="s">
        <v>435</v>
      </c>
      <c r="G329" s="104">
        <v>1003.5073999999998</v>
      </c>
      <c r="H329" s="105">
        <v>1700.86</v>
      </c>
    </row>
    <row r="330" spans="1:8">
      <c r="A330" s="97">
        <v>38768</v>
      </c>
      <c r="B330" s="97" t="str">
        <f>TEXT($A330,"mmm")</f>
        <v>Feb</v>
      </c>
      <c r="C330" s="99" t="s">
        <v>116</v>
      </c>
      <c r="D330" s="99" t="s">
        <v>87</v>
      </c>
      <c r="E330" s="99" t="s">
        <v>108</v>
      </c>
      <c r="F330" s="99" t="s">
        <v>436</v>
      </c>
      <c r="G330" s="100">
        <v>1201.3275000000001</v>
      </c>
      <c r="H330" s="101">
        <v>1601.77</v>
      </c>
    </row>
    <row r="331" spans="1:8">
      <c r="A331" s="102">
        <v>38767</v>
      </c>
      <c r="B331" s="102" t="str">
        <f>TEXT($A331,"mmm")</f>
        <v>Feb</v>
      </c>
      <c r="C331" s="103" t="s">
        <v>107</v>
      </c>
      <c r="D331" s="103" t="s">
        <v>95</v>
      </c>
      <c r="E331" s="103" t="s">
        <v>108</v>
      </c>
      <c r="F331" s="103" t="s">
        <v>437</v>
      </c>
      <c r="G331" s="104">
        <v>7657.5664000000006</v>
      </c>
      <c r="H331" s="105">
        <v>8701.7800000000007</v>
      </c>
    </row>
    <row r="332" spans="1:8">
      <c r="A332" s="97">
        <v>38767</v>
      </c>
      <c r="B332" s="97" t="str">
        <f>TEXT($A332,"mmm")</f>
        <v>Feb</v>
      </c>
      <c r="C332" s="99" t="s">
        <v>104</v>
      </c>
      <c r="D332" s="99" t="s">
        <v>80</v>
      </c>
      <c r="E332" s="99" t="s">
        <v>120</v>
      </c>
      <c r="F332" s="99" t="s">
        <v>438</v>
      </c>
      <c r="G332" s="100">
        <v>1530.2003999999999</v>
      </c>
      <c r="H332" s="101">
        <v>2593.56</v>
      </c>
    </row>
    <row r="333" spans="1:8">
      <c r="A333" s="102">
        <v>38767</v>
      </c>
      <c r="B333" s="102" t="str">
        <f>TEXT($A333,"mmm")</f>
        <v>Feb</v>
      </c>
      <c r="C333" s="103" t="s">
        <v>116</v>
      </c>
      <c r="D333" s="103" t="s">
        <v>95</v>
      </c>
      <c r="E333" s="103" t="s">
        <v>122</v>
      </c>
      <c r="F333" s="103" t="s">
        <v>439</v>
      </c>
      <c r="G333" s="104">
        <v>949.51800000000003</v>
      </c>
      <c r="H333" s="105">
        <v>2110.04</v>
      </c>
    </row>
    <row r="334" spans="1:8">
      <c r="A334" s="97">
        <v>38766</v>
      </c>
      <c r="B334" s="97" t="str">
        <f>TEXT($A334,"mmm")</f>
        <v>Feb</v>
      </c>
      <c r="C334" s="99" t="s">
        <v>79</v>
      </c>
      <c r="D334" s="99" t="s">
        <v>101</v>
      </c>
      <c r="E334" s="99" t="s">
        <v>96</v>
      </c>
      <c r="F334" s="99" t="s">
        <v>440</v>
      </c>
      <c r="G334" s="100">
        <v>6112.9084499999999</v>
      </c>
      <c r="H334" s="101">
        <v>6537.87</v>
      </c>
    </row>
    <row r="335" spans="1:8">
      <c r="A335" s="102">
        <v>38766</v>
      </c>
      <c r="B335" s="102" t="str">
        <f>TEXT($A335,"mmm")</f>
        <v>Feb</v>
      </c>
      <c r="C335" s="103" t="s">
        <v>107</v>
      </c>
      <c r="D335" s="103" t="s">
        <v>87</v>
      </c>
      <c r="E335" s="103" t="s">
        <v>83</v>
      </c>
      <c r="F335" s="103" t="s">
        <v>441</v>
      </c>
      <c r="G335" s="104">
        <v>3718.9650000000001</v>
      </c>
      <c r="H335" s="105">
        <v>4958.62</v>
      </c>
    </row>
    <row r="336" spans="1:8">
      <c r="A336" s="97">
        <v>38765</v>
      </c>
      <c r="B336" s="97" t="str">
        <f>TEXT($A336,"mmm")</f>
        <v>Feb</v>
      </c>
      <c r="C336" s="99" t="s">
        <v>104</v>
      </c>
      <c r="D336" s="99" t="s">
        <v>98</v>
      </c>
      <c r="E336" s="99" t="s">
        <v>99</v>
      </c>
      <c r="F336" s="99" t="s">
        <v>442</v>
      </c>
      <c r="G336" s="100">
        <v>2865.1244000000002</v>
      </c>
      <c r="H336" s="101">
        <v>6663.08</v>
      </c>
    </row>
    <row r="337" spans="1:8">
      <c r="A337" s="102">
        <v>38765</v>
      </c>
      <c r="B337" s="102" t="str">
        <f>TEXT($A337,"mmm")</f>
        <v>Feb</v>
      </c>
      <c r="C337" s="103" t="s">
        <v>79</v>
      </c>
      <c r="D337" s="103" t="s">
        <v>87</v>
      </c>
      <c r="E337" s="103" t="s">
        <v>83</v>
      </c>
      <c r="F337" s="103" t="s">
        <v>443</v>
      </c>
      <c r="G337" s="104">
        <v>1350.0629999999999</v>
      </c>
      <c r="H337" s="105">
        <v>3000.14</v>
      </c>
    </row>
    <row r="338" spans="1:8">
      <c r="A338" s="97">
        <v>38764</v>
      </c>
      <c r="B338" s="97" t="str">
        <f>TEXT($A338,"mmm")</f>
        <v>Feb</v>
      </c>
      <c r="C338" s="99" t="s">
        <v>116</v>
      </c>
      <c r="D338" s="99" t="s">
        <v>92</v>
      </c>
      <c r="E338" s="99" t="s">
        <v>122</v>
      </c>
      <c r="F338" s="99" t="s">
        <v>444</v>
      </c>
      <c r="G338" s="100">
        <v>83.82</v>
      </c>
      <c r="H338" s="101">
        <v>95.25</v>
      </c>
    </row>
    <row r="339" spans="1:8">
      <c r="A339" s="102">
        <v>38763</v>
      </c>
      <c r="B339" s="102" t="str">
        <f>TEXT($A339,"mmm")</f>
        <v>Feb</v>
      </c>
      <c r="C339" s="103" t="s">
        <v>79</v>
      </c>
      <c r="D339" s="103" t="s">
        <v>87</v>
      </c>
      <c r="E339" s="103" t="s">
        <v>93</v>
      </c>
      <c r="F339" s="103" t="s">
        <v>445</v>
      </c>
      <c r="G339" s="104">
        <v>58.759700000000002</v>
      </c>
      <c r="H339" s="105">
        <v>158.81</v>
      </c>
    </row>
    <row r="340" spans="1:8">
      <c r="A340" s="97">
        <v>38762</v>
      </c>
      <c r="B340" s="97" t="str">
        <f>TEXT($A340,"mmm")</f>
        <v>Feb</v>
      </c>
      <c r="C340" s="99" t="s">
        <v>79</v>
      </c>
      <c r="D340" s="99" t="s">
        <v>80</v>
      </c>
      <c r="E340" s="99" t="s">
        <v>144</v>
      </c>
      <c r="F340" s="99" t="s">
        <v>446</v>
      </c>
      <c r="G340" s="100">
        <v>7539.5969000000005</v>
      </c>
      <c r="H340" s="101">
        <v>8063.74</v>
      </c>
    </row>
    <row r="341" spans="1:8">
      <c r="A341" s="102">
        <v>38762</v>
      </c>
      <c r="B341" s="102" t="str">
        <f>TEXT($A341,"mmm")</f>
        <v>Feb</v>
      </c>
      <c r="C341" s="103" t="s">
        <v>79</v>
      </c>
      <c r="D341" s="103" t="s">
        <v>80</v>
      </c>
      <c r="E341" s="103" t="s">
        <v>99</v>
      </c>
      <c r="F341" s="103" t="s">
        <v>447</v>
      </c>
      <c r="G341" s="104">
        <v>4800.8884000000007</v>
      </c>
      <c r="H341" s="105">
        <v>7060.13</v>
      </c>
    </row>
    <row r="342" spans="1:8">
      <c r="A342" s="97">
        <v>38761</v>
      </c>
      <c r="B342" s="97" t="str">
        <f>TEXT($A342,"mmm")</f>
        <v>Feb</v>
      </c>
      <c r="C342" s="99" t="s">
        <v>79</v>
      </c>
      <c r="D342" s="99" t="s">
        <v>114</v>
      </c>
      <c r="E342" s="99" t="s">
        <v>129</v>
      </c>
      <c r="F342" s="99" t="s">
        <v>448</v>
      </c>
      <c r="G342" s="100">
        <v>4096.3993</v>
      </c>
      <c r="H342" s="101">
        <v>9526.51</v>
      </c>
    </row>
    <row r="343" spans="1:8">
      <c r="A343" s="102">
        <v>38761</v>
      </c>
      <c r="B343" s="102" t="str">
        <f>TEXT($A343,"mmm")</f>
        <v>Feb</v>
      </c>
      <c r="C343" s="103" t="s">
        <v>86</v>
      </c>
      <c r="D343" s="103" t="s">
        <v>92</v>
      </c>
      <c r="E343" s="103" t="s">
        <v>96</v>
      </c>
      <c r="F343" s="103" t="s">
        <v>449</v>
      </c>
      <c r="G343" s="104">
        <v>6647.9774999999991</v>
      </c>
      <c r="H343" s="105">
        <v>8863.9699999999993</v>
      </c>
    </row>
    <row r="344" spans="1:8">
      <c r="A344" s="97">
        <v>38761</v>
      </c>
      <c r="B344" s="97" t="str">
        <f>TEXT($A344,"mmm")</f>
        <v>Feb</v>
      </c>
      <c r="C344" s="99" t="s">
        <v>79</v>
      </c>
      <c r="D344" s="99" t="s">
        <v>87</v>
      </c>
      <c r="E344" s="99" t="s">
        <v>120</v>
      </c>
      <c r="F344" s="99" t="s">
        <v>450</v>
      </c>
      <c r="G344" s="100">
        <v>5856.6904000000013</v>
      </c>
      <c r="H344" s="101">
        <v>8612.7800000000007</v>
      </c>
    </row>
    <row r="345" spans="1:8">
      <c r="A345" s="102">
        <v>38760</v>
      </c>
      <c r="B345" s="102" t="str">
        <f>TEXT($A345,"mmm")</f>
        <v>Feb</v>
      </c>
      <c r="C345" s="103" t="s">
        <v>79</v>
      </c>
      <c r="D345" s="103" t="s">
        <v>98</v>
      </c>
      <c r="E345" s="103" t="s">
        <v>158</v>
      </c>
      <c r="F345" s="103" t="s">
        <v>451</v>
      </c>
      <c r="G345" s="104">
        <v>5925.915</v>
      </c>
      <c r="H345" s="105">
        <v>7901.22</v>
      </c>
    </row>
    <row r="346" spans="1:8">
      <c r="A346" s="97">
        <v>38760</v>
      </c>
      <c r="B346" s="97" t="str">
        <f>TEXT($A346,"mmm")</f>
        <v>Feb</v>
      </c>
      <c r="C346" s="99" t="s">
        <v>79</v>
      </c>
      <c r="D346" s="99" t="s">
        <v>114</v>
      </c>
      <c r="E346" s="99" t="s">
        <v>129</v>
      </c>
      <c r="F346" s="99" t="s">
        <v>452</v>
      </c>
      <c r="G346" s="100">
        <v>236.19035000000002</v>
      </c>
      <c r="H346" s="101">
        <v>252.61</v>
      </c>
    </row>
    <row r="347" spans="1:8">
      <c r="A347" s="102">
        <v>38759</v>
      </c>
      <c r="B347" s="102" t="str">
        <f>TEXT($A347,"mmm")</f>
        <v>Feb</v>
      </c>
      <c r="C347" s="103" t="s">
        <v>107</v>
      </c>
      <c r="D347" s="103" t="s">
        <v>101</v>
      </c>
      <c r="E347" s="103" t="s">
        <v>99</v>
      </c>
      <c r="F347" s="103" t="s">
        <v>453</v>
      </c>
      <c r="G347" s="104">
        <v>4972.22</v>
      </c>
      <c r="H347" s="105">
        <v>9040.4</v>
      </c>
    </row>
    <row r="348" spans="1:8">
      <c r="A348" s="97">
        <v>38759</v>
      </c>
      <c r="B348" s="97" t="str">
        <f>TEXT($A348,"mmm")</f>
        <v>Feb</v>
      </c>
      <c r="C348" s="99" t="s">
        <v>107</v>
      </c>
      <c r="D348" s="99" t="s">
        <v>114</v>
      </c>
      <c r="E348" s="99" t="s">
        <v>122</v>
      </c>
      <c r="F348" s="99" t="s">
        <v>454</v>
      </c>
      <c r="G348" s="100">
        <v>2623.2334000000001</v>
      </c>
      <c r="H348" s="101">
        <v>7089.82</v>
      </c>
    </row>
    <row r="349" spans="1:8">
      <c r="A349" s="102">
        <v>38759</v>
      </c>
      <c r="B349" s="102" t="str">
        <f>TEXT($A349,"mmm")</f>
        <v>Feb</v>
      </c>
      <c r="C349" s="103" t="s">
        <v>86</v>
      </c>
      <c r="D349" s="103" t="s">
        <v>127</v>
      </c>
      <c r="E349" s="103" t="s">
        <v>83</v>
      </c>
      <c r="F349" s="103" t="s">
        <v>455</v>
      </c>
      <c r="G349" s="104">
        <v>2570.7332000000001</v>
      </c>
      <c r="H349" s="105">
        <v>3780.49</v>
      </c>
    </row>
    <row r="350" spans="1:8">
      <c r="A350" s="97">
        <v>38758</v>
      </c>
      <c r="B350" s="97" t="str">
        <f>TEXT($A350,"mmm")</f>
        <v>Feb</v>
      </c>
      <c r="C350" s="99" t="s">
        <v>116</v>
      </c>
      <c r="D350" s="99" t="s">
        <v>87</v>
      </c>
      <c r="E350" s="99" t="s">
        <v>158</v>
      </c>
      <c r="F350" s="99" t="s">
        <v>456</v>
      </c>
      <c r="G350" s="100">
        <v>3235.2345</v>
      </c>
      <c r="H350" s="101">
        <v>7189.41</v>
      </c>
    </row>
    <row r="351" spans="1:8">
      <c r="A351" s="102">
        <v>38758</v>
      </c>
      <c r="B351" s="102" t="str">
        <f>TEXT($A351,"mmm")</f>
        <v>Feb</v>
      </c>
      <c r="C351" s="103" t="s">
        <v>107</v>
      </c>
      <c r="D351" s="103" t="s">
        <v>98</v>
      </c>
      <c r="E351" s="103" t="s">
        <v>120</v>
      </c>
      <c r="F351" s="103" t="s">
        <v>457</v>
      </c>
      <c r="G351" s="104">
        <v>2542.4395</v>
      </c>
      <c r="H351" s="105">
        <v>5912.65</v>
      </c>
    </row>
    <row r="352" spans="1:8">
      <c r="A352" s="97">
        <v>38758</v>
      </c>
      <c r="B352" s="97" t="str">
        <f>TEXT($A352,"mmm")</f>
        <v>Feb</v>
      </c>
      <c r="C352" s="99" t="s">
        <v>116</v>
      </c>
      <c r="D352" s="99" t="s">
        <v>127</v>
      </c>
      <c r="E352" s="99" t="s">
        <v>94</v>
      </c>
      <c r="F352" s="99" t="s">
        <v>458</v>
      </c>
      <c r="G352" s="100">
        <v>1088.6912</v>
      </c>
      <c r="H352" s="101">
        <v>2531.84</v>
      </c>
    </row>
    <row r="353" spans="1:8">
      <c r="A353" s="102">
        <v>38758</v>
      </c>
      <c r="B353" s="102" t="str">
        <f>TEXT($A353,"mmm")</f>
        <v>Feb</v>
      </c>
      <c r="C353" s="103" t="s">
        <v>86</v>
      </c>
      <c r="D353" s="103" t="s">
        <v>101</v>
      </c>
      <c r="E353" s="103" t="s">
        <v>89</v>
      </c>
      <c r="F353" s="103" t="s">
        <v>459</v>
      </c>
      <c r="G353" s="104">
        <v>1022.85</v>
      </c>
      <c r="H353" s="105">
        <v>2273</v>
      </c>
    </row>
    <row r="354" spans="1:8">
      <c r="A354" s="97">
        <v>38758</v>
      </c>
      <c r="B354" s="97" t="str">
        <f>TEXT($A354,"mmm")</f>
        <v>Feb</v>
      </c>
      <c r="C354" s="99" t="s">
        <v>79</v>
      </c>
      <c r="D354" s="99" t="s">
        <v>95</v>
      </c>
      <c r="E354" s="99" t="s">
        <v>89</v>
      </c>
      <c r="F354" s="99" t="s">
        <v>460</v>
      </c>
      <c r="G354" s="100">
        <v>521.67279999999994</v>
      </c>
      <c r="H354" s="101">
        <v>592.80999999999995</v>
      </c>
    </row>
    <row r="355" spans="1:8">
      <c r="A355" s="102">
        <v>38758</v>
      </c>
      <c r="B355" s="102" t="str">
        <f>TEXT($A355,"mmm")</f>
        <v>Feb</v>
      </c>
      <c r="C355" s="103" t="s">
        <v>104</v>
      </c>
      <c r="D355" s="103" t="s">
        <v>92</v>
      </c>
      <c r="E355" s="103" t="s">
        <v>81</v>
      </c>
      <c r="F355" s="103" t="s">
        <v>182</v>
      </c>
      <c r="G355" s="104">
        <v>178.7475</v>
      </c>
      <c r="H355" s="105">
        <v>238.33</v>
      </c>
    </row>
    <row r="356" spans="1:8">
      <c r="A356" s="97">
        <v>38757</v>
      </c>
      <c r="B356" s="97" t="str">
        <f>TEXT($A356,"mmm")</f>
        <v>Feb</v>
      </c>
      <c r="C356" s="99" t="s">
        <v>86</v>
      </c>
      <c r="D356" s="99" t="s">
        <v>101</v>
      </c>
      <c r="E356" s="99" t="s">
        <v>96</v>
      </c>
      <c r="F356" s="99" t="s">
        <v>461</v>
      </c>
      <c r="G356" s="100">
        <v>2711.1329999999998</v>
      </c>
      <c r="H356" s="101">
        <v>6024.74</v>
      </c>
    </row>
    <row r="357" spans="1:8">
      <c r="A357" s="102">
        <v>38757</v>
      </c>
      <c r="B357" s="102" t="str">
        <f>TEXT($A357,"mmm")</f>
        <v>Feb</v>
      </c>
      <c r="C357" s="103" t="s">
        <v>104</v>
      </c>
      <c r="D357" s="103" t="s">
        <v>114</v>
      </c>
      <c r="E357" s="103" t="s">
        <v>158</v>
      </c>
      <c r="F357" s="103" t="s">
        <v>462</v>
      </c>
      <c r="G357" s="104">
        <v>1140.2730000000001</v>
      </c>
      <c r="H357" s="105">
        <v>2533.94</v>
      </c>
    </row>
    <row r="358" spans="1:8">
      <c r="A358" s="97">
        <v>38756</v>
      </c>
      <c r="B358" s="97" t="str">
        <f>TEXT($A358,"mmm")</f>
        <v>Feb</v>
      </c>
      <c r="C358" s="99" t="s">
        <v>79</v>
      </c>
      <c r="D358" s="99" t="s">
        <v>92</v>
      </c>
      <c r="E358" s="99" t="s">
        <v>105</v>
      </c>
      <c r="F358" s="99" t="s">
        <v>463</v>
      </c>
      <c r="G358" s="100">
        <v>2764.6918000000001</v>
      </c>
      <c r="H358" s="101">
        <v>7472.14</v>
      </c>
    </row>
    <row r="359" spans="1:8">
      <c r="A359" s="102">
        <v>38755</v>
      </c>
      <c r="B359" s="102" t="str">
        <f>TEXT($A359,"mmm")</f>
        <v>Feb</v>
      </c>
      <c r="C359" s="103" t="s">
        <v>79</v>
      </c>
      <c r="D359" s="103" t="s">
        <v>101</v>
      </c>
      <c r="E359" s="103" t="s">
        <v>129</v>
      </c>
      <c r="F359" s="103" t="s">
        <v>464</v>
      </c>
      <c r="G359" s="104">
        <v>4087.6949999999997</v>
      </c>
      <c r="H359" s="105">
        <v>7047.75</v>
      </c>
    </row>
    <row r="360" spans="1:8">
      <c r="A360" s="97">
        <v>38755</v>
      </c>
      <c r="B360" s="97" t="str">
        <f>TEXT($A360,"mmm")</f>
        <v>Feb</v>
      </c>
      <c r="C360" s="99" t="s">
        <v>86</v>
      </c>
      <c r="D360" s="99" t="s">
        <v>87</v>
      </c>
      <c r="E360" s="99" t="s">
        <v>81</v>
      </c>
      <c r="F360" s="99" t="s">
        <v>465</v>
      </c>
      <c r="G360" s="100">
        <v>4002.6749999999997</v>
      </c>
      <c r="H360" s="101">
        <v>5336.9</v>
      </c>
    </row>
    <row r="361" spans="1:8">
      <c r="A361" s="102">
        <v>38755</v>
      </c>
      <c r="B361" s="102" t="str">
        <f>TEXT($A361,"mmm")</f>
        <v>Feb</v>
      </c>
      <c r="C361" s="103" t="s">
        <v>116</v>
      </c>
      <c r="D361" s="103" t="s">
        <v>80</v>
      </c>
      <c r="E361" s="103" t="s">
        <v>94</v>
      </c>
      <c r="F361" s="103" t="s">
        <v>466</v>
      </c>
      <c r="G361" s="104">
        <v>2895.18075</v>
      </c>
      <c r="H361" s="105">
        <v>3096.45</v>
      </c>
    </row>
    <row r="362" spans="1:8">
      <c r="A362" s="97">
        <v>38755</v>
      </c>
      <c r="B362" s="97" t="str">
        <f>TEXT($A362,"mmm")</f>
        <v>Feb</v>
      </c>
      <c r="C362" s="99" t="s">
        <v>116</v>
      </c>
      <c r="D362" s="99" t="s">
        <v>114</v>
      </c>
      <c r="E362" s="99" t="s">
        <v>122</v>
      </c>
      <c r="F362" s="99" t="s">
        <v>467</v>
      </c>
      <c r="G362" s="100">
        <v>297.93509999999998</v>
      </c>
      <c r="H362" s="101">
        <v>805.23</v>
      </c>
    </row>
    <row r="363" spans="1:8">
      <c r="A363" s="102">
        <v>38754</v>
      </c>
      <c r="B363" s="102" t="str">
        <f>TEXT($A363,"mmm")</f>
        <v>Feb</v>
      </c>
      <c r="C363" s="103" t="s">
        <v>116</v>
      </c>
      <c r="D363" s="103" t="s">
        <v>101</v>
      </c>
      <c r="E363" s="103" t="s">
        <v>96</v>
      </c>
      <c r="F363" s="103" t="s">
        <v>468</v>
      </c>
      <c r="G363" s="104">
        <v>4349.0474999999997</v>
      </c>
      <c r="H363" s="105">
        <v>9664.5499999999993</v>
      </c>
    </row>
    <row r="364" spans="1:8">
      <c r="A364" s="97">
        <v>38754</v>
      </c>
      <c r="B364" s="97" t="str">
        <f>TEXT($A364,"mmm")</f>
        <v>Feb</v>
      </c>
      <c r="C364" s="99" t="s">
        <v>79</v>
      </c>
      <c r="D364" s="99" t="s">
        <v>101</v>
      </c>
      <c r="E364" s="99" t="s">
        <v>99</v>
      </c>
      <c r="F364" s="99" t="s">
        <v>469</v>
      </c>
      <c r="G364" s="100">
        <v>3446.4241999999999</v>
      </c>
      <c r="H364" s="101">
        <v>8014.94</v>
      </c>
    </row>
    <row r="365" spans="1:8">
      <c r="A365" s="102">
        <v>38754</v>
      </c>
      <c r="B365" s="102" t="str">
        <f>TEXT($A365,"mmm")</f>
        <v>Feb</v>
      </c>
      <c r="C365" s="103" t="s">
        <v>116</v>
      </c>
      <c r="D365" s="103" t="s">
        <v>127</v>
      </c>
      <c r="E365" s="103" t="s">
        <v>158</v>
      </c>
      <c r="F365" s="103" t="s">
        <v>470</v>
      </c>
      <c r="G365" s="104">
        <v>7334.8599500000009</v>
      </c>
      <c r="H365" s="105">
        <v>7844.77</v>
      </c>
    </row>
    <row r="366" spans="1:8">
      <c r="A366" s="97">
        <v>38754</v>
      </c>
      <c r="B366" s="97" t="str">
        <f>TEXT($A366,"mmm")</f>
        <v>Feb</v>
      </c>
      <c r="C366" s="99" t="s">
        <v>104</v>
      </c>
      <c r="D366" s="99" t="s">
        <v>127</v>
      </c>
      <c r="E366" s="99" t="s">
        <v>129</v>
      </c>
      <c r="F366" s="99" t="s">
        <v>471</v>
      </c>
      <c r="G366" s="100">
        <v>3138.5097999999998</v>
      </c>
      <c r="H366" s="101">
        <v>7298.86</v>
      </c>
    </row>
    <row r="367" spans="1:8">
      <c r="A367" s="102">
        <v>38754</v>
      </c>
      <c r="B367" s="102" t="str">
        <f>TEXT($A367,"mmm")</f>
        <v>Feb</v>
      </c>
      <c r="C367" s="103" t="s">
        <v>79</v>
      </c>
      <c r="D367" s="103" t="s">
        <v>92</v>
      </c>
      <c r="E367" s="103" t="s">
        <v>81</v>
      </c>
      <c r="F367" s="103" t="s">
        <v>472</v>
      </c>
      <c r="G367" s="104">
        <v>1549.9743999999998</v>
      </c>
      <c r="H367" s="105">
        <v>4189.12</v>
      </c>
    </row>
    <row r="368" spans="1:8">
      <c r="A368" s="97">
        <v>38754</v>
      </c>
      <c r="B368" s="97" t="str">
        <f>TEXT($A368,"mmm")</f>
        <v>Feb</v>
      </c>
      <c r="C368" s="99" t="s">
        <v>107</v>
      </c>
      <c r="D368" s="99" t="s">
        <v>127</v>
      </c>
      <c r="E368" s="99" t="s">
        <v>94</v>
      </c>
      <c r="F368" s="99" t="s">
        <v>473</v>
      </c>
      <c r="G368" s="100">
        <v>1297.0133999999998</v>
      </c>
      <c r="H368" s="101">
        <v>2236.23</v>
      </c>
    </row>
    <row r="369" spans="1:8">
      <c r="A369" s="102">
        <v>38753</v>
      </c>
      <c r="B369" s="102" t="str">
        <f>TEXT($A369,"mmm")</f>
        <v>Feb</v>
      </c>
      <c r="C369" s="103" t="s">
        <v>116</v>
      </c>
      <c r="D369" s="103" t="s">
        <v>87</v>
      </c>
      <c r="E369" s="103" t="s">
        <v>108</v>
      </c>
      <c r="F369" s="103" t="s">
        <v>474</v>
      </c>
      <c r="G369" s="104">
        <v>486.17090000000002</v>
      </c>
      <c r="H369" s="105">
        <v>1130.6300000000001</v>
      </c>
    </row>
    <row r="370" spans="1:8">
      <c r="A370" s="97">
        <v>38753</v>
      </c>
      <c r="B370" s="97" t="str">
        <f>TEXT($A370,"mmm")</f>
        <v>Feb</v>
      </c>
      <c r="C370" s="99" t="s">
        <v>86</v>
      </c>
      <c r="D370" s="99" t="s">
        <v>87</v>
      </c>
      <c r="E370" s="99" t="s">
        <v>122</v>
      </c>
      <c r="F370" s="99" t="s">
        <v>475</v>
      </c>
      <c r="G370" s="100">
        <v>375.84969999999998</v>
      </c>
      <c r="H370" s="101">
        <v>1015.81</v>
      </c>
    </row>
    <row r="371" spans="1:8">
      <c r="A371" s="102">
        <v>38752</v>
      </c>
      <c r="B371" s="102" t="str">
        <f>TEXT($A371,"mmm")</f>
        <v>Feb</v>
      </c>
      <c r="C371" s="103" t="s">
        <v>116</v>
      </c>
      <c r="D371" s="103" t="s">
        <v>80</v>
      </c>
      <c r="E371" s="103" t="s">
        <v>105</v>
      </c>
      <c r="F371" s="103" t="s">
        <v>476</v>
      </c>
      <c r="G371" s="104">
        <v>4114.4076999999997</v>
      </c>
      <c r="H371" s="105">
        <v>9568.39</v>
      </c>
    </row>
    <row r="372" spans="1:8">
      <c r="A372" s="97">
        <v>38752</v>
      </c>
      <c r="B372" s="97" t="str">
        <f>TEXT($A372,"mmm")</f>
        <v>Feb</v>
      </c>
      <c r="C372" s="99" t="s">
        <v>79</v>
      </c>
      <c r="D372" s="99" t="s">
        <v>92</v>
      </c>
      <c r="E372" s="99" t="s">
        <v>144</v>
      </c>
      <c r="F372" s="99" t="s">
        <v>477</v>
      </c>
      <c r="G372" s="100">
        <v>3381.4929000000002</v>
      </c>
      <c r="H372" s="101">
        <v>9139.17</v>
      </c>
    </row>
    <row r="373" spans="1:8">
      <c r="A373" s="102">
        <v>38752</v>
      </c>
      <c r="B373" s="102" t="str">
        <f>TEXT($A373,"mmm")</f>
        <v>Feb</v>
      </c>
      <c r="C373" s="103" t="s">
        <v>107</v>
      </c>
      <c r="D373" s="103" t="s">
        <v>87</v>
      </c>
      <c r="E373" s="103" t="s">
        <v>129</v>
      </c>
      <c r="F373" s="103" t="s">
        <v>478</v>
      </c>
      <c r="G373" s="104">
        <v>1142.9829999999999</v>
      </c>
      <c r="H373" s="105">
        <v>2658.1</v>
      </c>
    </row>
    <row r="374" spans="1:8">
      <c r="A374" s="97">
        <v>38752</v>
      </c>
      <c r="B374" s="97" t="str">
        <f>TEXT($A374,"mmm")</f>
        <v>Feb</v>
      </c>
      <c r="C374" s="99" t="s">
        <v>116</v>
      </c>
      <c r="D374" s="99" t="s">
        <v>87</v>
      </c>
      <c r="E374" s="99" t="s">
        <v>93</v>
      </c>
      <c r="F374" s="99" t="s">
        <v>479</v>
      </c>
      <c r="G374" s="100">
        <v>1465.0916</v>
      </c>
      <c r="H374" s="101">
        <v>2526.02</v>
      </c>
    </row>
    <row r="375" spans="1:8">
      <c r="A375" s="102">
        <v>38752</v>
      </c>
      <c r="B375" s="102" t="str">
        <f>TEXT($A375,"mmm")</f>
        <v>Feb</v>
      </c>
      <c r="C375" s="103" t="s">
        <v>104</v>
      </c>
      <c r="D375" s="103" t="s">
        <v>92</v>
      </c>
      <c r="E375" s="103" t="s">
        <v>81</v>
      </c>
      <c r="F375" s="103" t="s">
        <v>480</v>
      </c>
      <c r="G375" s="104">
        <v>217.49035000000003</v>
      </c>
      <c r="H375" s="105">
        <v>232.61</v>
      </c>
    </row>
    <row r="376" spans="1:8">
      <c r="A376" s="97">
        <v>38750</v>
      </c>
      <c r="B376" s="97" t="str">
        <f>TEXT($A376,"mmm")</f>
        <v>Feb</v>
      </c>
      <c r="C376" s="99" t="s">
        <v>79</v>
      </c>
      <c r="D376" s="99" t="s">
        <v>87</v>
      </c>
      <c r="E376" s="99" t="s">
        <v>144</v>
      </c>
      <c r="F376" s="99" t="s">
        <v>481</v>
      </c>
      <c r="G376" s="100">
        <v>3025.7628500000001</v>
      </c>
      <c r="H376" s="101">
        <v>3236.11</v>
      </c>
    </row>
    <row r="377" spans="1:8">
      <c r="A377" s="102">
        <v>38750</v>
      </c>
      <c r="B377" s="102" t="str">
        <f>TEXT($A377,"mmm")</f>
        <v>Feb</v>
      </c>
      <c r="C377" s="103" t="s">
        <v>79</v>
      </c>
      <c r="D377" s="103" t="s">
        <v>95</v>
      </c>
      <c r="E377" s="103" t="s">
        <v>108</v>
      </c>
      <c r="F377" s="103" t="s">
        <v>482</v>
      </c>
      <c r="G377" s="104">
        <v>7.4104000000000001</v>
      </c>
      <c r="H377" s="105">
        <v>12.56</v>
      </c>
    </row>
    <row r="378" spans="1:8">
      <c r="A378" s="97">
        <v>38749</v>
      </c>
      <c r="B378" s="97" t="str">
        <f>TEXT($A378,"mmm")</f>
        <v>Feb</v>
      </c>
      <c r="C378" s="99" t="s">
        <v>86</v>
      </c>
      <c r="D378" s="99" t="s">
        <v>87</v>
      </c>
      <c r="E378" s="99" t="s">
        <v>108</v>
      </c>
      <c r="F378" s="99" t="s">
        <v>483</v>
      </c>
      <c r="G378" s="100">
        <v>3031.5374999999999</v>
      </c>
      <c r="H378" s="101">
        <v>6736.75</v>
      </c>
    </row>
    <row r="379" spans="1:8">
      <c r="A379" s="102">
        <v>38749</v>
      </c>
      <c r="B379" s="102" t="str">
        <f>TEXT($A379,"mmm")</f>
        <v>Feb</v>
      </c>
      <c r="C379" s="103" t="s">
        <v>116</v>
      </c>
      <c r="D379" s="103" t="s">
        <v>92</v>
      </c>
      <c r="E379" s="103" t="s">
        <v>99</v>
      </c>
      <c r="F379" s="103" t="s">
        <v>484</v>
      </c>
      <c r="G379" s="104">
        <v>4422.4548000000004</v>
      </c>
      <c r="H379" s="105">
        <v>6503.61</v>
      </c>
    </row>
    <row r="380" spans="1:8">
      <c r="A380" s="97">
        <v>38749</v>
      </c>
      <c r="B380" s="97" t="str">
        <f>TEXT($A380,"mmm")</f>
        <v>Feb</v>
      </c>
      <c r="C380" s="99" t="s">
        <v>79</v>
      </c>
      <c r="D380" s="99" t="s">
        <v>92</v>
      </c>
      <c r="E380" s="99" t="s">
        <v>122</v>
      </c>
      <c r="F380" s="99" t="s">
        <v>485</v>
      </c>
      <c r="G380" s="100">
        <v>2812.1368000000002</v>
      </c>
      <c r="H380" s="101">
        <v>3195.61</v>
      </c>
    </row>
    <row r="381" spans="1:8">
      <c r="A381" s="102">
        <v>38749</v>
      </c>
      <c r="B381" s="102" t="str">
        <f>TEXT($A381,"mmm")</f>
        <v>Feb</v>
      </c>
      <c r="C381" s="103" t="s">
        <v>79</v>
      </c>
      <c r="D381" s="103" t="s">
        <v>101</v>
      </c>
      <c r="E381" s="103" t="s">
        <v>81</v>
      </c>
      <c r="F381" s="103" t="s">
        <v>486</v>
      </c>
      <c r="G381" s="104">
        <v>141.7664</v>
      </c>
      <c r="H381" s="105">
        <v>208.48</v>
      </c>
    </row>
    <row r="382" spans="1:8">
      <c r="A382" s="97">
        <v>38748</v>
      </c>
      <c r="B382" s="97" t="str">
        <f>TEXT($A382,"mmm")</f>
        <v>Jan</v>
      </c>
      <c r="C382" s="99" t="s">
        <v>79</v>
      </c>
      <c r="D382" s="99" t="s">
        <v>114</v>
      </c>
      <c r="E382" s="99" t="s">
        <v>129</v>
      </c>
      <c r="F382" s="99" t="s">
        <v>487</v>
      </c>
      <c r="G382" s="100">
        <v>3047.44</v>
      </c>
      <c r="H382" s="101">
        <v>5540.8</v>
      </c>
    </row>
    <row r="383" spans="1:8">
      <c r="A383" s="102">
        <v>38748</v>
      </c>
      <c r="B383" s="102" t="str">
        <f>TEXT($A383,"mmm")</f>
        <v>Jan</v>
      </c>
      <c r="C383" s="103" t="s">
        <v>104</v>
      </c>
      <c r="D383" s="103" t="s">
        <v>92</v>
      </c>
      <c r="E383" s="103" t="s">
        <v>81</v>
      </c>
      <c r="F383" s="103" t="s">
        <v>488</v>
      </c>
      <c r="G383" s="104">
        <v>568.52760000000012</v>
      </c>
      <c r="H383" s="105">
        <v>836.07</v>
      </c>
    </row>
    <row r="384" spans="1:8">
      <c r="A384" s="97">
        <v>38747</v>
      </c>
      <c r="B384" s="97" t="str">
        <f>TEXT($A384,"mmm")</f>
        <v>Jan</v>
      </c>
      <c r="C384" s="99" t="s">
        <v>86</v>
      </c>
      <c r="D384" s="99" t="s">
        <v>98</v>
      </c>
      <c r="E384" s="99" t="s">
        <v>96</v>
      </c>
      <c r="F384" s="99" t="s">
        <v>489</v>
      </c>
      <c r="G384" s="100">
        <v>1418.9641999999997</v>
      </c>
      <c r="H384" s="101">
        <v>2446.4899999999998</v>
      </c>
    </row>
    <row r="385" spans="1:8">
      <c r="A385" s="102">
        <v>38746</v>
      </c>
      <c r="B385" s="102" t="str">
        <f>TEXT($A385,"mmm")</f>
        <v>Jan</v>
      </c>
      <c r="C385" s="103" t="s">
        <v>79</v>
      </c>
      <c r="D385" s="103" t="s">
        <v>95</v>
      </c>
      <c r="E385" s="103" t="s">
        <v>108</v>
      </c>
      <c r="F385" s="103" t="s">
        <v>490</v>
      </c>
      <c r="G385" s="104">
        <v>2809.7498000000001</v>
      </c>
      <c r="H385" s="105">
        <v>3005.08</v>
      </c>
    </row>
    <row r="386" spans="1:8">
      <c r="A386" s="97">
        <v>38746</v>
      </c>
      <c r="B386" s="97" t="str">
        <f>TEXT($A386,"mmm")</f>
        <v>Jan</v>
      </c>
      <c r="C386" s="99" t="s">
        <v>107</v>
      </c>
      <c r="D386" s="99" t="s">
        <v>127</v>
      </c>
      <c r="E386" s="99" t="s">
        <v>129</v>
      </c>
      <c r="F386" s="99" t="s">
        <v>491</v>
      </c>
      <c r="G386" s="100">
        <v>429.60445000000004</v>
      </c>
      <c r="H386" s="101">
        <v>459.47</v>
      </c>
    </row>
    <row r="387" spans="1:8">
      <c r="A387" s="102">
        <v>38745</v>
      </c>
      <c r="B387" s="102" t="str">
        <f>TEXT($A387,"mmm")</f>
        <v>Jan</v>
      </c>
      <c r="C387" s="103" t="s">
        <v>104</v>
      </c>
      <c r="D387" s="103" t="s">
        <v>92</v>
      </c>
      <c r="E387" s="103" t="s">
        <v>105</v>
      </c>
      <c r="F387" s="103" t="s">
        <v>492</v>
      </c>
      <c r="G387" s="104">
        <v>6513.69</v>
      </c>
      <c r="H387" s="105">
        <v>8684.92</v>
      </c>
    </row>
    <row r="388" spans="1:8">
      <c r="A388" s="97">
        <v>38745</v>
      </c>
      <c r="B388" s="97" t="str">
        <f>TEXT($A388,"mmm")</f>
        <v>Jan</v>
      </c>
      <c r="C388" s="99" t="s">
        <v>86</v>
      </c>
      <c r="D388" s="99" t="s">
        <v>98</v>
      </c>
      <c r="E388" s="99" t="s">
        <v>158</v>
      </c>
      <c r="F388" s="99" t="s">
        <v>493</v>
      </c>
      <c r="G388" s="100">
        <v>3479.96</v>
      </c>
      <c r="H388" s="101">
        <v>3954.5</v>
      </c>
    </row>
    <row r="389" spans="1:8">
      <c r="A389" s="102">
        <v>38745</v>
      </c>
      <c r="B389" s="102" t="str">
        <f>TEXT($A389,"mmm")</f>
        <v>Jan</v>
      </c>
      <c r="C389" s="103" t="s">
        <v>86</v>
      </c>
      <c r="D389" s="103" t="s">
        <v>92</v>
      </c>
      <c r="E389" s="103" t="s">
        <v>108</v>
      </c>
      <c r="F389" s="103" t="s">
        <v>494</v>
      </c>
      <c r="G389" s="104">
        <v>3277.4461500000002</v>
      </c>
      <c r="H389" s="105">
        <v>3505.29</v>
      </c>
    </row>
    <row r="390" spans="1:8">
      <c r="A390" s="97">
        <v>38744</v>
      </c>
      <c r="B390" s="97" t="str">
        <f>TEXT($A390,"mmm")</f>
        <v>Jan</v>
      </c>
      <c r="C390" s="99" t="s">
        <v>116</v>
      </c>
      <c r="D390" s="99" t="s">
        <v>87</v>
      </c>
      <c r="E390" s="99" t="s">
        <v>96</v>
      </c>
      <c r="F390" s="99" t="s">
        <v>495</v>
      </c>
      <c r="G390" s="100">
        <v>6011.984550000001</v>
      </c>
      <c r="H390" s="101">
        <v>6429.93</v>
      </c>
    </row>
    <row r="391" spans="1:8">
      <c r="A391" s="102">
        <v>38744</v>
      </c>
      <c r="B391" s="102" t="str">
        <f>TEXT($A391,"mmm")</f>
        <v>Jan</v>
      </c>
      <c r="C391" s="103" t="s">
        <v>116</v>
      </c>
      <c r="D391" s="103" t="s">
        <v>127</v>
      </c>
      <c r="E391" s="103" t="s">
        <v>144</v>
      </c>
      <c r="F391" s="103" t="s">
        <v>496</v>
      </c>
      <c r="G391" s="104">
        <v>4128.8250000000007</v>
      </c>
      <c r="H391" s="105">
        <v>5505.1</v>
      </c>
    </row>
    <row r="392" spans="1:8">
      <c r="A392" s="97">
        <v>38743</v>
      </c>
      <c r="B392" s="97" t="str">
        <f>TEXT($A392,"mmm")</f>
        <v>Jan</v>
      </c>
      <c r="C392" s="99" t="s">
        <v>79</v>
      </c>
      <c r="D392" s="99" t="s">
        <v>87</v>
      </c>
      <c r="E392" s="99" t="s">
        <v>94</v>
      </c>
      <c r="F392" s="99" t="s">
        <v>497</v>
      </c>
      <c r="G392" s="100">
        <v>6225.6312000000007</v>
      </c>
      <c r="H392" s="101">
        <v>9155.34</v>
      </c>
    </row>
    <row r="393" spans="1:8">
      <c r="A393" s="102">
        <v>38743</v>
      </c>
      <c r="B393" s="102" t="str">
        <f>TEXT($A393,"mmm")</f>
        <v>Jan</v>
      </c>
      <c r="C393" s="103" t="s">
        <v>107</v>
      </c>
      <c r="D393" s="103" t="s">
        <v>95</v>
      </c>
      <c r="E393" s="103" t="s">
        <v>158</v>
      </c>
      <c r="F393" s="103" t="s">
        <v>498</v>
      </c>
      <c r="G393" s="104">
        <v>6053.5950000000003</v>
      </c>
      <c r="H393" s="105">
        <v>8071.46</v>
      </c>
    </row>
    <row r="394" spans="1:8">
      <c r="A394" s="97">
        <v>38743</v>
      </c>
      <c r="B394" s="97" t="str">
        <f>TEXT($A394,"mmm")</f>
        <v>Jan</v>
      </c>
      <c r="C394" s="99" t="s">
        <v>86</v>
      </c>
      <c r="D394" s="99" t="s">
        <v>80</v>
      </c>
      <c r="E394" s="99" t="s">
        <v>144</v>
      </c>
      <c r="F394" s="99" t="s">
        <v>499</v>
      </c>
      <c r="G394" s="100">
        <v>3501.0956000000001</v>
      </c>
      <c r="H394" s="101">
        <v>5148.67</v>
      </c>
    </row>
    <row r="395" spans="1:8">
      <c r="A395" s="102">
        <v>38743</v>
      </c>
      <c r="B395" s="102" t="str">
        <f>TEXT($A395,"mmm")</f>
        <v>Jan</v>
      </c>
      <c r="C395" s="103" t="s">
        <v>107</v>
      </c>
      <c r="D395" s="103" t="s">
        <v>95</v>
      </c>
      <c r="E395" s="103" t="s">
        <v>120</v>
      </c>
      <c r="F395" s="103" t="s">
        <v>500</v>
      </c>
      <c r="G395" s="104">
        <v>1404.8010000000002</v>
      </c>
      <c r="H395" s="105">
        <v>3121.78</v>
      </c>
    </row>
    <row r="396" spans="1:8">
      <c r="A396" s="97">
        <v>38742</v>
      </c>
      <c r="B396" s="97" t="str">
        <f>TEXT($A396,"mmm")</f>
        <v>Jan</v>
      </c>
      <c r="C396" s="99" t="s">
        <v>86</v>
      </c>
      <c r="D396" s="99" t="s">
        <v>92</v>
      </c>
      <c r="E396" s="99" t="s">
        <v>89</v>
      </c>
      <c r="F396" s="99" t="s">
        <v>501</v>
      </c>
      <c r="G396" s="100">
        <v>1457.8520000000001</v>
      </c>
      <c r="H396" s="101">
        <v>2143.9</v>
      </c>
    </row>
    <row r="397" spans="1:8">
      <c r="A397" s="102">
        <v>38742</v>
      </c>
      <c r="B397" s="102" t="str">
        <f>TEXT($A397,"mmm")</f>
        <v>Jan</v>
      </c>
      <c r="C397" s="103" t="s">
        <v>86</v>
      </c>
      <c r="D397" s="103" t="s">
        <v>101</v>
      </c>
      <c r="E397" s="103" t="s">
        <v>94</v>
      </c>
      <c r="F397" s="103" t="s">
        <v>502</v>
      </c>
      <c r="G397" s="104">
        <v>517.7645</v>
      </c>
      <c r="H397" s="105">
        <v>941.39</v>
      </c>
    </row>
    <row r="398" spans="1:8">
      <c r="A398" s="97">
        <v>38741</v>
      </c>
      <c r="B398" s="97" t="str">
        <f>TEXT($A398,"mmm")</f>
        <v>Jan</v>
      </c>
      <c r="C398" s="99" t="s">
        <v>104</v>
      </c>
      <c r="D398" s="99" t="s">
        <v>80</v>
      </c>
      <c r="E398" s="99" t="s">
        <v>108</v>
      </c>
      <c r="F398" s="99" t="s">
        <v>221</v>
      </c>
      <c r="G398" s="100">
        <v>4083.1811000000002</v>
      </c>
      <c r="H398" s="101">
        <v>9495.77</v>
      </c>
    </row>
    <row r="399" spans="1:8">
      <c r="A399" s="102">
        <v>38741</v>
      </c>
      <c r="B399" s="102" t="str">
        <f>TEXT($A399,"mmm")</f>
        <v>Jan</v>
      </c>
      <c r="C399" s="103" t="s">
        <v>79</v>
      </c>
      <c r="D399" s="103" t="s">
        <v>101</v>
      </c>
      <c r="E399" s="103" t="s">
        <v>81</v>
      </c>
      <c r="F399" s="103" t="s">
        <v>503</v>
      </c>
      <c r="G399" s="104">
        <v>8339.5488000000005</v>
      </c>
      <c r="H399" s="105">
        <v>9476.76</v>
      </c>
    </row>
    <row r="400" spans="1:8">
      <c r="A400" s="97">
        <v>38741</v>
      </c>
      <c r="B400" s="97" t="str">
        <f>TEXT($A400,"mmm")</f>
        <v>Jan</v>
      </c>
      <c r="C400" s="99" t="s">
        <v>79</v>
      </c>
      <c r="D400" s="99" t="s">
        <v>98</v>
      </c>
      <c r="E400" s="99" t="s">
        <v>81</v>
      </c>
      <c r="F400" s="99" t="s">
        <v>504</v>
      </c>
      <c r="G400" s="100">
        <v>7774.0481500000005</v>
      </c>
      <c r="H400" s="101">
        <v>8314.49</v>
      </c>
    </row>
    <row r="401" spans="1:8">
      <c r="A401" s="102">
        <v>38741</v>
      </c>
      <c r="B401" s="102" t="str">
        <f>TEXT($A401,"mmm")</f>
        <v>Jan</v>
      </c>
      <c r="C401" s="103" t="s">
        <v>116</v>
      </c>
      <c r="D401" s="103" t="s">
        <v>95</v>
      </c>
      <c r="E401" s="103" t="s">
        <v>89</v>
      </c>
      <c r="F401" s="103" t="s">
        <v>505</v>
      </c>
      <c r="G401" s="104">
        <v>1149.0890000000002</v>
      </c>
      <c r="H401" s="105">
        <v>2672.3</v>
      </c>
    </row>
    <row r="402" spans="1:8">
      <c r="A402" s="97">
        <v>38740</v>
      </c>
      <c r="B402" s="97" t="str">
        <f>TEXT($A402,"mmm")</f>
        <v>Jan</v>
      </c>
      <c r="C402" s="99" t="s">
        <v>107</v>
      </c>
      <c r="D402" s="99" t="s">
        <v>80</v>
      </c>
      <c r="E402" s="99" t="s">
        <v>122</v>
      </c>
      <c r="F402" s="99" t="s">
        <v>506</v>
      </c>
      <c r="G402" s="100">
        <v>6394.5092000000004</v>
      </c>
      <c r="H402" s="101">
        <v>9403.69</v>
      </c>
    </row>
    <row r="403" spans="1:8">
      <c r="A403" s="102">
        <v>38739</v>
      </c>
      <c r="B403" s="102" t="str">
        <f>TEXT($A403,"mmm")</f>
        <v>Jan</v>
      </c>
      <c r="C403" s="103" t="s">
        <v>86</v>
      </c>
      <c r="D403" s="103" t="s">
        <v>95</v>
      </c>
      <c r="E403" s="103" t="s">
        <v>83</v>
      </c>
      <c r="F403" s="103" t="s">
        <v>507</v>
      </c>
      <c r="G403" s="104">
        <v>4517.7975999999999</v>
      </c>
      <c r="H403" s="105">
        <v>6643.82</v>
      </c>
    </row>
    <row r="404" spans="1:8">
      <c r="A404" s="97">
        <v>38739</v>
      </c>
      <c r="B404" s="97" t="str">
        <f>TEXT($A404,"mmm")</f>
        <v>Jan</v>
      </c>
      <c r="C404" s="99" t="s">
        <v>79</v>
      </c>
      <c r="D404" s="99" t="s">
        <v>92</v>
      </c>
      <c r="E404" s="99" t="s">
        <v>89</v>
      </c>
      <c r="F404" s="99" t="s">
        <v>508</v>
      </c>
      <c r="G404" s="100">
        <v>1334.4362000000001</v>
      </c>
      <c r="H404" s="101">
        <v>3103.34</v>
      </c>
    </row>
    <row r="405" spans="1:8">
      <c r="A405" s="102">
        <v>38739</v>
      </c>
      <c r="B405" s="102" t="str">
        <f>TEXT($A405,"mmm")</f>
        <v>Jan</v>
      </c>
      <c r="C405" s="103" t="s">
        <v>79</v>
      </c>
      <c r="D405" s="103" t="s">
        <v>92</v>
      </c>
      <c r="E405" s="103" t="s">
        <v>158</v>
      </c>
      <c r="F405" s="103" t="s">
        <v>509</v>
      </c>
      <c r="G405" s="104">
        <v>1385.8965000000001</v>
      </c>
      <c r="H405" s="105">
        <v>3079.77</v>
      </c>
    </row>
    <row r="406" spans="1:8">
      <c r="A406" s="97">
        <v>38738</v>
      </c>
      <c r="B406" s="97" t="str">
        <f>TEXT($A406,"mmm")</f>
        <v>Jan</v>
      </c>
      <c r="C406" s="99" t="s">
        <v>107</v>
      </c>
      <c r="D406" s="99" t="s">
        <v>98</v>
      </c>
      <c r="E406" s="99" t="s">
        <v>144</v>
      </c>
      <c r="F406" s="99" t="s">
        <v>510</v>
      </c>
      <c r="G406" s="100">
        <v>7438.0680000000002</v>
      </c>
      <c r="H406" s="101">
        <v>8452.35</v>
      </c>
    </row>
    <row r="407" spans="1:8">
      <c r="A407" s="102">
        <v>38738</v>
      </c>
      <c r="B407" s="102" t="str">
        <f>TEXT($A407,"mmm")</f>
        <v>Jan</v>
      </c>
      <c r="C407" s="103" t="s">
        <v>79</v>
      </c>
      <c r="D407" s="103" t="s">
        <v>101</v>
      </c>
      <c r="E407" s="103" t="s">
        <v>94</v>
      </c>
      <c r="F407" s="103" t="s">
        <v>511</v>
      </c>
      <c r="G407" s="104">
        <v>1438.4040000000002</v>
      </c>
      <c r="H407" s="105">
        <v>2615.2800000000002</v>
      </c>
    </row>
    <row r="408" spans="1:8">
      <c r="A408" s="97">
        <v>38738</v>
      </c>
      <c r="B408" s="97" t="str">
        <f>TEXT($A408,"mmm")</f>
        <v>Jan</v>
      </c>
      <c r="C408" s="99" t="s">
        <v>107</v>
      </c>
      <c r="D408" s="99" t="s">
        <v>80</v>
      </c>
      <c r="E408" s="99" t="s">
        <v>83</v>
      </c>
      <c r="F408" s="99" t="s">
        <v>512</v>
      </c>
      <c r="G408" s="100">
        <v>600.01840000000004</v>
      </c>
      <c r="H408" s="101">
        <v>882.38</v>
      </c>
    </row>
    <row r="409" spans="1:8">
      <c r="A409" s="102">
        <v>38737</v>
      </c>
      <c r="B409" s="102" t="str">
        <f>TEXT($A409,"mmm")</f>
        <v>Jan</v>
      </c>
      <c r="C409" s="103" t="s">
        <v>107</v>
      </c>
      <c r="D409" s="103" t="s">
        <v>80</v>
      </c>
      <c r="E409" s="103" t="s">
        <v>96</v>
      </c>
      <c r="F409" s="103" t="s">
        <v>513</v>
      </c>
      <c r="G409" s="104">
        <v>5095.41</v>
      </c>
      <c r="H409" s="105">
        <v>6793.88</v>
      </c>
    </row>
    <row r="410" spans="1:8">
      <c r="A410" s="97">
        <v>38737</v>
      </c>
      <c r="B410" s="97" t="str">
        <f>TEXT($A410,"mmm")</f>
        <v>Jan</v>
      </c>
      <c r="C410" s="99" t="s">
        <v>79</v>
      </c>
      <c r="D410" s="99" t="s">
        <v>92</v>
      </c>
      <c r="E410" s="99" t="s">
        <v>105</v>
      </c>
      <c r="F410" s="99" t="s">
        <v>514</v>
      </c>
      <c r="G410" s="100">
        <v>2790.6525999999999</v>
      </c>
      <c r="H410" s="101">
        <v>4811.47</v>
      </c>
    </row>
    <row r="411" spans="1:8">
      <c r="A411" s="102">
        <v>38737</v>
      </c>
      <c r="B411" s="102" t="str">
        <f>TEXT($A411,"mmm")</f>
        <v>Jan</v>
      </c>
      <c r="C411" s="103" t="s">
        <v>79</v>
      </c>
      <c r="D411" s="103" t="s">
        <v>95</v>
      </c>
      <c r="E411" s="103" t="s">
        <v>144</v>
      </c>
      <c r="F411" s="103" t="s">
        <v>515</v>
      </c>
      <c r="G411" s="104">
        <v>2705.4448000000002</v>
      </c>
      <c r="H411" s="105">
        <v>4664.5600000000004</v>
      </c>
    </row>
    <row r="412" spans="1:8">
      <c r="A412" s="97">
        <v>38737</v>
      </c>
      <c r="B412" s="97" t="str">
        <f>TEXT($A412,"mmm")</f>
        <v>Jan</v>
      </c>
      <c r="C412" s="99" t="s">
        <v>79</v>
      </c>
      <c r="D412" s="99" t="s">
        <v>87</v>
      </c>
      <c r="E412" s="99" t="s">
        <v>99</v>
      </c>
      <c r="F412" s="99" t="s">
        <v>516</v>
      </c>
      <c r="G412" s="100">
        <v>871.21759999999995</v>
      </c>
      <c r="H412" s="101">
        <v>990.02</v>
      </c>
    </row>
    <row r="413" spans="1:8">
      <c r="A413" s="102">
        <v>38737</v>
      </c>
      <c r="B413" s="102" t="str">
        <f>TEXT($A413,"mmm")</f>
        <v>Jan</v>
      </c>
      <c r="C413" s="103" t="s">
        <v>79</v>
      </c>
      <c r="D413" s="103" t="s">
        <v>80</v>
      </c>
      <c r="E413" s="103" t="s">
        <v>108</v>
      </c>
      <c r="F413" s="103" t="s">
        <v>517</v>
      </c>
      <c r="G413" s="104">
        <v>669.45</v>
      </c>
      <c r="H413" s="105">
        <v>892.6</v>
      </c>
    </row>
    <row r="414" spans="1:8">
      <c r="A414" s="97">
        <v>38736</v>
      </c>
      <c r="B414" s="97" t="str">
        <f>TEXT($A414,"mmm")</f>
        <v>Jan</v>
      </c>
      <c r="C414" s="99" t="s">
        <v>79</v>
      </c>
      <c r="D414" s="99" t="s">
        <v>87</v>
      </c>
      <c r="E414" s="99" t="s">
        <v>83</v>
      </c>
      <c r="F414" s="99" t="s">
        <v>518</v>
      </c>
      <c r="G414" s="100">
        <v>5358.7672000000002</v>
      </c>
      <c r="H414" s="101">
        <v>7880.54</v>
      </c>
    </row>
    <row r="415" spans="1:8">
      <c r="A415" s="102">
        <v>38736</v>
      </c>
      <c r="B415" s="102" t="str">
        <f>TEXT($A415,"mmm")</f>
        <v>Jan</v>
      </c>
      <c r="C415" s="103" t="s">
        <v>86</v>
      </c>
      <c r="D415" s="103" t="s">
        <v>127</v>
      </c>
      <c r="E415" s="103" t="s">
        <v>89</v>
      </c>
      <c r="F415" s="103" t="s">
        <v>519</v>
      </c>
      <c r="G415" s="104">
        <v>3345.5524000000005</v>
      </c>
      <c r="H415" s="105">
        <v>4919.93</v>
      </c>
    </row>
    <row r="416" spans="1:8">
      <c r="A416" s="97">
        <v>38736</v>
      </c>
      <c r="B416" s="97" t="str">
        <f>TEXT($A416,"mmm")</f>
        <v>Jan</v>
      </c>
      <c r="C416" s="99" t="s">
        <v>116</v>
      </c>
      <c r="D416" s="99" t="s">
        <v>98</v>
      </c>
      <c r="E416" s="99" t="s">
        <v>99</v>
      </c>
      <c r="F416" s="99" t="s">
        <v>520</v>
      </c>
      <c r="G416" s="100">
        <v>1247.7436</v>
      </c>
      <c r="H416" s="101">
        <v>3372.28</v>
      </c>
    </row>
    <row r="417" spans="1:8">
      <c r="A417" s="102">
        <v>38736</v>
      </c>
      <c r="B417" s="102" t="str">
        <f>TEXT($A417,"mmm")</f>
        <v>Jan</v>
      </c>
      <c r="C417" s="103" t="s">
        <v>107</v>
      </c>
      <c r="D417" s="103" t="s">
        <v>87</v>
      </c>
      <c r="E417" s="103" t="s">
        <v>144</v>
      </c>
      <c r="F417" s="103" t="s">
        <v>521</v>
      </c>
      <c r="G417" s="104">
        <v>913.61879999999996</v>
      </c>
      <c r="H417" s="105">
        <v>2469.2399999999998</v>
      </c>
    </row>
    <row r="418" spans="1:8">
      <c r="A418" s="97">
        <v>38735</v>
      </c>
      <c r="B418" s="97" t="str">
        <f>TEXT($A418,"mmm")</f>
        <v>Jan</v>
      </c>
      <c r="C418" s="99" t="s">
        <v>116</v>
      </c>
      <c r="D418" s="99" t="s">
        <v>87</v>
      </c>
      <c r="E418" s="99" t="s">
        <v>105</v>
      </c>
      <c r="F418" s="99" t="s">
        <v>522</v>
      </c>
      <c r="G418" s="100">
        <v>3651.7105000000001</v>
      </c>
      <c r="H418" s="101">
        <v>8492.35</v>
      </c>
    </row>
    <row r="419" spans="1:8">
      <c r="A419" s="102">
        <v>38734</v>
      </c>
      <c r="B419" s="102" t="str">
        <f>TEXT($A419,"mmm")</f>
        <v>Jan</v>
      </c>
      <c r="C419" s="103" t="s">
        <v>116</v>
      </c>
      <c r="D419" s="103" t="s">
        <v>101</v>
      </c>
      <c r="E419" s="103" t="s">
        <v>129</v>
      </c>
      <c r="F419" s="103" t="s">
        <v>523</v>
      </c>
      <c r="G419" s="104">
        <v>746.97149999999999</v>
      </c>
      <c r="H419" s="105">
        <v>798.9</v>
      </c>
    </row>
    <row r="420" spans="1:8">
      <c r="A420" s="97">
        <v>38734</v>
      </c>
      <c r="B420" s="97" t="str">
        <f>TEXT($A420,"mmm")</f>
        <v>Jan</v>
      </c>
      <c r="C420" s="99" t="s">
        <v>79</v>
      </c>
      <c r="D420" s="99" t="s">
        <v>95</v>
      </c>
      <c r="E420" s="99" t="s">
        <v>144</v>
      </c>
      <c r="F420" s="99" t="s">
        <v>524</v>
      </c>
      <c r="G420" s="100">
        <v>345.51579999999996</v>
      </c>
      <c r="H420" s="101">
        <v>585.62</v>
      </c>
    </row>
    <row r="421" spans="1:8">
      <c r="A421" s="102">
        <v>38734</v>
      </c>
      <c r="B421" s="102" t="str">
        <f>TEXT($A421,"mmm")</f>
        <v>Jan</v>
      </c>
      <c r="C421" s="103" t="s">
        <v>107</v>
      </c>
      <c r="D421" s="103" t="s">
        <v>114</v>
      </c>
      <c r="E421" s="103" t="s">
        <v>122</v>
      </c>
      <c r="F421" s="103" t="s">
        <v>525</v>
      </c>
      <c r="G421" s="104">
        <v>259.29750000000001</v>
      </c>
      <c r="H421" s="105">
        <v>471.45</v>
      </c>
    </row>
    <row r="422" spans="1:8">
      <c r="A422" s="97">
        <v>38733</v>
      </c>
      <c r="B422" s="97" t="str">
        <f>TEXT($A422,"mmm")</f>
        <v>Jan</v>
      </c>
      <c r="C422" s="99" t="s">
        <v>116</v>
      </c>
      <c r="D422" s="99" t="s">
        <v>92</v>
      </c>
      <c r="E422" s="99" t="s">
        <v>108</v>
      </c>
      <c r="F422" s="99" t="s">
        <v>526</v>
      </c>
      <c r="G422" s="100">
        <v>3206.4777999999997</v>
      </c>
      <c r="H422" s="101">
        <v>5528.41</v>
      </c>
    </row>
    <row r="423" spans="1:8">
      <c r="A423" s="102">
        <v>38732</v>
      </c>
      <c r="B423" s="102" t="str">
        <f>TEXT($A423,"mmm")</f>
        <v>Jan</v>
      </c>
      <c r="C423" s="103" t="s">
        <v>104</v>
      </c>
      <c r="D423" s="103" t="s">
        <v>101</v>
      </c>
      <c r="E423" s="103" t="s">
        <v>108</v>
      </c>
      <c r="F423" s="103" t="s">
        <v>527</v>
      </c>
      <c r="G423" s="104">
        <v>5056.9152000000004</v>
      </c>
      <c r="H423" s="105">
        <v>7436.64</v>
      </c>
    </row>
    <row r="424" spans="1:8">
      <c r="A424" s="97">
        <v>38732</v>
      </c>
      <c r="B424" s="97" t="str">
        <f>TEXT($A424,"mmm")</f>
        <v>Jan</v>
      </c>
      <c r="C424" s="99" t="s">
        <v>86</v>
      </c>
      <c r="D424" s="99" t="s">
        <v>98</v>
      </c>
      <c r="E424" s="99" t="s">
        <v>120</v>
      </c>
      <c r="F424" s="99" t="s">
        <v>528</v>
      </c>
      <c r="G424" s="100">
        <v>78.909300000000002</v>
      </c>
      <c r="H424" s="101">
        <v>183.51</v>
      </c>
    </row>
    <row r="425" spans="1:8">
      <c r="A425" s="102">
        <v>38730</v>
      </c>
      <c r="B425" s="102" t="str">
        <f>TEXT($A425,"mmm")</f>
        <v>Jan</v>
      </c>
      <c r="C425" s="103" t="s">
        <v>79</v>
      </c>
      <c r="D425" s="103" t="s">
        <v>101</v>
      </c>
      <c r="E425" s="103" t="s">
        <v>96</v>
      </c>
      <c r="F425" s="103" t="s">
        <v>529</v>
      </c>
      <c r="G425" s="104">
        <v>5389.2784000000001</v>
      </c>
      <c r="H425" s="105">
        <v>6124.18</v>
      </c>
    </row>
    <row r="426" spans="1:8">
      <c r="A426" s="97">
        <v>38729</v>
      </c>
      <c r="B426" s="97" t="str">
        <f>TEXT($A426,"mmm")</f>
        <v>Jan</v>
      </c>
      <c r="C426" s="99" t="s">
        <v>104</v>
      </c>
      <c r="D426" s="99" t="s">
        <v>80</v>
      </c>
      <c r="E426" s="99" t="s">
        <v>120</v>
      </c>
      <c r="F426" s="99" t="s">
        <v>530</v>
      </c>
      <c r="G426" s="100">
        <v>2809.5705000000003</v>
      </c>
      <c r="H426" s="101">
        <v>5108.3100000000004</v>
      </c>
    </row>
    <row r="427" spans="1:8">
      <c r="A427" s="102">
        <v>38728</v>
      </c>
      <c r="B427" s="102" t="str">
        <f>TEXT($A427,"mmm")</f>
        <v>Jan</v>
      </c>
      <c r="C427" s="103" t="s">
        <v>107</v>
      </c>
      <c r="D427" s="103" t="s">
        <v>80</v>
      </c>
      <c r="E427" s="103" t="s">
        <v>93</v>
      </c>
      <c r="F427" s="103" t="s">
        <v>531</v>
      </c>
      <c r="G427" s="104">
        <v>3163.7775000000001</v>
      </c>
      <c r="H427" s="105">
        <v>4218.37</v>
      </c>
    </row>
    <row r="428" spans="1:8">
      <c r="A428" s="97">
        <v>38728</v>
      </c>
      <c r="B428" s="97" t="str">
        <f>TEXT($A428,"mmm")</f>
        <v>Jan</v>
      </c>
      <c r="C428" s="99" t="s">
        <v>107</v>
      </c>
      <c r="D428" s="99" t="s">
        <v>92</v>
      </c>
      <c r="E428" s="99" t="s">
        <v>83</v>
      </c>
      <c r="F428" s="99" t="s">
        <v>532</v>
      </c>
      <c r="G428" s="100">
        <v>3249.5644499999999</v>
      </c>
      <c r="H428" s="101">
        <v>3475.47</v>
      </c>
    </row>
    <row r="429" spans="1:8">
      <c r="A429" s="102">
        <v>38727</v>
      </c>
      <c r="B429" s="102" t="str">
        <f>TEXT($A429,"mmm")</f>
        <v>Jan</v>
      </c>
      <c r="C429" s="103" t="s">
        <v>104</v>
      </c>
      <c r="D429" s="103" t="s">
        <v>114</v>
      </c>
      <c r="E429" s="103" t="s">
        <v>94</v>
      </c>
      <c r="F429" s="103" t="s">
        <v>533</v>
      </c>
      <c r="G429" s="104">
        <v>5931.3544000000002</v>
      </c>
      <c r="H429" s="105">
        <v>8722.58</v>
      </c>
    </row>
    <row r="430" spans="1:8">
      <c r="A430" s="97">
        <v>38727</v>
      </c>
      <c r="B430" s="97" t="str">
        <f>TEXT($A430,"mmm")</f>
        <v>Jan</v>
      </c>
      <c r="C430" s="99" t="s">
        <v>104</v>
      </c>
      <c r="D430" s="99" t="s">
        <v>114</v>
      </c>
      <c r="E430" s="99" t="s">
        <v>94</v>
      </c>
      <c r="F430" s="99" t="s">
        <v>534</v>
      </c>
      <c r="G430" s="100">
        <v>4785.2089999999998</v>
      </c>
      <c r="H430" s="101">
        <v>8700.3799999999992</v>
      </c>
    </row>
    <row r="431" spans="1:8">
      <c r="A431" s="102">
        <v>38727</v>
      </c>
      <c r="B431" s="102" t="str">
        <f>TEXT($A431,"mmm")</f>
        <v>Jan</v>
      </c>
      <c r="C431" s="103" t="s">
        <v>107</v>
      </c>
      <c r="D431" s="103" t="s">
        <v>80</v>
      </c>
      <c r="E431" s="103" t="s">
        <v>158</v>
      </c>
      <c r="F431" s="103" t="s">
        <v>535</v>
      </c>
      <c r="G431" s="104">
        <v>7176.7327500000001</v>
      </c>
      <c r="H431" s="105">
        <v>7675.65</v>
      </c>
    </row>
    <row r="432" spans="1:8">
      <c r="A432" s="97">
        <v>38726</v>
      </c>
      <c r="B432" s="97" t="str">
        <f>TEXT($A432,"mmm")</f>
        <v>Jan</v>
      </c>
      <c r="C432" s="99" t="s">
        <v>104</v>
      </c>
      <c r="D432" s="99" t="s">
        <v>101</v>
      </c>
      <c r="E432" s="99" t="s">
        <v>96</v>
      </c>
      <c r="F432" s="99" t="s">
        <v>536</v>
      </c>
      <c r="G432" s="100">
        <v>8206.4202000000005</v>
      </c>
      <c r="H432" s="101">
        <v>8776.92</v>
      </c>
    </row>
    <row r="433" spans="1:8">
      <c r="A433" s="102">
        <v>38726</v>
      </c>
      <c r="B433" s="102" t="str">
        <f>TEXT($A433,"mmm")</f>
        <v>Jan</v>
      </c>
      <c r="C433" s="103" t="s">
        <v>116</v>
      </c>
      <c r="D433" s="103" t="s">
        <v>95</v>
      </c>
      <c r="E433" s="103" t="s">
        <v>105</v>
      </c>
      <c r="F433" s="103" t="s">
        <v>537</v>
      </c>
      <c r="G433" s="104">
        <v>7340.2923000000001</v>
      </c>
      <c r="H433" s="105">
        <v>7850.58</v>
      </c>
    </row>
    <row r="434" spans="1:8">
      <c r="A434" s="97">
        <v>38726</v>
      </c>
      <c r="B434" s="97" t="str">
        <f>TEXT($A434,"mmm")</f>
        <v>Jan</v>
      </c>
      <c r="C434" s="99" t="s">
        <v>116</v>
      </c>
      <c r="D434" s="99" t="s">
        <v>92</v>
      </c>
      <c r="E434" s="99" t="s">
        <v>81</v>
      </c>
      <c r="F434" s="99" t="s">
        <v>538</v>
      </c>
      <c r="G434" s="100">
        <v>2070.5570000000002</v>
      </c>
      <c r="H434" s="101">
        <v>5596.1</v>
      </c>
    </row>
    <row r="435" spans="1:8">
      <c r="A435" s="102">
        <v>38726</v>
      </c>
      <c r="B435" s="102" t="str">
        <f>TEXT($A435,"mmm")</f>
        <v>Jan</v>
      </c>
      <c r="C435" s="103" t="s">
        <v>86</v>
      </c>
      <c r="D435" s="103" t="s">
        <v>95</v>
      </c>
      <c r="E435" s="103" t="s">
        <v>122</v>
      </c>
      <c r="F435" s="103" t="s">
        <v>539</v>
      </c>
      <c r="G435" s="104">
        <v>1222.6199999999999</v>
      </c>
      <c r="H435" s="105">
        <v>1630.16</v>
      </c>
    </row>
    <row r="436" spans="1:8">
      <c r="A436" s="97">
        <v>38726</v>
      </c>
      <c r="B436" s="97" t="str">
        <f>TEXT($A436,"mmm")</f>
        <v>Jan</v>
      </c>
      <c r="C436" s="99" t="s">
        <v>79</v>
      </c>
      <c r="D436" s="99" t="s">
        <v>127</v>
      </c>
      <c r="E436" s="99" t="s">
        <v>89</v>
      </c>
      <c r="F436" s="99" t="s">
        <v>540</v>
      </c>
      <c r="G436" s="100">
        <v>725.55250000000001</v>
      </c>
      <c r="H436" s="101">
        <v>1229.75</v>
      </c>
    </row>
    <row r="437" spans="1:8">
      <c r="A437" s="102">
        <v>38725</v>
      </c>
      <c r="B437" s="102" t="str">
        <f>TEXT($A437,"mmm")</f>
        <v>Jan</v>
      </c>
      <c r="C437" s="103" t="s">
        <v>107</v>
      </c>
      <c r="D437" s="103" t="s">
        <v>114</v>
      </c>
      <c r="E437" s="103" t="s">
        <v>120</v>
      </c>
      <c r="F437" s="103" t="s">
        <v>541</v>
      </c>
      <c r="G437" s="104">
        <v>4349.1008000000002</v>
      </c>
      <c r="H437" s="105">
        <v>4942.16</v>
      </c>
    </row>
    <row r="438" spans="1:8">
      <c r="A438" s="97">
        <v>38725</v>
      </c>
      <c r="B438" s="97" t="str">
        <f>TEXT($A438,"mmm")</f>
        <v>Jan</v>
      </c>
      <c r="C438" s="99" t="s">
        <v>107</v>
      </c>
      <c r="D438" s="99" t="s">
        <v>127</v>
      </c>
      <c r="E438" s="99" t="s">
        <v>89</v>
      </c>
      <c r="F438" s="99" t="s">
        <v>542</v>
      </c>
      <c r="G438" s="100">
        <v>2173.2177999999999</v>
      </c>
      <c r="H438" s="101">
        <v>3683.42</v>
      </c>
    </row>
    <row r="439" spans="1:8">
      <c r="A439" s="102">
        <v>38725</v>
      </c>
      <c r="B439" s="102" t="str">
        <f>TEXT($A439,"mmm")</f>
        <v>Jan</v>
      </c>
      <c r="C439" s="103" t="s">
        <v>116</v>
      </c>
      <c r="D439" s="103" t="s">
        <v>92</v>
      </c>
      <c r="E439" s="103" t="s">
        <v>158</v>
      </c>
      <c r="F439" s="103" t="s">
        <v>543</v>
      </c>
      <c r="G439" s="104">
        <v>1201.9445999999998</v>
      </c>
      <c r="H439" s="105">
        <v>2795.22</v>
      </c>
    </row>
    <row r="440" spans="1:8">
      <c r="A440" s="97">
        <v>38725</v>
      </c>
      <c r="B440" s="97" t="str">
        <f>TEXT($A440,"mmm")</f>
        <v>Jan</v>
      </c>
      <c r="C440" s="99" t="s">
        <v>107</v>
      </c>
      <c r="D440" s="99" t="s">
        <v>98</v>
      </c>
      <c r="E440" s="99" t="s">
        <v>94</v>
      </c>
      <c r="F440" s="99" t="s">
        <v>544</v>
      </c>
      <c r="G440" s="100">
        <v>1194.3855000000001</v>
      </c>
      <c r="H440" s="101">
        <v>2654.19</v>
      </c>
    </row>
    <row r="441" spans="1:8">
      <c r="A441" s="102">
        <v>38723</v>
      </c>
      <c r="B441" s="102" t="str">
        <f>TEXT($A441,"mmm")</f>
        <v>Jan</v>
      </c>
      <c r="C441" s="103" t="s">
        <v>116</v>
      </c>
      <c r="D441" s="103" t="s">
        <v>127</v>
      </c>
      <c r="E441" s="103" t="s">
        <v>83</v>
      </c>
      <c r="F441" s="103" t="s">
        <v>545</v>
      </c>
      <c r="G441" s="104">
        <v>8498.8227499999994</v>
      </c>
      <c r="H441" s="105">
        <v>9089.65</v>
      </c>
    </row>
    <row r="442" spans="1:8">
      <c r="A442" s="97">
        <v>38723</v>
      </c>
      <c r="B442" s="97" t="str">
        <f>TEXT($A442,"mmm")</f>
        <v>Jan</v>
      </c>
      <c r="C442" s="99" t="s">
        <v>79</v>
      </c>
      <c r="D442" s="99" t="s">
        <v>127</v>
      </c>
      <c r="E442" s="99" t="s">
        <v>96</v>
      </c>
      <c r="F442" s="99" t="s">
        <v>546</v>
      </c>
      <c r="G442" s="100">
        <v>6567.72</v>
      </c>
      <c r="H442" s="101">
        <v>8756.9599999999991</v>
      </c>
    </row>
    <row r="443" spans="1:8">
      <c r="A443" s="102">
        <v>38723</v>
      </c>
      <c r="B443" s="102" t="str">
        <f>TEXT($A443,"mmm")</f>
        <v>Jan</v>
      </c>
      <c r="C443" s="103" t="s">
        <v>104</v>
      </c>
      <c r="D443" s="103" t="s">
        <v>92</v>
      </c>
      <c r="E443" s="103" t="s">
        <v>81</v>
      </c>
      <c r="F443" s="103" t="s">
        <v>547</v>
      </c>
      <c r="G443" s="104">
        <v>8136.2671499999997</v>
      </c>
      <c r="H443" s="105">
        <v>8701.89</v>
      </c>
    </row>
    <row r="444" spans="1:8">
      <c r="A444" s="97">
        <v>38723</v>
      </c>
      <c r="B444" s="97" t="str">
        <f>TEXT($A444,"mmm")</f>
        <v>Jan</v>
      </c>
      <c r="C444" s="99" t="s">
        <v>79</v>
      </c>
      <c r="D444" s="99" t="s">
        <v>114</v>
      </c>
      <c r="E444" s="99" t="s">
        <v>122</v>
      </c>
      <c r="F444" s="99" t="s">
        <v>548</v>
      </c>
      <c r="G444" s="100">
        <v>124.45950000000001</v>
      </c>
      <c r="H444" s="101">
        <v>226.29</v>
      </c>
    </row>
    <row r="445" spans="1:8">
      <c r="A445" s="102">
        <v>38722</v>
      </c>
      <c r="B445" s="102" t="str">
        <f>TEXT($A445,"mmm")</f>
        <v>Jan</v>
      </c>
      <c r="C445" s="103" t="s">
        <v>104</v>
      </c>
      <c r="D445" s="103" t="s">
        <v>101</v>
      </c>
      <c r="E445" s="103" t="s">
        <v>158</v>
      </c>
      <c r="F445" s="103" t="s">
        <v>549</v>
      </c>
      <c r="G445" s="104">
        <v>9284.3816999999999</v>
      </c>
      <c r="H445" s="105">
        <v>9929.82</v>
      </c>
    </row>
    <row r="446" spans="1:8">
      <c r="A446" s="97">
        <v>38722</v>
      </c>
      <c r="B446" s="97" t="str">
        <f>TEXT($A446,"mmm")</f>
        <v>Jan</v>
      </c>
      <c r="C446" s="99" t="s">
        <v>116</v>
      </c>
      <c r="D446" s="99" t="s">
        <v>92</v>
      </c>
      <c r="E446" s="99" t="s">
        <v>96</v>
      </c>
      <c r="F446" s="99" t="s">
        <v>550</v>
      </c>
      <c r="G446" s="100">
        <v>5672.0121999999992</v>
      </c>
      <c r="H446" s="101">
        <v>9613.58</v>
      </c>
    </row>
    <row r="447" spans="1:8">
      <c r="A447" s="102">
        <v>38722</v>
      </c>
      <c r="B447" s="102" t="str">
        <f>TEXT($A447,"mmm")</f>
        <v>Jan</v>
      </c>
      <c r="C447" s="103" t="s">
        <v>107</v>
      </c>
      <c r="D447" s="103" t="s">
        <v>80</v>
      </c>
      <c r="E447" s="103" t="s">
        <v>93</v>
      </c>
      <c r="F447" s="103" t="s">
        <v>551</v>
      </c>
      <c r="G447" s="104">
        <v>3253.4849999999997</v>
      </c>
      <c r="H447" s="105">
        <v>4337.9799999999996</v>
      </c>
    </row>
    <row r="448" spans="1:8">
      <c r="A448" s="97">
        <v>38722</v>
      </c>
      <c r="B448" s="97" t="str">
        <f>TEXT($A448,"mmm")</f>
        <v>Jan</v>
      </c>
      <c r="C448" s="99" t="s">
        <v>86</v>
      </c>
      <c r="D448" s="99" t="s">
        <v>92</v>
      </c>
      <c r="E448" s="99" t="s">
        <v>129</v>
      </c>
      <c r="F448" s="99" t="s">
        <v>368</v>
      </c>
      <c r="G448" s="100">
        <v>1349.8265999999999</v>
      </c>
      <c r="H448" s="101">
        <v>3648.18</v>
      </c>
    </row>
    <row r="449" spans="1:8">
      <c r="A449" s="102">
        <v>38722</v>
      </c>
      <c r="B449" s="102" t="str">
        <f>TEXT($A449,"mmm")</f>
        <v>Jan</v>
      </c>
      <c r="C449" s="103" t="s">
        <v>116</v>
      </c>
      <c r="D449" s="103" t="s">
        <v>127</v>
      </c>
      <c r="E449" s="103" t="s">
        <v>99</v>
      </c>
      <c r="F449" s="103" t="s">
        <v>552</v>
      </c>
      <c r="G449" s="104">
        <v>3128.8279000000002</v>
      </c>
      <c r="H449" s="105">
        <v>3346.34</v>
      </c>
    </row>
    <row r="450" spans="1:8">
      <c r="A450" s="97">
        <v>38722</v>
      </c>
      <c r="B450" s="97" t="str">
        <f>TEXT($A450,"mmm")</f>
        <v>Jan</v>
      </c>
      <c r="C450" s="99" t="s">
        <v>79</v>
      </c>
      <c r="D450" s="99" t="s">
        <v>80</v>
      </c>
      <c r="E450" s="99" t="s">
        <v>81</v>
      </c>
      <c r="F450" s="99" t="s">
        <v>553</v>
      </c>
      <c r="G450" s="100">
        <v>849.06449999999995</v>
      </c>
      <c r="H450" s="101">
        <v>1886.81</v>
      </c>
    </row>
    <row r="451" spans="1:8">
      <c r="A451" s="102">
        <v>38722</v>
      </c>
      <c r="B451" s="102" t="str">
        <f>TEXT($A451,"mmm")</f>
        <v>Jan</v>
      </c>
      <c r="C451" s="103" t="s">
        <v>79</v>
      </c>
      <c r="D451" s="103" t="s">
        <v>114</v>
      </c>
      <c r="E451" s="103" t="s">
        <v>129</v>
      </c>
      <c r="F451" s="103" t="s">
        <v>554</v>
      </c>
      <c r="G451" s="104">
        <v>241.6575</v>
      </c>
      <c r="H451" s="105">
        <v>322.20999999999998</v>
      </c>
    </row>
    <row r="452" spans="1:8">
      <c r="A452" s="97">
        <v>38722</v>
      </c>
      <c r="B452" s="97" t="str">
        <f>TEXT($A452,"mmm")</f>
        <v>Jan</v>
      </c>
      <c r="C452" s="99" t="s">
        <v>79</v>
      </c>
      <c r="D452" s="99" t="s">
        <v>114</v>
      </c>
      <c r="E452" s="99" t="s">
        <v>93</v>
      </c>
      <c r="F452" s="99" t="s">
        <v>555</v>
      </c>
      <c r="G452" s="100">
        <v>122.82160000000002</v>
      </c>
      <c r="H452" s="101">
        <v>131.36000000000001</v>
      </c>
    </row>
    <row r="453" spans="1:8">
      <c r="A453" s="102">
        <v>38721</v>
      </c>
      <c r="B453" s="102" t="str">
        <f>TEXT($A453,"mmm")</f>
        <v>Jan</v>
      </c>
      <c r="C453" s="103" t="s">
        <v>107</v>
      </c>
      <c r="D453" s="103" t="s">
        <v>92</v>
      </c>
      <c r="E453" s="103" t="s">
        <v>96</v>
      </c>
      <c r="F453" s="103" t="s">
        <v>295</v>
      </c>
      <c r="G453" s="104">
        <v>3082.1712000000002</v>
      </c>
      <c r="H453" s="105">
        <v>7167.84</v>
      </c>
    </row>
    <row r="454" spans="1:8">
      <c r="A454" s="97">
        <v>38721</v>
      </c>
      <c r="B454" s="97" t="str">
        <f>TEXT($A454,"mmm")</f>
        <v>Jan</v>
      </c>
      <c r="C454" s="99" t="s">
        <v>79</v>
      </c>
      <c r="D454" s="99" t="s">
        <v>95</v>
      </c>
      <c r="E454" s="99" t="s">
        <v>105</v>
      </c>
      <c r="F454" s="99" t="s">
        <v>556</v>
      </c>
      <c r="G454" s="100">
        <v>3864.6443999999997</v>
      </c>
      <c r="H454" s="101">
        <v>6663.18</v>
      </c>
    </row>
    <row r="455" spans="1:8">
      <c r="A455" s="102">
        <v>38721</v>
      </c>
      <c r="B455" s="102" t="str">
        <f>TEXT($A455,"mmm")</f>
        <v>Jan</v>
      </c>
      <c r="C455" s="103" t="s">
        <v>104</v>
      </c>
      <c r="D455" s="103" t="s">
        <v>92</v>
      </c>
      <c r="E455" s="103" t="s">
        <v>93</v>
      </c>
      <c r="F455" s="103" t="s">
        <v>557</v>
      </c>
      <c r="G455" s="104">
        <v>2693.556</v>
      </c>
      <c r="H455" s="105">
        <v>5985.68</v>
      </c>
    </row>
    <row r="456" spans="1:8">
      <c r="A456" s="97">
        <v>38721</v>
      </c>
      <c r="B456" s="97" t="str">
        <f>TEXT($A456,"mmm")</f>
        <v>Jan</v>
      </c>
      <c r="C456" s="99" t="s">
        <v>86</v>
      </c>
      <c r="D456" s="99" t="s">
        <v>114</v>
      </c>
      <c r="E456" s="99" t="s">
        <v>89</v>
      </c>
      <c r="F456" s="99" t="s">
        <v>558</v>
      </c>
      <c r="G456" s="100">
        <v>4158.1724999999997</v>
      </c>
      <c r="H456" s="101">
        <v>5544.23</v>
      </c>
    </row>
    <row r="457" spans="1:8">
      <c r="A457" s="102">
        <v>38720</v>
      </c>
      <c r="B457" s="102" t="str">
        <f>TEXT($A457,"mmm")</f>
        <v>Jan</v>
      </c>
      <c r="C457" s="103" t="s">
        <v>107</v>
      </c>
      <c r="D457" s="103" t="s">
        <v>80</v>
      </c>
      <c r="E457" s="103" t="s">
        <v>81</v>
      </c>
      <c r="F457" s="103" t="s">
        <v>559</v>
      </c>
      <c r="G457" s="104">
        <v>4448.6904000000004</v>
      </c>
      <c r="H457" s="105">
        <v>5055.33</v>
      </c>
    </row>
    <row r="458" spans="1:8">
      <c r="A458" s="97">
        <v>38720</v>
      </c>
      <c r="B458" s="97" t="str">
        <f>TEXT($A458,"mmm")</f>
        <v>Jan</v>
      </c>
      <c r="C458" s="99" t="s">
        <v>79</v>
      </c>
      <c r="D458" s="99" t="s">
        <v>87</v>
      </c>
      <c r="E458" s="99" t="s">
        <v>89</v>
      </c>
      <c r="F458" s="99" t="s">
        <v>560</v>
      </c>
      <c r="G458" s="100">
        <v>3072.9336000000003</v>
      </c>
      <c r="H458" s="101">
        <v>3286.56</v>
      </c>
    </row>
    <row r="459" spans="1:8">
      <c r="A459" s="102">
        <v>38719</v>
      </c>
      <c r="B459" s="102" t="str">
        <f>TEXT($A459,"mmm")</f>
        <v>Jan</v>
      </c>
      <c r="C459" s="103" t="s">
        <v>104</v>
      </c>
      <c r="D459" s="103" t="s">
        <v>92</v>
      </c>
      <c r="E459" s="103" t="s">
        <v>99</v>
      </c>
      <c r="F459" s="103" t="s">
        <v>561</v>
      </c>
      <c r="G459" s="104">
        <v>3217.3424999999997</v>
      </c>
      <c r="H459" s="105">
        <v>7149.65</v>
      </c>
    </row>
    <row r="460" spans="1:8">
      <c r="A460" s="97">
        <v>38718</v>
      </c>
      <c r="B460" s="97" t="str">
        <f>TEXT($A460,"mmm")</f>
        <v>Jan</v>
      </c>
      <c r="C460" s="99" t="s">
        <v>104</v>
      </c>
      <c r="D460" s="99" t="s">
        <v>114</v>
      </c>
      <c r="E460" s="99" t="s">
        <v>81</v>
      </c>
      <c r="F460" s="99" t="s">
        <v>562</v>
      </c>
      <c r="G460" s="100">
        <v>4341.1787000000004</v>
      </c>
      <c r="H460" s="101">
        <v>7357.93</v>
      </c>
    </row>
    <row r="461" spans="1:8">
      <c r="A461" s="102">
        <v>38718</v>
      </c>
      <c r="B461" s="102" t="str">
        <f>TEXT($A461,"mmm")</f>
        <v>Jan</v>
      </c>
      <c r="C461" s="103" t="s">
        <v>107</v>
      </c>
      <c r="D461" s="103" t="s">
        <v>87</v>
      </c>
      <c r="E461" s="103" t="s">
        <v>83</v>
      </c>
      <c r="F461" s="103" t="s">
        <v>563</v>
      </c>
      <c r="G461" s="104">
        <v>2791.4493000000002</v>
      </c>
      <c r="H461" s="105">
        <v>4731.2700000000004</v>
      </c>
    </row>
    <row r="462" spans="1:8">
      <c r="A462" s="97">
        <v>38718</v>
      </c>
      <c r="B462" s="97" t="str">
        <f>TEXT($A462,"mmm")</f>
        <v>Jan</v>
      </c>
      <c r="C462" s="99" t="s">
        <v>79</v>
      </c>
      <c r="D462" s="99" t="s">
        <v>95</v>
      </c>
      <c r="E462" s="99" t="s">
        <v>120</v>
      </c>
      <c r="F462" s="99" t="s">
        <v>564</v>
      </c>
      <c r="G462" s="100">
        <v>1251.6849999999999</v>
      </c>
      <c r="H462" s="101">
        <v>2121.5</v>
      </c>
    </row>
    <row r="463" spans="1:8">
      <c r="A463" s="102">
        <v>38718</v>
      </c>
      <c r="B463" s="102" t="str">
        <f>TEXT($A463,"mmm")</f>
        <v>Jan</v>
      </c>
      <c r="C463" s="103" t="s">
        <v>79</v>
      </c>
      <c r="D463" s="103" t="s">
        <v>127</v>
      </c>
      <c r="E463" s="103" t="s">
        <v>105</v>
      </c>
      <c r="F463" s="103" t="s">
        <v>565</v>
      </c>
      <c r="G463" s="104">
        <v>727.48259999999993</v>
      </c>
      <c r="H463" s="105">
        <v>1691.82</v>
      </c>
    </row>
    <row r="464" spans="1:8">
      <c r="A464" s="97">
        <v>38718</v>
      </c>
      <c r="B464" s="97" t="str">
        <f>TEXT($A464,"mmm")</f>
        <v>Jan</v>
      </c>
      <c r="C464" s="99" t="s">
        <v>79</v>
      </c>
      <c r="D464" s="99" t="s">
        <v>80</v>
      </c>
      <c r="E464" s="99" t="s">
        <v>81</v>
      </c>
      <c r="F464" s="99" t="s">
        <v>566</v>
      </c>
      <c r="G464" s="100">
        <v>429.21749999999997</v>
      </c>
      <c r="H464" s="101">
        <v>572.29</v>
      </c>
    </row>
    <row r="465" spans="1:8">
      <c r="A465" s="102">
        <v>38717</v>
      </c>
      <c r="B465" s="102" t="str">
        <f>TEXT($A465,"mmm")</f>
        <v>Dec</v>
      </c>
      <c r="C465" s="103" t="s">
        <v>79</v>
      </c>
      <c r="D465" s="103" t="s">
        <v>98</v>
      </c>
      <c r="E465" s="103" t="s">
        <v>158</v>
      </c>
      <c r="F465" s="103" t="s">
        <v>567</v>
      </c>
      <c r="G465" s="104">
        <v>8192.4656000000014</v>
      </c>
      <c r="H465" s="105">
        <v>9309.6200000000008</v>
      </c>
    </row>
    <row r="466" spans="1:8">
      <c r="A466" s="97">
        <v>38717</v>
      </c>
      <c r="B466" s="97" t="str">
        <f>TEXT($A466,"mmm")</f>
        <v>Dec</v>
      </c>
      <c r="C466" s="99" t="s">
        <v>107</v>
      </c>
      <c r="D466" s="99" t="s">
        <v>101</v>
      </c>
      <c r="E466" s="99" t="s">
        <v>93</v>
      </c>
      <c r="F466" s="99" t="s">
        <v>568</v>
      </c>
      <c r="G466" s="100">
        <v>4764.7050000000008</v>
      </c>
      <c r="H466" s="101">
        <v>8663.1</v>
      </c>
    </row>
    <row r="467" spans="1:8">
      <c r="A467" s="102">
        <v>38717</v>
      </c>
      <c r="B467" s="102" t="str">
        <f>TEXT($A467,"mmm")</f>
        <v>Dec</v>
      </c>
      <c r="C467" s="103" t="s">
        <v>79</v>
      </c>
      <c r="D467" s="103" t="s">
        <v>95</v>
      </c>
      <c r="E467" s="103" t="s">
        <v>81</v>
      </c>
      <c r="F467" s="103" t="s">
        <v>569</v>
      </c>
      <c r="G467" s="104">
        <v>6969.4713000000002</v>
      </c>
      <c r="H467" s="105">
        <v>7453.98</v>
      </c>
    </row>
    <row r="468" spans="1:8">
      <c r="A468" s="97">
        <v>38717</v>
      </c>
      <c r="B468" s="97" t="str">
        <f>TEXT($A468,"mmm")</f>
        <v>Dec</v>
      </c>
      <c r="C468" s="99" t="s">
        <v>107</v>
      </c>
      <c r="D468" s="99" t="s">
        <v>95</v>
      </c>
      <c r="E468" s="99" t="s">
        <v>93</v>
      </c>
      <c r="F468" s="99" t="s">
        <v>570</v>
      </c>
      <c r="G468" s="100">
        <v>2963.6761999999999</v>
      </c>
      <c r="H468" s="101">
        <v>5023.18</v>
      </c>
    </row>
    <row r="469" spans="1:8">
      <c r="A469" s="102">
        <v>38716</v>
      </c>
      <c r="B469" s="102" t="str">
        <f>TEXT($A469,"mmm")</f>
        <v>Dec</v>
      </c>
      <c r="C469" s="103" t="s">
        <v>86</v>
      </c>
      <c r="D469" s="103" t="s">
        <v>95</v>
      </c>
      <c r="E469" s="103" t="s">
        <v>105</v>
      </c>
      <c r="F469" s="103" t="s">
        <v>571</v>
      </c>
      <c r="G469" s="104">
        <v>5338.44</v>
      </c>
      <c r="H469" s="105">
        <v>7117.92</v>
      </c>
    </row>
    <row r="470" spans="1:8">
      <c r="A470" s="97">
        <v>38715</v>
      </c>
      <c r="B470" s="97" t="str">
        <f>TEXT($A470,"mmm")</f>
        <v>Dec</v>
      </c>
      <c r="C470" s="99" t="s">
        <v>79</v>
      </c>
      <c r="D470" s="99" t="s">
        <v>101</v>
      </c>
      <c r="E470" s="99" t="s">
        <v>105</v>
      </c>
      <c r="F470" s="99" t="s">
        <v>572</v>
      </c>
      <c r="G470" s="100">
        <v>5622.9713999999994</v>
      </c>
      <c r="H470" s="101">
        <v>9530.4599999999991</v>
      </c>
    </row>
    <row r="471" spans="1:8">
      <c r="A471" s="102">
        <v>38715</v>
      </c>
      <c r="B471" s="102" t="str">
        <f>TEXT($A471,"mmm")</f>
        <v>Dec</v>
      </c>
      <c r="C471" s="103" t="s">
        <v>79</v>
      </c>
      <c r="D471" s="103" t="s">
        <v>87</v>
      </c>
      <c r="E471" s="103" t="s">
        <v>96</v>
      </c>
      <c r="F471" s="103" t="s">
        <v>573</v>
      </c>
      <c r="G471" s="104">
        <v>3132.6833000000001</v>
      </c>
      <c r="H471" s="105">
        <v>7285.31</v>
      </c>
    </row>
    <row r="472" spans="1:8">
      <c r="A472" s="97">
        <v>38715</v>
      </c>
      <c r="B472" s="97" t="str">
        <f>TEXT($A472,"mmm")</f>
        <v>Dec</v>
      </c>
      <c r="C472" s="99" t="s">
        <v>79</v>
      </c>
      <c r="D472" s="99" t="s">
        <v>87</v>
      </c>
      <c r="E472" s="99" t="s">
        <v>94</v>
      </c>
      <c r="F472" s="99" t="s">
        <v>574</v>
      </c>
      <c r="G472" s="100">
        <v>3964.5145999999995</v>
      </c>
      <c r="H472" s="101">
        <v>6835.37</v>
      </c>
    </row>
    <row r="473" spans="1:8">
      <c r="A473" s="102">
        <v>38715</v>
      </c>
      <c r="B473" s="102" t="str">
        <f>TEXT($A473,"mmm")</f>
        <v>Dec</v>
      </c>
      <c r="C473" s="103" t="s">
        <v>104</v>
      </c>
      <c r="D473" s="103" t="s">
        <v>101</v>
      </c>
      <c r="E473" s="103" t="s">
        <v>89</v>
      </c>
      <c r="F473" s="103" t="s">
        <v>575</v>
      </c>
      <c r="G473" s="104">
        <v>3249.6449999999995</v>
      </c>
      <c r="H473" s="105">
        <v>4332.8599999999997</v>
      </c>
    </row>
    <row r="474" spans="1:8">
      <c r="A474" s="97">
        <v>38715</v>
      </c>
      <c r="B474" s="97" t="str">
        <f>TEXT($A474,"mmm")</f>
        <v>Dec</v>
      </c>
      <c r="C474" s="99" t="s">
        <v>116</v>
      </c>
      <c r="D474" s="99" t="s">
        <v>114</v>
      </c>
      <c r="E474" s="99" t="s">
        <v>99</v>
      </c>
      <c r="F474" s="99" t="s">
        <v>576</v>
      </c>
      <c r="G474" s="100">
        <v>822.26530000000002</v>
      </c>
      <c r="H474" s="101">
        <v>1393.67</v>
      </c>
    </row>
    <row r="475" spans="1:8">
      <c r="A475" s="102">
        <v>38715</v>
      </c>
      <c r="B475" s="102" t="str">
        <f>TEXT($A475,"mmm")</f>
        <v>Dec</v>
      </c>
      <c r="C475" s="103" t="s">
        <v>86</v>
      </c>
      <c r="D475" s="103" t="s">
        <v>114</v>
      </c>
      <c r="E475" s="103" t="s">
        <v>99</v>
      </c>
      <c r="F475" s="103" t="s">
        <v>577</v>
      </c>
      <c r="G475" s="104">
        <v>788.8771999999999</v>
      </c>
      <c r="H475" s="105">
        <v>1337.08</v>
      </c>
    </row>
    <row r="476" spans="1:8">
      <c r="A476" s="97">
        <v>38715</v>
      </c>
      <c r="B476" s="97" t="str">
        <f>TEXT($A476,"mmm")</f>
        <v>Dec</v>
      </c>
      <c r="C476" s="99" t="s">
        <v>79</v>
      </c>
      <c r="D476" s="99" t="s">
        <v>95</v>
      </c>
      <c r="E476" s="99" t="s">
        <v>158</v>
      </c>
      <c r="F476" s="99" t="s">
        <v>578</v>
      </c>
      <c r="G476" s="100">
        <v>687.20850000000007</v>
      </c>
      <c r="H476" s="101">
        <v>1249.47</v>
      </c>
    </row>
    <row r="477" spans="1:8">
      <c r="A477" s="102">
        <v>38715</v>
      </c>
      <c r="B477" s="102" t="str">
        <f>TEXT($A477,"mmm")</f>
        <v>Dec</v>
      </c>
      <c r="C477" s="103" t="s">
        <v>79</v>
      </c>
      <c r="D477" s="103" t="s">
        <v>98</v>
      </c>
      <c r="E477" s="103" t="s">
        <v>120</v>
      </c>
      <c r="F477" s="103" t="s">
        <v>211</v>
      </c>
      <c r="G477" s="104">
        <v>359.26359999999994</v>
      </c>
      <c r="H477" s="105">
        <v>619.41999999999996</v>
      </c>
    </row>
    <row r="478" spans="1:8">
      <c r="A478" s="97">
        <v>38715</v>
      </c>
      <c r="B478" s="97" t="str">
        <f>TEXT($A478,"mmm")</f>
        <v>Dec</v>
      </c>
      <c r="C478" s="99" t="s">
        <v>79</v>
      </c>
      <c r="D478" s="99" t="s">
        <v>98</v>
      </c>
      <c r="E478" s="99" t="s">
        <v>108</v>
      </c>
      <c r="F478" s="99" t="s">
        <v>579</v>
      </c>
      <c r="G478" s="100">
        <v>13.895999999999999</v>
      </c>
      <c r="H478" s="101">
        <v>30.88</v>
      </c>
    </row>
    <row r="479" spans="1:8">
      <c r="A479" s="102">
        <v>38714</v>
      </c>
      <c r="B479" s="102" t="str">
        <f>TEXT($A479,"mmm")</f>
        <v>Dec</v>
      </c>
      <c r="C479" s="103" t="s">
        <v>79</v>
      </c>
      <c r="D479" s="103" t="s">
        <v>95</v>
      </c>
      <c r="E479" s="103" t="s">
        <v>108</v>
      </c>
      <c r="F479" s="103" t="s">
        <v>580</v>
      </c>
      <c r="G479" s="104">
        <v>6404.2725000000009</v>
      </c>
      <c r="H479" s="105">
        <v>8539.0300000000007</v>
      </c>
    </row>
    <row r="480" spans="1:8">
      <c r="A480" s="97">
        <v>38714</v>
      </c>
      <c r="B480" s="97" t="str">
        <f>TEXT($A480,"mmm")</f>
        <v>Dec</v>
      </c>
      <c r="C480" s="99" t="s">
        <v>104</v>
      </c>
      <c r="D480" s="99" t="s">
        <v>127</v>
      </c>
      <c r="E480" s="99" t="s">
        <v>81</v>
      </c>
      <c r="F480" s="99" t="s">
        <v>581</v>
      </c>
      <c r="G480" s="100">
        <v>5129.13</v>
      </c>
      <c r="H480" s="101">
        <v>6838.84</v>
      </c>
    </row>
    <row r="481" spans="1:8">
      <c r="A481" s="102">
        <v>38714</v>
      </c>
      <c r="B481" s="102" t="str">
        <f>TEXT($A481,"mmm")</f>
        <v>Dec</v>
      </c>
      <c r="C481" s="103" t="s">
        <v>79</v>
      </c>
      <c r="D481" s="103" t="s">
        <v>80</v>
      </c>
      <c r="E481" s="103" t="s">
        <v>144</v>
      </c>
      <c r="F481" s="103" t="s">
        <v>582</v>
      </c>
      <c r="G481" s="104">
        <v>3728.6642999999999</v>
      </c>
      <c r="H481" s="105">
        <v>6319.77</v>
      </c>
    </row>
    <row r="482" spans="1:8">
      <c r="A482" s="97">
        <v>38714</v>
      </c>
      <c r="B482" s="97" t="str">
        <f>TEXT($A482,"mmm")</f>
        <v>Dec</v>
      </c>
      <c r="C482" s="99" t="s">
        <v>86</v>
      </c>
      <c r="D482" s="99" t="s">
        <v>98</v>
      </c>
      <c r="E482" s="99" t="s">
        <v>96</v>
      </c>
      <c r="F482" s="99" t="s">
        <v>583</v>
      </c>
      <c r="G482" s="100">
        <v>2215.5341000000003</v>
      </c>
      <c r="H482" s="101">
        <v>5987.93</v>
      </c>
    </row>
    <row r="483" spans="1:8">
      <c r="A483" s="102">
        <v>38714</v>
      </c>
      <c r="B483" s="102" t="str">
        <f>TEXT($A483,"mmm")</f>
        <v>Dec</v>
      </c>
      <c r="C483" s="103" t="s">
        <v>116</v>
      </c>
      <c r="D483" s="103" t="s">
        <v>87</v>
      </c>
      <c r="E483" s="103" t="s">
        <v>144</v>
      </c>
      <c r="F483" s="103" t="s">
        <v>584</v>
      </c>
      <c r="G483" s="104">
        <v>1774.5371</v>
      </c>
      <c r="H483" s="105">
        <v>3007.69</v>
      </c>
    </row>
    <row r="484" spans="1:8">
      <c r="A484" s="97">
        <v>38713</v>
      </c>
      <c r="B484" s="97" t="str">
        <f>TEXT($A484,"mmm")</f>
        <v>Dec</v>
      </c>
      <c r="C484" s="99" t="s">
        <v>107</v>
      </c>
      <c r="D484" s="99" t="s">
        <v>98</v>
      </c>
      <c r="E484" s="99" t="s">
        <v>93</v>
      </c>
      <c r="F484" s="99" t="s">
        <v>585</v>
      </c>
      <c r="G484" s="100">
        <v>6101.0960000000014</v>
      </c>
      <c r="H484" s="101">
        <v>8972.2000000000007</v>
      </c>
    </row>
    <row r="485" spans="1:8">
      <c r="A485" s="102">
        <v>38713</v>
      </c>
      <c r="B485" s="102" t="str">
        <f>TEXT($A485,"mmm")</f>
        <v>Dec</v>
      </c>
      <c r="C485" s="103" t="s">
        <v>116</v>
      </c>
      <c r="D485" s="103" t="s">
        <v>87</v>
      </c>
      <c r="E485" s="103" t="s">
        <v>96</v>
      </c>
      <c r="F485" s="103" t="s">
        <v>586</v>
      </c>
      <c r="G485" s="104">
        <v>2325.6495</v>
      </c>
      <c r="H485" s="105">
        <v>5168.1099999999997</v>
      </c>
    </row>
    <row r="486" spans="1:8">
      <c r="A486" s="97">
        <v>38713</v>
      </c>
      <c r="B486" s="97" t="str">
        <f>TEXT($A486,"mmm")</f>
        <v>Dec</v>
      </c>
      <c r="C486" s="99" t="s">
        <v>86</v>
      </c>
      <c r="D486" s="99" t="s">
        <v>127</v>
      </c>
      <c r="E486" s="99" t="s">
        <v>89</v>
      </c>
      <c r="F486" s="99" t="s">
        <v>587</v>
      </c>
      <c r="G486" s="100">
        <v>1270.9277999999999</v>
      </c>
      <c r="H486" s="101">
        <v>3434.94</v>
      </c>
    </row>
    <row r="487" spans="1:8">
      <c r="A487" s="102">
        <v>38713</v>
      </c>
      <c r="B487" s="102" t="str">
        <f>TEXT($A487,"mmm")</f>
        <v>Dec</v>
      </c>
      <c r="C487" s="103" t="s">
        <v>104</v>
      </c>
      <c r="D487" s="103" t="s">
        <v>101</v>
      </c>
      <c r="E487" s="103" t="s">
        <v>105</v>
      </c>
      <c r="F487" s="103" t="s">
        <v>588</v>
      </c>
      <c r="G487" s="104">
        <v>1390.5881000000002</v>
      </c>
      <c r="H487" s="105">
        <v>1487.26</v>
      </c>
    </row>
    <row r="488" spans="1:8">
      <c r="A488" s="97">
        <v>38712</v>
      </c>
      <c r="B488" s="97" t="str">
        <f>TEXT($A488,"mmm")</f>
        <v>Dec</v>
      </c>
      <c r="C488" s="99" t="s">
        <v>107</v>
      </c>
      <c r="D488" s="99" t="s">
        <v>101</v>
      </c>
      <c r="E488" s="99" t="s">
        <v>81</v>
      </c>
      <c r="F488" s="99" t="s">
        <v>589</v>
      </c>
      <c r="G488" s="100">
        <v>8598.605950000001</v>
      </c>
      <c r="H488" s="101">
        <v>9196.3700000000008</v>
      </c>
    </row>
    <row r="489" spans="1:8">
      <c r="A489" s="102">
        <v>38712</v>
      </c>
      <c r="B489" s="102" t="str">
        <f>TEXT($A489,"mmm")</f>
        <v>Dec</v>
      </c>
      <c r="C489" s="103" t="s">
        <v>79</v>
      </c>
      <c r="D489" s="103" t="s">
        <v>87</v>
      </c>
      <c r="E489" s="103" t="s">
        <v>105</v>
      </c>
      <c r="F489" s="103" t="s">
        <v>590</v>
      </c>
      <c r="G489" s="104">
        <v>5533.4048000000003</v>
      </c>
      <c r="H489" s="105">
        <v>5918.08</v>
      </c>
    </row>
    <row r="490" spans="1:8">
      <c r="A490" s="97">
        <v>38712</v>
      </c>
      <c r="B490" s="97" t="str">
        <f>TEXT($A490,"mmm")</f>
        <v>Dec</v>
      </c>
      <c r="C490" s="99" t="s">
        <v>79</v>
      </c>
      <c r="D490" s="99" t="s">
        <v>87</v>
      </c>
      <c r="E490" s="99" t="s">
        <v>83</v>
      </c>
      <c r="F490" s="99" t="s">
        <v>591</v>
      </c>
      <c r="G490" s="100">
        <v>3309.46</v>
      </c>
      <c r="H490" s="101">
        <v>3760.75</v>
      </c>
    </row>
    <row r="491" spans="1:8">
      <c r="A491" s="102">
        <v>38712</v>
      </c>
      <c r="B491" s="102" t="str">
        <f>TEXT($A491,"mmm")</f>
        <v>Dec</v>
      </c>
      <c r="C491" s="103" t="s">
        <v>107</v>
      </c>
      <c r="D491" s="103" t="s">
        <v>95</v>
      </c>
      <c r="E491" s="103" t="s">
        <v>93</v>
      </c>
      <c r="F491" s="103" t="s">
        <v>592</v>
      </c>
      <c r="G491" s="104">
        <v>1063.7899</v>
      </c>
      <c r="H491" s="105">
        <v>2473.9299999999998</v>
      </c>
    </row>
    <row r="492" spans="1:8">
      <c r="A492" s="97">
        <v>38711</v>
      </c>
      <c r="B492" s="97" t="str">
        <f>TEXT($A492,"mmm")</f>
        <v>Dec</v>
      </c>
      <c r="C492" s="99" t="s">
        <v>86</v>
      </c>
      <c r="D492" s="99" t="s">
        <v>92</v>
      </c>
      <c r="E492" s="99" t="s">
        <v>81</v>
      </c>
      <c r="F492" s="99" t="s">
        <v>593</v>
      </c>
      <c r="G492" s="100">
        <v>5914.3986000000004</v>
      </c>
      <c r="H492" s="101">
        <v>6325.56</v>
      </c>
    </row>
    <row r="493" spans="1:8">
      <c r="A493" s="102">
        <v>38711</v>
      </c>
      <c r="B493" s="102" t="str">
        <f>TEXT($A493,"mmm")</f>
        <v>Dec</v>
      </c>
      <c r="C493" s="103" t="s">
        <v>116</v>
      </c>
      <c r="D493" s="103" t="s">
        <v>98</v>
      </c>
      <c r="E493" s="103" t="s">
        <v>158</v>
      </c>
      <c r="F493" s="103" t="s">
        <v>594</v>
      </c>
      <c r="G493" s="104">
        <v>3106.86</v>
      </c>
      <c r="H493" s="105">
        <v>4142.4799999999996</v>
      </c>
    </row>
    <row r="494" spans="1:8">
      <c r="A494" s="97">
        <v>38711</v>
      </c>
      <c r="B494" s="97" t="str">
        <f>TEXT($A494,"mmm")</f>
        <v>Dec</v>
      </c>
      <c r="C494" s="99" t="s">
        <v>79</v>
      </c>
      <c r="D494" s="99" t="s">
        <v>127</v>
      </c>
      <c r="E494" s="99" t="s">
        <v>122</v>
      </c>
      <c r="F494" s="99" t="s">
        <v>595</v>
      </c>
      <c r="G494" s="100">
        <v>1812.1424999999999</v>
      </c>
      <c r="H494" s="101">
        <v>2416.19</v>
      </c>
    </row>
    <row r="495" spans="1:8">
      <c r="A495" s="102">
        <v>38709</v>
      </c>
      <c r="B495" s="102" t="str">
        <f>TEXT($A495,"mmm")</f>
        <v>Dec</v>
      </c>
      <c r="C495" s="103" t="s">
        <v>86</v>
      </c>
      <c r="D495" s="103" t="s">
        <v>98</v>
      </c>
      <c r="E495" s="103" t="s">
        <v>96</v>
      </c>
      <c r="F495" s="103" t="s">
        <v>596</v>
      </c>
      <c r="G495" s="104">
        <v>7134.1248000000005</v>
      </c>
      <c r="H495" s="105">
        <v>8106.96</v>
      </c>
    </row>
    <row r="496" spans="1:8">
      <c r="A496" s="97">
        <v>38709</v>
      </c>
      <c r="B496" s="97" t="str">
        <f>TEXT($A496,"mmm")</f>
        <v>Dec</v>
      </c>
      <c r="C496" s="99" t="s">
        <v>116</v>
      </c>
      <c r="D496" s="99" t="s">
        <v>87</v>
      </c>
      <c r="E496" s="99" t="s">
        <v>89</v>
      </c>
      <c r="F496" s="99" t="s">
        <v>597</v>
      </c>
      <c r="G496" s="100">
        <v>4489.32</v>
      </c>
      <c r="H496" s="101">
        <v>5985.76</v>
      </c>
    </row>
    <row r="497" spans="1:8">
      <c r="A497" s="102">
        <v>38709</v>
      </c>
      <c r="B497" s="102" t="str">
        <f>TEXT($A497,"mmm")</f>
        <v>Dec</v>
      </c>
      <c r="C497" s="103" t="s">
        <v>86</v>
      </c>
      <c r="D497" s="103" t="s">
        <v>80</v>
      </c>
      <c r="E497" s="103" t="s">
        <v>99</v>
      </c>
      <c r="F497" s="103" t="s">
        <v>598</v>
      </c>
      <c r="G497" s="104">
        <v>1609.9559999999999</v>
      </c>
      <c r="H497" s="105">
        <v>3577.68</v>
      </c>
    </row>
    <row r="498" spans="1:8">
      <c r="A498" s="97">
        <v>38708</v>
      </c>
      <c r="B498" s="97" t="str">
        <f>TEXT($A498,"mmm")</f>
        <v>Dec</v>
      </c>
      <c r="C498" s="99" t="s">
        <v>116</v>
      </c>
      <c r="D498" s="99" t="s">
        <v>114</v>
      </c>
      <c r="E498" s="99" t="s">
        <v>158</v>
      </c>
      <c r="F498" s="99" t="s">
        <v>599</v>
      </c>
      <c r="G498" s="100">
        <v>4847.2629999999999</v>
      </c>
      <c r="H498" s="101">
        <v>8215.7000000000007</v>
      </c>
    </row>
    <row r="499" spans="1:8">
      <c r="A499" s="102">
        <v>38708</v>
      </c>
      <c r="B499" s="102" t="str">
        <f>TEXT($A499,"mmm")</f>
        <v>Dec</v>
      </c>
      <c r="C499" s="103" t="s">
        <v>107</v>
      </c>
      <c r="D499" s="103" t="s">
        <v>80</v>
      </c>
      <c r="E499" s="103" t="s">
        <v>93</v>
      </c>
      <c r="F499" s="103" t="s">
        <v>600</v>
      </c>
      <c r="G499" s="104">
        <v>4382.9456</v>
      </c>
      <c r="H499" s="105">
        <v>4980.62</v>
      </c>
    </row>
    <row r="500" spans="1:8">
      <c r="A500" s="97">
        <v>38708</v>
      </c>
      <c r="B500" s="97" t="str">
        <f>TEXT($A500,"mmm")</f>
        <v>Dec</v>
      </c>
      <c r="C500" s="99" t="s">
        <v>79</v>
      </c>
      <c r="D500" s="99" t="s">
        <v>92</v>
      </c>
      <c r="E500" s="99" t="s">
        <v>105</v>
      </c>
      <c r="F500" s="99" t="s">
        <v>601</v>
      </c>
      <c r="G500" s="100">
        <v>2974.3004500000002</v>
      </c>
      <c r="H500" s="101">
        <v>3181.07</v>
      </c>
    </row>
    <row r="501" spans="1:8">
      <c r="A501" s="102">
        <v>38707</v>
      </c>
      <c r="B501" s="102" t="str">
        <f>TEXT($A501,"mmm")</f>
        <v>Dec</v>
      </c>
      <c r="C501" s="103" t="s">
        <v>86</v>
      </c>
      <c r="D501" s="103" t="s">
        <v>98</v>
      </c>
      <c r="E501" s="103" t="s">
        <v>94</v>
      </c>
      <c r="F501" s="103" t="s">
        <v>602</v>
      </c>
      <c r="G501" s="104">
        <v>2032.7170999999998</v>
      </c>
      <c r="H501" s="105">
        <v>5493.83</v>
      </c>
    </row>
    <row r="502" spans="1:8">
      <c r="A502" s="97">
        <v>38707</v>
      </c>
      <c r="B502" s="97" t="str">
        <f>TEXT($A502,"mmm")</f>
        <v>Dec</v>
      </c>
      <c r="C502" s="99" t="s">
        <v>116</v>
      </c>
      <c r="D502" s="99" t="s">
        <v>92</v>
      </c>
      <c r="E502" s="99" t="s">
        <v>94</v>
      </c>
      <c r="F502" s="99" t="s">
        <v>603</v>
      </c>
      <c r="G502" s="100">
        <v>189.27350000000001</v>
      </c>
      <c r="H502" s="101">
        <v>511.55</v>
      </c>
    </row>
    <row r="503" spans="1:8">
      <c r="A503" s="102">
        <v>38706</v>
      </c>
      <c r="B503" s="102" t="str">
        <f>TEXT($A503,"mmm")</f>
        <v>Dec</v>
      </c>
      <c r="C503" s="103" t="s">
        <v>104</v>
      </c>
      <c r="D503" s="103" t="s">
        <v>92</v>
      </c>
      <c r="E503" s="103" t="s">
        <v>99</v>
      </c>
      <c r="F503" s="103" t="s">
        <v>604</v>
      </c>
      <c r="G503" s="104">
        <v>5489.8360000000002</v>
      </c>
      <c r="H503" s="105">
        <v>6238.45</v>
      </c>
    </row>
    <row r="504" spans="1:8">
      <c r="A504" s="97">
        <v>38706</v>
      </c>
      <c r="B504" s="97" t="str">
        <f>TEXT($A504,"mmm")</f>
        <v>Dec</v>
      </c>
      <c r="C504" s="99" t="s">
        <v>104</v>
      </c>
      <c r="D504" s="99" t="s">
        <v>101</v>
      </c>
      <c r="E504" s="99" t="s">
        <v>89</v>
      </c>
      <c r="F504" s="99" t="s">
        <v>605</v>
      </c>
      <c r="G504" s="100">
        <v>2696.922</v>
      </c>
      <c r="H504" s="101">
        <v>5993.16</v>
      </c>
    </row>
    <row r="505" spans="1:8">
      <c r="A505" s="102">
        <v>38706</v>
      </c>
      <c r="B505" s="102" t="str">
        <f>TEXT($A505,"mmm")</f>
        <v>Dec</v>
      </c>
      <c r="C505" s="103" t="s">
        <v>79</v>
      </c>
      <c r="D505" s="103" t="s">
        <v>80</v>
      </c>
      <c r="E505" s="103" t="s">
        <v>122</v>
      </c>
      <c r="F505" s="103" t="s">
        <v>606</v>
      </c>
      <c r="G505" s="104">
        <v>2212.8230000000003</v>
      </c>
      <c r="H505" s="105">
        <v>5146.1000000000004</v>
      </c>
    </row>
    <row r="506" spans="1:8">
      <c r="A506" s="97">
        <v>38706</v>
      </c>
      <c r="B506" s="97" t="str">
        <f>TEXT($A506,"mmm")</f>
        <v>Dec</v>
      </c>
      <c r="C506" s="99" t="s">
        <v>79</v>
      </c>
      <c r="D506" s="99" t="s">
        <v>87</v>
      </c>
      <c r="E506" s="99" t="s">
        <v>129</v>
      </c>
      <c r="F506" s="99" t="s">
        <v>607</v>
      </c>
      <c r="G506" s="100">
        <v>653.47150000000011</v>
      </c>
      <c r="H506" s="101">
        <v>1188.1300000000001</v>
      </c>
    </row>
    <row r="507" spans="1:8">
      <c r="A507" s="102">
        <v>38706</v>
      </c>
      <c r="B507" s="102" t="str">
        <f>TEXT($A507,"mmm")</f>
        <v>Dec</v>
      </c>
      <c r="C507" s="103" t="s">
        <v>107</v>
      </c>
      <c r="D507" s="103" t="s">
        <v>87</v>
      </c>
      <c r="E507" s="103" t="s">
        <v>96</v>
      </c>
      <c r="F507" s="103" t="s">
        <v>608</v>
      </c>
      <c r="G507" s="104">
        <v>608.66359999999997</v>
      </c>
      <c r="H507" s="105">
        <v>1049.42</v>
      </c>
    </row>
    <row r="508" spans="1:8">
      <c r="A508" s="97">
        <v>38705</v>
      </c>
      <c r="B508" s="97" t="str">
        <f>TEXT($A508,"mmm")</f>
        <v>Dec</v>
      </c>
      <c r="C508" s="99" t="s">
        <v>104</v>
      </c>
      <c r="D508" s="99" t="s">
        <v>80</v>
      </c>
      <c r="E508" s="99" t="s">
        <v>122</v>
      </c>
      <c r="F508" s="99" t="s">
        <v>609</v>
      </c>
      <c r="G508" s="100">
        <v>5848.9125000000004</v>
      </c>
      <c r="H508" s="101">
        <v>7798.55</v>
      </c>
    </row>
    <row r="509" spans="1:8">
      <c r="A509" s="102">
        <v>38705</v>
      </c>
      <c r="B509" s="102" t="str">
        <f>TEXT($A509,"mmm")</f>
        <v>Dec</v>
      </c>
      <c r="C509" s="103" t="s">
        <v>116</v>
      </c>
      <c r="D509" s="103" t="s">
        <v>98</v>
      </c>
      <c r="E509" s="103" t="s">
        <v>94</v>
      </c>
      <c r="F509" s="103" t="s">
        <v>610</v>
      </c>
      <c r="G509" s="104">
        <v>2986.3084000000003</v>
      </c>
      <c r="H509" s="105">
        <v>4391.63</v>
      </c>
    </row>
    <row r="510" spans="1:8">
      <c r="A510" s="97">
        <v>38705</v>
      </c>
      <c r="B510" s="97" t="str">
        <f>TEXT($A510,"mmm")</f>
        <v>Dec</v>
      </c>
      <c r="C510" s="99" t="s">
        <v>104</v>
      </c>
      <c r="D510" s="99" t="s">
        <v>98</v>
      </c>
      <c r="E510" s="99" t="s">
        <v>129</v>
      </c>
      <c r="F510" s="99" t="s">
        <v>611</v>
      </c>
      <c r="G510" s="100">
        <v>1619.3485000000001</v>
      </c>
      <c r="H510" s="101">
        <v>2944.27</v>
      </c>
    </row>
    <row r="511" spans="1:8">
      <c r="A511" s="102">
        <v>38705</v>
      </c>
      <c r="B511" s="102" t="str">
        <f>TEXT($A511,"mmm")</f>
        <v>Dec</v>
      </c>
      <c r="C511" s="103" t="s">
        <v>116</v>
      </c>
      <c r="D511" s="103" t="s">
        <v>114</v>
      </c>
      <c r="E511" s="103" t="s">
        <v>89</v>
      </c>
      <c r="F511" s="103" t="s">
        <v>612</v>
      </c>
      <c r="G511" s="104">
        <v>1081.3165000000001</v>
      </c>
      <c r="H511" s="105">
        <v>1966.03</v>
      </c>
    </row>
    <row r="512" spans="1:8">
      <c r="A512" s="97">
        <v>38704</v>
      </c>
      <c r="B512" s="97" t="str">
        <f>TEXT($A512,"mmm")</f>
        <v>Dec</v>
      </c>
      <c r="C512" s="99" t="s">
        <v>107</v>
      </c>
      <c r="D512" s="99" t="s">
        <v>98</v>
      </c>
      <c r="E512" s="99" t="s">
        <v>93</v>
      </c>
      <c r="F512" s="99" t="s">
        <v>613</v>
      </c>
      <c r="G512" s="100">
        <v>3553.8092999999999</v>
      </c>
      <c r="H512" s="101">
        <v>9604.89</v>
      </c>
    </row>
    <row r="513" spans="1:8">
      <c r="A513" s="102">
        <v>38704</v>
      </c>
      <c r="B513" s="102" t="str">
        <f>TEXT($A513,"mmm")</f>
        <v>Dec</v>
      </c>
      <c r="C513" s="103" t="s">
        <v>116</v>
      </c>
      <c r="D513" s="103" t="s">
        <v>87</v>
      </c>
      <c r="E513" s="103" t="s">
        <v>122</v>
      </c>
      <c r="F513" s="103" t="s">
        <v>614</v>
      </c>
      <c r="G513" s="104">
        <v>4920.1225999999997</v>
      </c>
      <c r="H513" s="105">
        <v>8482.9699999999993</v>
      </c>
    </row>
    <row r="514" spans="1:8">
      <c r="A514" s="97">
        <v>38704</v>
      </c>
      <c r="B514" s="97" t="str">
        <f>TEXT($A514,"mmm")</f>
        <v>Dec</v>
      </c>
      <c r="C514" s="99" t="s">
        <v>104</v>
      </c>
      <c r="D514" s="99" t="s">
        <v>127</v>
      </c>
      <c r="E514" s="99" t="s">
        <v>144</v>
      </c>
      <c r="F514" s="99" t="s">
        <v>615</v>
      </c>
      <c r="G514" s="100">
        <v>829.79959999999994</v>
      </c>
      <c r="H514" s="101">
        <v>1406.44</v>
      </c>
    </row>
    <row r="515" spans="1:8">
      <c r="A515" s="102">
        <v>38703</v>
      </c>
      <c r="B515" s="102" t="str">
        <f>TEXT($A515,"mmm")</f>
        <v>Dec</v>
      </c>
      <c r="C515" s="103" t="s">
        <v>107</v>
      </c>
      <c r="D515" s="103" t="s">
        <v>98</v>
      </c>
      <c r="E515" s="103" t="s">
        <v>120</v>
      </c>
      <c r="F515" s="103" t="s">
        <v>616</v>
      </c>
      <c r="G515" s="104">
        <v>8077.5304500000002</v>
      </c>
      <c r="H515" s="105">
        <v>8639.07</v>
      </c>
    </row>
    <row r="516" spans="1:8">
      <c r="A516" s="97">
        <v>38703</v>
      </c>
      <c r="B516" s="97" t="str">
        <f>TEXT($A516,"mmm")</f>
        <v>Dec</v>
      </c>
      <c r="C516" s="99" t="s">
        <v>79</v>
      </c>
      <c r="D516" s="99" t="s">
        <v>101</v>
      </c>
      <c r="E516" s="99" t="s">
        <v>129</v>
      </c>
      <c r="F516" s="99" t="s">
        <v>617</v>
      </c>
      <c r="G516" s="100">
        <v>3549.915</v>
      </c>
      <c r="H516" s="101">
        <v>7888.7</v>
      </c>
    </row>
    <row r="517" spans="1:8">
      <c r="A517" s="102">
        <v>38703</v>
      </c>
      <c r="B517" s="102" t="str">
        <f>TEXT($A517,"mmm")</f>
        <v>Dec</v>
      </c>
      <c r="C517" s="103" t="s">
        <v>104</v>
      </c>
      <c r="D517" s="103" t="s">
        <v>95</v>
      </c>
      <c r="E517" s="103" t="s">
        <v>99</v>
      </c>
      <c r="F517" s="103" t="s">
        <v>618</v>
      </c>
      <c r="G517" s="104">
        <v>3823.4241999999999</v>
      </c>
      <c r="H517" s="105">
        <v>6480.38</v>
      </c>
    </row>
    <row r="518" spans="1:8">
      <c r="A518" s="97">
        <v>38703</v>
      </c>
      <c r="B518" s="97" t="str">
        <f>TEXT($A518,"mmm")</f>
        <v>Dec</v>
      </c>
      <c r="C518" s="99" t="s">
        <v>79</v>
      </c>
      <c r="D518" s="99" t="s">
        <v>127</v>
      </c>
      <c r="E518" s="99" t="s">
        <v>129</v>
      </c>
      <c r="F518" s="99" t="s">
        <v>619</v>
      </c>
      <c r="G518" s="100">
        <v>1693.7860000000001</v>
      </c>
      <c r="H518" s="101">
        <v>4577.8</v>
      </c>
    </row>
    <row r="519" spans="1:8">
      <c r="A519" s="102">
        <v>38703</v>
      </c>
      <c r="B519" s="102" t="str">
        <f>TEXT($A519,"mmm")</f>
        <v>Dec</v>
      </c>
      <c r="C519" s="103" t="s">
        <v>79</v>
      </c>
      <c r="D519" s="103" t="s">
        <v>127</v>
      </c>
      <c r="E519" s="103" t="s">
        <v>129</v>
      </c>
      <c r="F519" s="103" t="s">
        <v>620</v>
      </c>
      <c r="G519" s="104">
        <v>1382.0285999999999</v>
      </c>
      <c r="H519" s="105">
        <v>3214.02</v>
      </c>
    </row>
    <row r="520" spans="1:8">
      <c r="A520" s="97">
        <v>38703</v>
      </c>
      <c r="B520" s="97" t="str">
        <f>TEXT($A520,"mmm")</f>
        <v>Dec</v>
      </c>
      <c r="C520" s="99" t="s">
        <v>79</v>
      </c>
      <c r="D520" s="99" t="s">
        <v>101</v>
      </c>
      <c r="E520" s="99" t="s">
        <v>93</v>
      </c>
      <c r="F520" s="99" t="s">
        <v>621</v>
      </c>
      <c r="G520" s="100">
        <v>1528.835</v>
      </c>
      <c r="H520" s="101">
        <v>2779.7</v>
      </c>
    </row>
    <row r="521" spans="1:8">
      <c r="A521" s="102">
        <v>38703</v>
      </c>
      <c r="B521" s="102" t="str">
        <f>TEXT($A521,"mmm")</f>
        <v>Dec</v>
      </c>
      <c r="C521" s="103" t="s">
        <v>79</v>
      </c>
      <c r="D521" s="103" t="s">
        <v>95</v>
      </c>
      <c r="E521" s="103" t="s">
        <v>105</v>
      </c>
      <c r="F521" s="103" t="s">
        <v>622</v>
      </c>
      <c r="G521" s="104">
        <v>1496.0616</v>
      </c>
      <c r="H521" s="105">
        <v>1700.07</v>
      </c>
    </row>
    <row r="522" spans="1:8">
      <c r="A522" s="97">
        <v>38702</v>
      </c>
      <c r="B522" s="97" t="str">
        <f>TEXT($A522,"mmm")</f>
        <v>Dec</v>
      </c>
      <c r="C522" s="99" t="s">
        <v>116</v>
      </c>
      <c r="D522" s="99" t="s">
        <v>114</v>
      </c>
      <c r="E522" s="99" t="s">
        <v>93</v>
      </c>
      <c r="F522" s="99" t="s">
        <v>623</v>
      </c>
      <c r="G522" s="100">
        <v>3978.1851999999994</v>
      </c>
      <c r="H522" s="101">
        <v>6858.94</v>
      </c>
    </row>
    <row r="523" spans="1:8">
      <c r="A523" s="102">
        <v>38701</v>
      </c>
      <c r="B523" s="102" t="str">
        <f>TEXT($A523,"mmm")</f>
        <v>Dec</v>
      </c>
      <c r="C523" s="103" t="s">
        <v>86</v>
      </c>
      <c r="D523" s="103" t="s">
        <v>101</v>
      </c>
      <c r="E523" s="103" t="s">
        <v>158</v>
      </c>
      <c r="F523" s="103" t="s">
        <v>624</v>
      </c>
      <c r="G523" s="104">
        <v>5964</v>
      </c>
      <c r="H523" s="105">
        <v>7952</v>
      </c>
    </row>
    <row r="524" spans="1:8">
      <c r="A524" s="97">
        <v>38700</v>
      </c>
      <c r="B524" s="97" t="str">
        <f>TEXT($A524,"mmm")</f>
        <v>Dec</v>
      </c>
      <c r="C524" s="99" t="s">
        <v>86</v>
      </c>
      <c r="D524" s="99" t="s">
        <v>80</v>
      </c>
      <c r="E524" s="99" t="s">
        <v>83</v>
      </c>
      <c r="F524" s="99" t="s">
        <v>625</v>
      </c>
      <c r="G524" s="100">
        <v>3963.24</v>
      </c>
      <c r="H524" s="101">
        <v>8807.2000000000007</v>
      </c>
    </row>
    <row r="525" spans="1:8">
      <c r="A525" s="102">
        <v>38700</v>
      </c>
      <c r="B525" s="102" t="str">
        <f>TEXT($A525,"mmm")</f>
        <v>Dec</v>
      </c>
      <c r="C525" s="103" t="s">
        <v>79</v>
      </c>
      <c r="D525" s="103" t="s">
        <v>98</v>
      </c>
      <c r="E525" s="103" t="s">
        <v>83</v>
      </c>
      <c r="F525" s="103" t="s">
        <v>626</v>
      </c>
      <c r="G525" s="104">
        <v>2964.7575000000002</v>
      </c>
      <c r="H525" s="105">
        <v>6588.35</v>
      </c>
    </row>
    <row r="526" spans="1:8">
      <c r="A526" s="97">
        <v>38700</v>
      </c>
      <c r="B526" s="97" t="str">
        <f>TEXT($A526,"mmm")</f>
        <v>Dec</v>
      </c>
      <c r="C526" s="99" t="s">
        <v>104</v>
      </c>
      <c r="D526" s="99" t="s">
        <v>80</v>
      </c>
      <c r="E526" s="99" t="s">
        <v>144</v>
      </c>
      <c r="F526" s="99" t="s">
        <v>627</v>
      </c>
      <c r="G526" s="100">
        <v>2416.6485000000002</v>
      </c>
      <c r="H526" s="101">
        <v>5370.33</v>
      </c>
    </row>
    <row r="527" spans="1:8">
      <c r="A527" s="102">
        <v>38700</v>
      </c>
      <c r="B527" s="102" t="str">
        <f>TEXT($A527,"mmm")</f>
        <v>Dec</v>
      </c>
      <c r="C527" s="103" t="s">
        <v>79</v>
      </c>
      <c r="D527" s="103" t="s">
        <v>87</v>
      </c>
      <c r="E527" s="103" t="s">
        <v>83</v>
      </c>
      <c r="F527" s="103" t="s">
        <v>628</v>
      </c>
      <c r="G527" s="104">
        <v>947.63829999999996</v>
      </c>
      <c r="H527" s="105">
        <v>2203.81</v>
      </c>
    </row>
    <row r="528" spans="1:8">
      <c r="A528" s="97">
        <v>38700</v>
      </c>
      <c r="B528" s="97" t="str">
        <f>TEXT($A528,"mmm")</f>
        <v>Dec</v>
      </c>
      <c r="C528" s="99" t="s">
        <v>79</v>
      </c>
      <c r="D528" s="99" t="s">
        <v>95</v>
      </c>
      <c r="E528" s="99" t="s">
        <v>93</v>
      </c>
      <c r="F528" s="99" t="s">
        <v>629</v>
      </c>
      <c r="G528" s="100">
        <v>1066.2850000000001</v>
      </c>
      <c r="H528" s="101">
        <v>1938.7</v>
      </c>
    </row>
    <row r="529" spans="1:8">
      <c r="A529" s="102">
        <v>38699</v>
      </c>
      <c r="B529" s="102" t="str">
        <f>TEXT($A529,"mmm")</f>
        <v>Dec</v>
      </c>
      <c r="C529" s="103" t="s">
        <v>104</v>
      </c>
      <c r="D529" s="103" t="s">
        <v>114</v>
      </c>
      <c r="E529" s="103" t="s">
        <v>105</v>
      </c>
      <c r="F529" s="103" t="s">
        <v>630</v>
      </c>
      <c r="G529" s="104">
        <v>3799.8368999999998</v>
      </c>
      <c r="H529" s="105">
        <v>8836.83</v>
      </c>
    </row>
    <row r="530" spans="1:8">
      <c r="A530" s="97">
        <v>38699</v>
      </c>
      <c r="B530" s="97" t="str">
        <f>TEXT($A530,"mmm")</f>
        <v>Dec</v>
      </c>
      <c r="C530" s="99" t="s">
        <v>86</v>
      </c>
      <c r="D530" s="99" t="s">
        <v>80</v>
      </c>
      <c r="E530" s="99" t="s">
        <v>105</v>
      </c>
      <c r="F530" s="99" t="s">
        <v>631</v>
      </c>
      <c r="G530" s="100">
        <v>1191.2445999999998</v>
      </c>
      <c r="H530" s="101">
        <v>2053.87</v>
      </c>
    </row>
    <row r="531" spans="1:8">
      <c r="A531" s="102">
        <v>38698</v>
      </c>
      <c r="B531" s="102" t="str">
        <f>TEXT($A531,"mmm")</f>
        <v>Dec</v>
      </c>
      <c r="C531" s="103" t="s">
        <v>86</v>
      </c>
      <c r="D531" s="103" t="s">
        <v>80</v>
      </c>
      <c r="E531" s="103" t="s">
        <v>96</v>
      </c>
      <c r="F531" s="103" t="s">
        <v>632</v>
      </c>
      <c r="G531" s="104">
        <v>2004.9227000000001</v>
      </c>
      <c r="H531" s="105">
        <v>5418.71</v>
      </c>
    </row>
    <row r="532" spans="1:8">
      <c r="A532" s="97">
        <v>38698</v>
      </c>
      <c r="B532" s="97" t="str">
        <f>TEXT($A532,"mmm")</f>
        <v>Dec</v>
      </c>
      <c r="C532" s="99" t="s">
        <v>86</v>
      </c>
      <c r="D532" s="99" t="s">
        <v>92</v>
      </c>
      <c r="E532" s="99" t="s">
        <v>120</v>
      </c>
      <c r="F532" s="99" t="s">
        <v>633</v>
      </c>
      <c r="G532" s="100">
        <v>1853.2217999999998</v>
      </c>
      <c r="H532" s="101">
        <v>3195.21</v>
      </c>
    </row>
    <row r="533" spans="1:8">
      <c r="A533" s="102">
        <v>38698</v>
      </c>
      <c r="B533" s="102" t="str">
        <f>TEXT($A533,"mmm")</f>
        <v>Dec</v>
      </c>
      <c r="C533" s="103" t="s">
        <v>79</v>
      </c>
      <c r="D533" s="103" t="s">
        <v>114</v>
      </c>
      <c r="E533" s="103" t="s">
        <v>89</v>
      </c>
      <c r="F533" s="103" t="s">
        <v>634</v>
      </c>
      <c r="G533" s="104">
        <v>92.275999999999996</v>
      </c>
      <c r="H533" s="105">
        <v>135.69999999999999</v>
      </c>
    </row>
    <row r="534" spans="1:8">
      <c r="A534" s="97">
        <v>38697</v>
      </c>
      <c r="B534" s="97" t="str">
        <f>TEXT($A534,"mmm")</f>
        <v>Dec</v>
      </c>
      <c r="C534" s="99" t="s">
        <v>79</v>
      </c>
      <c r="D534" s="99" t="s">
        <v>92</v>
      </c>
      <c r="E534" s="99" t="s">
        <v>94</v>
      </c>
      <c r="F534" s="99" t="s">
        <v>635</v>
      </c>
      <c r="G534" s="100">
        <v>3140.5781999999999</v>
      </c>
      <c r="H534" s="101">
        <v>5414.79</v>
      </c>
    </row>
    <row r="535" spans="1:8">
      <c r="A535" s="102">
        <v>38695</v>
      </c>
      <c r="B535" s="102" t="str">
        <f>TEXT($A535,"mmm")</f>
        <v>Dec</v>
      </c>
      <c r="C535" s="103" t="s">
        <v>116</v>
      </c>
      <c r="D535" s="103" t="s">
        <v>127</v>
      </c>
      <c r="E535" s="103" t="s">
        <v>93</v>
      </c>
      <c r="F535" s="103" t="s">
        <v>636</v>
      </c>
      <c r="G535" s="104">
        <v>6619.0860000000011</v>
      </c>
      <c r="H535" s="105">
        <v>9733.9500000000007</v>
      </c>
    </row>
    <row r="536" spans="1:8">
      <c r="A536" s="97">
        <v>38695</v>
      </c>
      <c r="B536" s="97" t="str">
        <f>TEXT($A536,"mmm")</f>
        <v>Dec</v>
      </c>
      <c r="C536" s="99" t="s">
        <v>104</v>
      </c>
      <c r="D536" s="99" t="s">
        <v>101</v>
      </c>
      <c r="E536" s="99" t="s">
        <v>99</v>
      </c>
      <c r="F536" s="99" t="s">
        <v>637</v>
      </c>
      <c r="G536" s="100">
        <v>6544.0144</v>
      </c>
      <c r="H536" s="101">
        <v>7436.38</v>
      </c>
    </row>
    <row r="537" spans="1:8">
      <c r="A537" s="102">
        <v>38695</v>
      </c>
      <c r="B537" s="102" t="str">
        <f>TEXT($A537,"mmm")</f>
        <v>Dec</v>
      </c>
      <c r="C537" s="103" t="s">
        <v>86</v>
      </c>
      <c r="D537" s="103" t="s">
        <v>87</v>
      </c>
      <c r="E537" s="103" t="s">
        <v>83</v>
      </c>
      <c r="F537" s="103" t="s">
        <v>638</v>
      </c>
      <c r="G537" s="104">
        <v>3923.2192</v>
      </c>
      <c r="H537" s="105">
        <v>5769.44</v>
      </c>
    </row>
    <row r="538" spans="1:8">
      <c r="A538" s="97">
        <v>38695</v>
      </c>
      <c r="B538" s="97" t="str">
        <f>TEXT($A538,"mmm")</f>
        <v>Dec</v>
      </c>
      <c r="C538" s="99" t="s">
        <v>79</v>
      </c>
      <c r="D538" s="99" t="s">
        <v>80</v>
      </c>
      <c r="E538" s="99" t="s">
        <v>83</v>
      </c>
      <c r="F538" s="99" t="s">
        <v>639</v>
      </c>
      <c r="G538" s="100">
        <v>1479.2355</v>
      </c>
      <c r="H538" s="101">
        <v>3287.19</v>
      </c>
    </row>
    <row r="539" spans="1:8">
      <c r="A539" s="102">
        <v>38693</v>
      </c>
      <c r="B539" s="102" t="str">
        <f>TEXT($A539,"mmm")</f>
        <v>Dec</v>
      </c>
      <c r="C539" s="103" t="s">
        <v>107</v>
      </c>
      <c r="D539" s="103" t="s">
        <v>87</v>
      </c>
      <c r="E539" s="103" t="s">
        <v>129</v>
      </c>
      <c r="F539" s="103" t="s">
        <v>640</v>
      </c>
      <c r="G539" s="104">
        <v>5858.1040999999996</v>
      </c>
      <c r="H539" s="105">
        <v>9928.99</v>
      </c>
    </row>
    <row r="540" spans="1:8">
      <c r="A540" s="97">
        <v>38693</v>
      </c>
      <c r="B540" s="97" t="str">
        <f>TEXT($A540,"mmm")</f>
        <v>Dec</v>
      </c>
      <c r="C540" s="99" t="s">
        <v>86</v>
      </c>
      <c r="D540" s="99" t="s">
        <v>92</v>
      </c>
      <c r="E540" s="99" t="s">
        <v>89</v>
      </c>
      <c r="F540" s="99" t="s">
        <v>641</v>
      </c>
      <c r="G540" s="100">
        <v>4050.9999000000003</v>
      </c>
      <c r="H540" s="101">
        <v>9420.93</v>
      </c>
    </row>
    <row r="541" spans="1:8">
      <c r="A541" s="102">
        <v>38693</v>
      </c>
      <c r="B541" s="102" t="str">
        <f>TEXT($A541,"mmm")</f>
        <v>Dec</v>
      </c>
      <c r="C541" s="103" t="s">
        <v>79</v>
      </c>
      <c r="D541" s="103" t="s">
        <v>101</v>
      </c>
      <c r="E541" s="103" t="s">
        <v>108</v>
      </c>
      <c r="F541" s="103" t="s">
        <v>642</v>
      </c>
      <c r="G541" s="104">
        <v>4257.4391999999998</v>
      </c>
      <c r="H541" s="105">
        <v>6260.94</v>
      </c>
    </row>
    <row r="542" spans="1:8">
      <c r="A542" s="97">
        <v>38693</v>
      </c>
      <c r="B542" s="97" t="str">
        <f>TEXT($A542,"mmm")</f>
        <v>Dec</v>
      </c>
      <c r="C542" s="99" t="s">
        <v>86</v>
      </c>
      <c r="D542" s="99" t="s">
        <v>92</v>
      </c>
      <c r="E542" s="99" t="s">
        <v>122</v>
      </c>
      <c r="F542" s="99" t="s">
        <v>643</v>
      </c>
      <c r="G542" s="100">
        <v>1857.4970000000001</v>
      </c>
      <c r="H542" s="101">
        <v>3148.3</v>
      </c>
    </row>
    <row r="543" spans="1:8">
      <c r="A543" s="102">
        <v>38692</v>
      </c>
      <c r="B543" s="102" t="str">
        <f>TEXT($A543,"mmm")</f>
        <v>Dec</v>
      </c>
      <c r="C543" s="103" t="s">
        <v>107</v>
      </c>
      <c r="D543" s="103" t="s">
        <v>98</v>
      </c>
      <c r="E543" s="103" t="s">
        <v>81</v>
      </c>
      <c r="F543" s="103" t="s">
        <v>644</v>
      </c>
      <c r="G543" s="104">
        <v>1518.2024999999999</v>
      </c>
      <c r="H543" s="105">
        <v>2024.27</v>
      </c>
    </row>
    <row r="544" spans="1:8">
      <c r="A544" s="97">
        <v>38691</v>
      </c>
      <c r="B544" s="97" t="str">
        <f>TEXT($A544,"mmm")</f>
        <v>Dec</v>
      </c>
      <c r="C544" s="99" t="s">
        <v>79</v>
      </c>
      <c r="D544" s="99" t="s">
        <v>80</v>
      </c>
      <c r="E544" s="99" t="s">
        <v>96</v>
      </c>
      <c r="F544" s="99" t="s">
        <v>645</v>
      </c>
      <c r="G544" s="100">
        <v>851.62159999999994</v>
      </c>
      <c r="H544" s="101">
        <v>2301.6799999999998</v>
      </c>
    </row>
    <row r="545" spans="1:8">
      <c r="A545" s="102">
        <v>38691</v>
      </c>
      <c r="B545" s="102" t="str">
        <f>TEXT($A545,"mmm")</f>
        <v>Dec</v>
      </c>
      <c r="C545" s="103" t="s">
        <v>79</v>
      </c>
      <c r="D545" s="103" t="s">
        <v>92</v>
      </c>
      <c r="E545" s="103" t="s">
        <v>96</v>
      </c>
      <c r="F545" s="103" t="s">
        <v>646</v>
      </c>
      <c r="G545" s="104">
        <v>1323.1163000000001</v>
      </c>
      <c r="H545" s="105">
        <v>2242.5700000000002</v>
      </c>
    </row>
    <row r="546" spans="1:8">
      <c r="A546" s="97">
        <v>38690</v>
      </c>
      <c r="B546" s="97" t="str">
        <f>TEXT($A546,"mmm")</f>
        <v>Dec</v>
      </c>
      <c r="C546" s="99" t="s">
        <v>116</v>
      </c>
      <c r="D546" s="99" t="s">
        <v>98</v>
      </c>
      <c r="E546" s="99" t="s">
        <v>94</v>
      </c>
      <c r="F546" s="99" t="s">
        <v>171</v>
      </c>
      <c r="G546" s="100">
        <v>2741.0130000000004</v>
      </c>
      <c r="H546" s="101">
        <v>6091.14</v>
      </c>
    </row>
    <row r="547" spans="1:8">
      <c r="A547" s="102">
        <v>38690</v>
      </c>
      <c r="B547" s="102" t="str">
        <f>TEXT($A547,"mmm")</f>
        <v>Dec</v>
      </c>
      <c r="C547" s="103" t="s">
        <v>79</v>
      </c>
      <c r="D547" s="103" t="s">
        <v>95</v>
      </c>
      <c r="E547" s="103" t="s">
        <v>81</v>
      </c>
      <c r="F547" s="103" t="s">
        <v>647</v>
      </c>
      <c r="G547" s="104">
        <v>5219.7310000000007</v>
      </c>
      <c r="H547" s="105">
        <v>5582.6</v>
      </c>
    </row>
    <row r="548" spans="1:8">
      <c r="A548" s="97">
        <v>38690</v>
      </c>
      <c r="B548" s="97" t="str">
        <f>TEXT($A548,"mmm")</f>
        <v>Dec</v>
      </c>
      <c r="C548" s="99" t="s">
        <v>79</v>
      </c>
      <c r="D548" s="99" t="s">
        <v>98</v>
      </c>
      <c r="E548" s="99" t="s">
        <v>99</v>
      </c>
      <c r="F548" s="99" t="s">
        <v>648</v>
      </c>
      <c r="G548" s="100">
        <v>5053.6095500000001</v>
      </c>
      <c r="H548" s="101">
        <v>5404.93</v>
      </c>
    </row>
    <row r="549" spans="1:8">
      <c r="A549" s="102">
        <v>38690</v>
      </c>
      <c r="B549" s="102" t="str">
        <f>TEXT($A549,"mmm")</f>
        <v>Dec</v>
      </c>
      <c r="C549" s="103" t="s">
        <v>79</v>
      </c>
      <c r="D549" s="103" t="s">
        <v>127</v>
      </c>
      <c r="E549" s="103" t="s">
        <v>122</v>
      </c>
      <c r="F549" s="103" t="s">
        <v>649</v>
      </c>
      <c r="G549" s="104">
        <v>3171.5980999999997</v>
      </c>
      <c r="H549" s="105">
        <v>5375.59</v>
      </c>
    </row>
    <row r="550" spans="1:8">
      <c r="A550" s="97">
        <v>38690</v>
      </c>
      <c r="B550" s="97" t="str">
        <f>TEXT($A550,"mmm")</f>
        <v>Dec</v>
      </c>
      <c r="C550" s="99" t="s">
        <v>79</v>
      </c>
      <c r="D550" s="99" t="s">
        <v>101</v>
      </c>
      <c r="E550" s="99" t="s">
        <v>89</v>
      </c>
      <c r="F550" s="99" t="s">
        <v>650</v>
      </c>
      <c r="G550" s="100">
        <v>2348.5953</v>
      </c>
      <c r="H550" s="101">
        <v>3980.67</v>
      </c>
    </row>
    <row r="551" spans="1:8">
      <c r="A551" s="102">
        <v>38689</v>
      </c>
      <c r="B551" s="102" t="str">
        <f>TEXT($A551,"mmm")</f>
        <v>Dec</v>
      </c>
      <c r="C551" s="103" t="s">
        <v>107</v>
      </c>
      <c r="D551" s="103" t="s">
        <v>98</v>
      </c>
      <c r="E551" s="103" t="s">
        <v>105</v>
      </c>
      <c r="F551" s="103" t="s">
        <v>651</v>
      </c>
      <c r="G551" s="104">
        <v>2650.3393999999998</v>
      </c>
      <c r="H551" s="105">
        <v>6163.58</v>
      </c>
    </row>
    <row r="552" spans="1:8">
      <c r="A552" s="97">
        <v>38689</v>
      </c>
      <c r="B552" s="97" t="str">
        <f>TEXT($A552,"mmm")</f>
        <v>Dec</v>
      </c>
      <c r="C552" s="99" t="s">
        <v>107</v>
      </c>
      <c r="D552" s="99" t="s">
        <v>95</v>
      </c>
      <c r="E552" s="99" t="s">
        <v>81</v>
      </c>
      <c r="F552" s="99" t="s">
        <v>652</v>
      </c>
      <c r="G552" s="100">
        <v>2314.6083000000003</v>
      </c>
      <c r="H552" s="101">
        <v>5382.81</v>
      </c>
    </row>
    <row r="553" spans="1:8">
      <c r="A553" s="102">
        <v>38689</v>
      </c>
      <c r="B553" s="102" t="str">
        <f>TEXT($A553,"mmm")</f>
        <v>Dec</v>
      </c>
      <c r="C553" s="103" t="s">
        <v>104</v>
      </c>
      <c r="D553" s="103" t="s">
        <v>80</v>
      </c>
      <c r="E553" s="103" t="s">
        <v>158</v>
      </c>
      <c r="F553" s="103" t="s">
        <v>653</v>
      </c>
      <c r="G553" s="104">
        <v>2044.5682999999999</v>
      </c>
      <c r="H553" s="105">
        <v>3465.37</v>
      </c>
    </row>
    <row r="554" spans="1:8">
      <c r="A554" s="97">
        <v>38689</v>
      </c>
      <c r="B554" s="97" t="str">
        <f>TEXT($A554,"mmm")</f>
        <v>Dec</v>
      </c>
      <c r="C554" s="99" t="s">
        <v>79</v>
      </c>
      <c r="D554" s="99" t="s">
        <v>98</v>
      </c>
      <c r="E554" s="99" t="s">
        <v>93</v>
      </c>
      <c r="F554" s="99" t="s">
        <v>654</v>
      </c>
      <c r="G554" s="100">
        <v>1011.2484000000002</v>
      </c>
      <c r="H554" s="101">
        <v>1487.13</v>
      </c>
    </row>
    <row r="555" spans="1:8">
      <c r="A555" s="102">
        <v>38688</v>
      </c>
      <c r="B555" s="102" t="str">
        <f>TEXT($A555,"mmm")</f>
        <v>Dec</v>
      </c>
      <c r="C555" s="103" t="s">
        <v>86</v>
      </c>
      <c r="D555" s="103" t="s">
        <v>80</v>
      </c>
      <c r="E555" s="103" t="s">
        <v>129</v>
      </c>
      <c r="F555" s="103" t="s">
        <v>655</v>
      </c>
      <c r="G555" s="104">
        <v>3290.2645999999995</v>
      </c>
      <c r="H555" s="105">
        <v>5672.87</v>
      </c>
    </row>
    <row r="556" spans="1:8">
      <c r="A556" s="97">
        <v>38688</v>
      </c>
      <c r="B556" s="97" t="str">
        <f>TEXT($A556,"mmm")</f>
        <v>Dec</v>
      </c>
      <c r="C556" s="99" t="s">
        <v>79</v>
      </c>
      <c r="D556" s="99" t="s">
        <v>114</v>
      </c>
      <c r="E556" s="99" t="s">
        <v>129</v>
      </c>
      <c r="F556" s="99" t="s">
        <v>656</v>
      </c>
      <c r="G556" s="100">
        <v>2579.6320000000001</v>
      </c>
      <c r="H556" s="101">
        <v>4690.24</v>
      </c>
    </row>
    <row r="557" spans="1:8">
      <c r="A557" s="102">
        <v>38687</v>
      </c>
      <c r="B557" s="102" t="str">
        <f>TEXT($A557,"mmm")</f>
        <v>Dec</v>
      </c>
      <c r="C557" s="103" t="s">
        <v>86</v>
      </c>
      <c r="D557" s="103" t="s">
        <v>98</v>
      </c>
      <c r="E557" s="103" t="s">
        <v>129</v>
      </c>
      <c r="F557" s="103" t="s">
        <v>657</v>
      </c>
      <c r="G557" s="104">
        <v>5728.7471999999998</v>
      </c>
      <c r="H557" s="105">
        <v>6509.94</v>
      </c>
    </row>
    <row r="558" spans="1:8">
      <c r="A558" s="97">
        <v>38687</v>
      </c>
      <c r="B558" s="97" t="str">
        <f>TEXT($A558,"mmm")</f>
        <v>Dec</v>
      </c>
      <c r="C558" s="99" t="s">
        <v>79</v>
      </c>
      <c r="D558" s="99" t="s">
        <v>95</v>
      </c>
      <c r="E558" s="99" t="s">
        <v>158</v>
      </c>
      <c r="F558" s="99" t="s">
        <v>658</v>
      </c>
      <c r="G558" s="100">
        <v>3436.89</v>
      </c>
      <c r="H558" s="101">
        <v>4582.5200000000004</v>
      </c>
    </row>
    <row r="559" spans="1:8">
      <c r="A559" s="102">
        <v>38687</v>
      </c>
      <c r="B559" s="102" t="str">
        <f>TEXT($A559,"mmm")</f>
        <v>Dec</v>
      </c>
      <c r="C559" s="103" t="s">
        <v>107</v>
      </c>
      <c r="D559" s="103" t="s">
        <v>87</v>
      </c>
      <c r="E559" s="103" t="s">
        <v>108</v>
      </c>
      <c r="F559" s="103" t="s">
        <v>659</v>
      </c>
      <c r="G559" s="104">
        <v>1459.52565</v>
      </c>
      <c r="H559" s="105">
        <v>1560.99</v>
      </c>
    </row>
    <row r="560" spans="1:8">
      <c r="A560" s="97">
        <v>38686</v>
      </c>
      <c r="B560" s="97" t="str">
        <f>TEXT($A560,"mmm")</f>
        <v>Nov</v>
      </c>
      <c r="C560" s="99" t="s">
        <v>86</v>
      </c>
      <c r="D560" s="99" t="s">
        <v>114</v>
      </c>
      <c r="E560" s="99" t="s">
        <v>96</v>
      </c>
      <c r="F560" s="99" t="s">
        <v>660</v>
      </c>
      <c r="G560" s="100">
        <v>1279.4209000000001</v>
      </c>
      <c r="H560" s="101">
        <v>2168.5100000000002</v>
      </c>
    </row>
    <row r="561" spans="1:8">
      <c r="A561" s="102">
        <v>38686</v>
      </c>
      <c r="B561" s="102" t="str">
        <f>TEXT($A561,"mmm")</f>
        <v>Nov</v>
      </c>
      <c r="C561" s="103" t="s">
        <v>79</v>
      </c>
      <c r="D561" s="103" t="s">
        <v>95</v>
      </c>
      <c r="E561" s="103" t="s">
        <v>96</v>
      </c>
      <c r="F561" s="103" t="s">
        <v>661</v>
      </c>
      <c r="G561" s="104">
        <v>218.4443</v>
      </c>
      <c r="H561" s="105">
        <v>508.01</v>
      </c>
    </row>
    <row r="562" spans="1:8">
      <c r="A562" s="97">
        <v>38685</v>
      </c>
      <c r="B562" s="97" t="str">
        <f>TEXT($A562,"mmm")</f>
        <v>Nov</v>
      </c>
      <c r="C562" s="99" t="s">
        <v>107</v>
      </c>
      <c r="D562" s="99" t="s">
        <v>95</v>
      </c>
      <c r="E562" s="99" t="s">
        <v>120</v>
      </c>
      <c r="F562" s="99" t="s">
        <v>662</v>
      </c>
      <c r="G562" s="100">
        <v>840.7795000000001</v>
      </c>
      <c r="H562" s="101">
        <v>1528.69</v>
      </c>
    </row>
    <row r="563" spans="1:8">
      <c r="A563" s="102">
        <v>38684</v>
      </c>
      <c r="B563" s="102" t="str">
        <f>TEXT($A563,"mmm")</f>
        <v>Nov</v>
      </c>
      <c r="C563" s="103" t="s">
        <v>79</v>
      </c>
      <c r="D563" s="103" t="s">
        <v>114</v>
      </c>
      <c r="E563" s="103" t="s">
        <v>89</v>
      </c>
      <c r="F563" s="103" t="s">
        <v>663</v>
      </c>
      <c r="G563" s="104">
        <v>150.73850000000002</v>
      </c>
      <c r="H563" s="105">
        <v>274.07</v>
      </c>
    </row>
    <row r="564" spans="1:8">
      <c r="A564" s="97">
        <v>38683</v>
      </c>
      <c r="B564" s="97" t="str">
        <f>TEXT($A564,"mmm")</f>
        <v>Nov</v>
      </c>
      <c r="C564" s="99" t="s">
        <v>86</v>
      </c>
      <c r="D564" s="99" t="s">
        <v>127</v>
      </c>
      <c r="E564" s="99" t="s">
        <v>144</v>
      </c>
      <c r="F564" s="99" t="s">
        <v>664</v>
      </c>
      <c r="G564" s="100">
        <v>1483.9257</v>
      </c>
      <c r="H564" s="101">
        <v>4010.61</v>
      </c>
    </row>
    <row r="565" spans="1:8">
      <c r="A565" s="102">
        <v>38683</v>
      </c>
      <c r="B565" s="102" t="str">
        <f>TEXT($A565,"mmm")</f>
        <v>Nov</v>
      </c>
      <c r="C565" s="103" t="s">
        <v>86</v>
      </c>
      <c r="D565" s="103" t="s">
        <v>114</v>
      </c>
      <c r="E565" s="103" t="s">
        <v>144</v>
      </c>
      <c r="F565" s="103" t="s">
        <v>665</v>
      </c>
      <c r="G565" s="104">
        <v>1173.8271999999999</v>
      </c>
      <c r="H565" s="105">
        <v>2023.84</v>
      </c>
    </row>
    <row r="566" spans="1:8">
      <c r="A566" s="97">
        <v>38682</v>
      </c>
      <c r="B566" s="97" t="str">
        <f>TEXT($A566,"mmm")</f>
        <v>Nov</v>
      </c>
      <c r="C566" s="99" t="s">
        <v>107</v>
      </c>
      <c r="D566" s="99" t="s">
        <v>80</v>
      </c>
      <c r="E566" s="99" t="s">
        <v>158</v>
      </c>
      <c r="F566" s="99" t="s">
        <v>666</v>
      </c>
      <c r="G566" s="100">
        <v>3184.4638999999997</v>
      </c>
      <c r="H566" s="101">
        <v>7405.73</v>
      </c>
    </row>
    <row r="567" spans="1:8">
      <c r="A567" s="102">
        <v>38681</v>
      </c>
      <c r="B567" s="102" t="str">
        <f>TEXT($A567,"mmm")</f>
        <v>Nov</v>
      </c>
      <c r="C567" s="103" t="s">
        <v>116</v>
      </c>
      <c r="D567" s="103" t="s">
        <v>92</v>
      </c>
      <c r="E567" s="103" t="s">
        <v>158</v>
      </c>
      <c r="F567" s="103" t="s">
        <v>667</v>
      </c>
      <c r="G567" s="104">
        <v>4280.7875999999997</v>
      </c>
      <c r="H567" s="105">
        <v>9955.32</v>
      </c>
    </row>
    <row r="568" spans="1:8">
      <c r="A568" s="97">
        <v>38681</v>
      </c>
      <c r="B568" s="97" t="str">
        <f>TEXT($A568,"mmm")</f>
        <v>Nov</v>
      </c>
      <c r="C568" s="99" t="s">
        <v>107</v>
      </c>
      <c r="D568" s="99" t="s">
        <v>98</v>
      </c>
      <c r="E568" s="99" t="s">
        <v>105</v>
      </c>
      <c r="F568" s="99" t="s">
        <v>668</v>
      </c>
      <c r="G568" s="100">
        <v>3202.8527999999997</v>
      </c>
      <c r="H568" s="101">
        <v>5522.16</v>
      </c>
    </row>
    <row r="569" spans="1:8">
      <c r="A569" s="102">
        <v>38680</v>
      </c>
      <c r="B569" s="102" t="str">
        <f>TEXT($A569,"mmm")</f>
        <v>Nov</v>
      </c>
      <c r="C569" s="103" t="s">
        <v>116</v>
      </c>
      <c r="D569" s="103" t="s">
        <v>80</v>
      </c>
      <c r="E569" s="103" t="s">
        <v>94</v>
      </c>
      <c r="F569" s="103" t="s">
        <v>669</v>
      </c>
      <c r="G569" s="104">
        <v>8476.7232000000004</v>
      </c>
      <c r="H569" s="105">
        <v>9632.64</v>
      </c>
    </row>
    <row r="570" spans="1:8">
      <c r="A570" s="97">
        <v>38680</v>
      </c>
      <c r="B570" s="97" t="str">
        <f>TEXT($A570,"mmm")</f>
        <v>Nov</v>
      </c>
      <c r="C570" s="99" t="s">
        <v>107</v>
      </c>
      <c r="D570" s="99" t="s">
        <v>98</v>
      </c>
      <c r="E570" s="99" t="s">
        <v>129</v>
      </c>
      <c r="F570" s="99" t="s">
        <v>670</v>
      </c>
      <c r="G570" s="100">
        <v>3269.8447000000001</v>
      </c>
      <c r="H570" s="101">
        <v>7604.29</v>
      </c>
    </row>
    <row r="571" spans="1:8">
      <c r="A571" s="102">
        <v>38680</v>
      </c>
      <c r="B571" s="102" t="str">
        <f>TEXT($A571,"mmm")</f>
        <v>Nov</v>
      </c>
      <c r="C571" s="103" t="s">
        <v>79</v>
      </c>
      <c r="D571" s="103" t="s">
        <v>95</v>
      </c>
      <c r="E571" s="103" t="s">
        <v>122</v>
      </c>
      <c r="F571" s="103" t="s">
        <v>671</v>
      </c>
      <c r="G571" s="104">
        <v>2959.0962</v>
      </c>
      <c r="H571" s="105">
        <v>5101.8900000000003</v>
      </c>
    </row>
    <row r="572" spans="1:8">
      <c r="A572" s="97">
        <v>38680</v>
      </c>
      <c r="B572" s="97" t="str">
        <f>TEXT($A572,"mmm")</f>
        <v>Nov</v>
      </c>
      <c r="C572" s="99" t="s">
        <v>116</v>
      </c>
      <c r="D572" s="99" t="s">
        <v>87</v>
      </c>
      <c r="E572" s="99" t="s">
        <v>122</v>
      </c>
      <c r="F572" s="99" t="s">
        <v>672</v>
      </c>
      <c r="G572" s="100">
        <v>3276.3989500000002</v>
      </c>
      <c r="H572" s="101">
        <v>3504.17</v>
      </c>
    </row>
    <row r="573" spans="1:8">
      <c r="A573" s="102">
        <v>38680</v>
      </c>
      <c r="B573" s="102" t="str">
        <f>TEXT($A573,"mmm")</f>
        <v>Nov</v>
      </c>
      <c r="C573" s="103" t="s">
        <v>86</v>
      </c>
      <c r="D573" s="103" t="s">
        <v>127</v>
      </c>
      <c r="E573" s="103" t="s">
        <v>158</v>
      </c>
      <c r="F573" s="103" t="s">
        <v>673</v>
      </c>
      <c r="G573" s="104">
        <v>744.48440000000005</v>
      </c>
      <c r="H573" s="105">
        <v>1094.83</v>
      </c>
    </row>
    <row r="574" spans="1:8">
      <c r="A574" s="97">
        <v>38679</v>
      </c>
      <c r="B574" s="97" t="str">
        <f>TEXT($A574,"mmm")</f>
        <v>Nov</v>
      </c>
      <c r="C574" s="99" t="s">
        <v>79</v>
      </c>
      <c r="D574" s="99" t="s">
        <v>101</v>
      </c>
      <c r="E574" s="99" t="s">
        <v>108</v>
      </c>
      <c r="F574" s="99" t="s">
        <v>674</v>
      </c>
      <c r="G574" s="100">
        <v>3256.9667999999997</v>
      </c>
      <c r="H574" s="101">
        <v>5615.46</v>
      </c>
    </row>
    <row r="575" spans="1:8">
      <c r="A575" s="102">
        <v>38679</v>
      </c>
      <c r="B575" s="102" t="str">
        <f>TEXT($A575,"mmm")</f>
        <v>Nov</v>
      </c>
      <c r="C575" s="103" t="s">
        <v>79</v>
      </c>
      <c r="D575" s="103" t="s">
        <v>114</v>
      </c>
      <c r="E575" s="103" t="s">
        <v>83</v>
      </c>
      <c r="F575" s="103" t="s">
        <v>675</v>
      </c>
      <c r="G575" s="104">
        <v>3666.6375000000003</v>
      </c>
      <c r="H575" s="105">
        <v>4888.8500000000004</v>
      </c>
    </row>
    <row r="576" spans="1:8">
      <c r="A576" s="97">
        <v>38679</v>
      </c>
      <c r="B576" s="97" t="str">
        <f>TEXT($A576,"mmm")</f>
        <v>Nov</v>
      </c>
      <c r="C576" s="99" t="s">
        <v>107</v>
      </c>
      <c r="D576" s="99" t="s">
        <v>127</v>
      </c>
      <c r="E576" s="99" t="s">
        <v>108</v>
      </c>
      <c r="F576" s="99" t="s">
        <v>676</v>
      </c>
      <c r="G576" s="100">
        <v>1103.6693</v>
      </c>
      <c r="H576" s="101">
        <v>2982.89</v>
      </c>
    </row>
    <row r="577" spans="1:8">
      <c r="A577" s="102">
        <v>38678</v>
      </c>
      <c r="B577" s="102" t="str">
        <f>TEXT($A577,"mmm")</f>
        <v>Nov</v>
      </c>
      <c r="C577" s="103" t="s">
        <v>79</v>
      </c>
      <c r="D577" s="103" t="s">
        <v>92</v>
      </c>
      <c r="E577" s="103" t="s">
        <v>93</v>
      </c>
      <c r="F577" s="103" t="s">
        <v>677</v>
      </c>
      <c r="G577" s="104">
        <v>5646.1288999999988</v>
      </c>
      <c r="H577" s="105">
        <v>9569.7099999999991</v>
      </c>
    </row>
    <row r="578" spans="1:8">
      <c r="A578" s="97">
        <v>38678</v>
      </c>
      <c r="B578" s="97" t="str">
        <f>TEXT($A578,"mmm")</f>
        <v>Nov</v>
      </c>
      <c r="C578" s="99" t="s">
        <v>104</v>
      </c>
      <c r="D578" s="99" t="s">
        <v>92</v>
      </c>
      <c r="E578" s="99" t="s">
        <v>83</v>
      </c>
      <c r="F578" s="99" t="s">
        <v>678</v>
      </c>
      <c r="G578" s="100">
        <v>5273.7960000000003</v>
      </c>
      <c r="H578" s="101">
        <v>5992.95</v>
      </c>
    </row>
    <row r="579" spans="1:8">
      <c r="A579" s="102">
        <v>38678</v>
      </c>
      <c r="B579" s="102" t="str">
        <f>TEXT($A579,"mmm")</f>
        <v>Nov</v>
      </c>
      <c r="C579" s="103" t="s">
        <v>116</v>
      </c>
      <c r="D579" s="103" t="s">
        <v>101</v>
      </c>
      <c r="E579" s="103" t="s">
        <v>122</v>
      </c>
      <c r="F579" s="103" t="s">
        <v>679</v>
      </c>
      <c r="G579" s="104">
        <v>1014.3213999999999</v>
      </c>
      <c r="H579" s="105">
        <v>1748.83</v>
      </c>
    </row>
    <row r="580" spans="1:8">
      <c r="A580" s="97">
        <v>38677</v>
      </c>
      <c r="B580" s="97" t="str">
        <f>TEXT($A580,"mmm")</f>
        <v>Nov</v>
      </c>
      <c r="C580" s="99" t="s">
        <v>79</v>
      </c>
      <c r="D580" s="99" t="s">
        <v>127</v>
      </c>
      <c r="E580" s="99" t="s">
        <v>93</v>
      </c>
      <c r="F580" s="99" t="s">
        <v>680</v>
      </c>
      <c r="G580" s="100">
        <v>3180.8159999999998</v>
      </c>
      <c r="H580" s="101">
        <v>8596.7999999999993</v>
      </c>
    </row>
    <row r="581" spans="1:8">
      <c r="A581" s="102">
        <v>38677</v>
      </c>
      <c r="B581" s="102" t="str">
        <f>TEXT($A581,"mmm")</f>
        <v>Nov</v>
      </c>
      <c r="C581" s="103" t="s">
        <v>104</v>
      </c>
      <c r="D581" s="103" t="s">
        <v>80</v>
      </c>
      <c r="E581" s="103" t="s">
        <v>81</v>
      </c>
      <c r="F581" s="103" t="s">
        <v>681</v>
      </c>
      <c r="G581" s="104">
        <v>1768.9535999999998</v>
      </c>
      <c r="H581" s="105">
        <v>3049.92</v>
      </c>
    </row>
    <row r="582" spans="1:8">
      <c r="A582" s="97">
        <v>38677</v>
      </c>
      <c r="B582" s="97" t="str">
        <f>TEXT($A582,"mmm")</f>
        <v>Nov</v>
      </c>
      <c r="C582" s="99" t="s">
        <v>104</v>
      </c>
      <c r="D582" s="99" t="s">
        <v>95</v>
      </c>
      <c r="E582" s="99" t="s">
        <v>122</v>
      </c>
      <c r="F582" s="99" t="s">
        <v>682</v>
      </c>
      <c r="G582" s="100">
        <v>396.89530000000002</v>
      </c>
      <c r="H582" s="101">
        <v>1072.69</v>
      </c>
    </row>
    <row r="583" spans="1:8">
      <c r="A583" s="102">
        <v>38676</v>
      </c>
      <c r="B583" s="102" t="str">
        <f>TEXT($A583,"mmm")</f>
        <v>Nov</v>
      </c>
      <c r="C583" s="103" t="s">
        <v>107</v>
      </c>
      <c r="D583" s="103" t="s">
        <v>95</v>
      </c>
      <c r="E583" s="103" t="s">
        <v>83</v>
      </c>
      <c r="F583" s="103" t="s">
        <v>683</v>
      </c>
      <c r="G583" s="104">
        <v>6202.6778000000004</v>
      </c>
      <c r="H583" s="105">
        <v>6633.88</v>
      </c>
    </row>
    <row r="584" spans="1:8">
      <c r="A584" s="97">
        <v>38676</v>
      </c>
      <c r="B584" s="97" t="str">
        <f>TEXT($A584,"mmm")</f>
        <v>Nov</v>
      </c>
      <c r="C584" s="99" t="s">
        <v>104</v>
      </c>
      <c r="D584" s="99" t="s">
        <v>92</v>
      </c>
      <c r="E584" s="99" t="s">
        <v>120</v>
      </c>
      <c r="F584" s="99" t="s">
        <v>684</v>
      </c>
      <c r="G584" s="100">
        <v>4490.4888000000001</v>
      </c>
      <c r="H584" s="101">
        <v>6603.66</v>
      </c>
    </row>
    <row r="585" spans="1:8">
      <c r="A585" s="102">
        <v>38676</v>
      </c>
      <c r="B585" s="102" t="str">
        <f>TEXT($A585,"mmm")</f>
        <v>Nov</v>
      </c>
      <c r="C585" s="103" t="s">
        <v>79</v>
      </c>
      <c r="D585" s="103" t="s">
        <v>114</v>
      </c>
      <c r="E585" s="103" t="s">
        <v>144</v>
      </c>
      <c r="F585" s="103" t="s">
        <v>685</v>
      </c>
      <c r="G585" s="104">
        <v>1950.3045000000002</v>
      </c>
      <c r="H585" s="105">
        <v>4334.01</v>
      </c>
    </row>
    <row r="586" spans="1:8">
      <c r="A586" s="97">
        <v>38676</v>
      </c>
      <c r="B586" s="97" t="str">
        <f>TEXT($A586,"mmm")</f>
        <v>Nov</v>
      </c>
      <c r="C586" s="99" t="s">
        <v>107</v>
      </c>
      <c r="D586" s="99" t="s">
        <v>87</v>
      </c>
      <c r="E586" s="99" t="s">
        <v>94</v>
      </c>
      <c r="F586" s="99" t="s">
        <v>686</v>
      </c>
      <c r="G586" s="100">
        <v>1531.2128</v>
      </c>
      <c r="H586" s="101">
        <v>3560.96</v>
      </c>
    </row>
    <row r="587" spans="1:8">
      <c r="A587" s="102">
        <v>38675</v>
      </c>
      <c r="B587" s="102" t="str">
        <f>TEXT($A587,"mmm")</f>
        <v>Nov</v>
      </c>
      <c r="C587" s="103" t="s">
        <v>107</v>
      </c>
      <c r="D587" s="103" t="s">
        <v>95</v>
      </c>
      <c r="E587" s="103" t="s">
        <v>94</v>
      </c>
      <c r="F587" s="103" t="s">
        <v>687</v>
      </c>
      <c r="G587" s="104">
        <v>5560.9779500000004</v>
      </c>
      <c r="H587" s="105">
        <v>5947.57</v>
      </c>
    </row>
    <row r="588" spans="1:8">
      <c r="A588" s="97">
        <v>38675</v>
      </c>
      <c r="B588" s="97" t="str">
        <f>TEXT($A588,"mmm")</f>
        <v>Nov</v>
      </c>
      <c r="C588" s="99" t="s">
        <v>79</v>
      </c>
      <c r="D588" s="99" t="s">
        <v>92</v>
      </c>
      <c r="E588" s="99" t="s">
        <v>93</v>
      </c>
      <c r="F588" s="99" t="s">
        <v>688</v>
      </c>
      <c r="G588" s="100">
        <v>1193.4675</v>
      </c>
      <c r="H588" s="101">
        <v>1591.29</v>
      </c>
    </row>
    <row r="589" spans="1:8">
      <c r="A589" s="102">
        <v>38675</v>
      </c>
      <c r="B589" s="102" t="str">
        <f>TEXT($A589,"mmm")</f>
        <v>Nov</v>
      </c>
      <c r="C589" s="103" t="s">
        <v>107</v>
      </c>
      <c r="D589" s="103" t="s">
        <v>80</v>
      </c>
      <c r="E589" s="103" t="s">
        <v>122</v>
      </c>
      <c r="F589" s="103" t="s">
        <v>689</v>
      </c>
      <c r="G589" s="104">
        <v>399.95249999999999</v>
      </c>
      <c r="H589" s="105">
        <v>533.27</v>
      </c>
    </row>
    <row r="590" spans="1:8">
      <c r="A590" s="97">
        <v>38674</v>
      </c>
      <c r="B590" s="97" t="str">
        <f>TEXT($A590,"mmm")</f>
        <v>Nov</v>
      </c>
      <c r="C590" s="99" t="s">
        <v>79</v>
      </c>
      <c r="D590" s="99" t="s">
        <v>101</v>
      </c>
      <c r="E590" s="99" t="s">
        <v>120</v>
      </c>
      <c r="F590" s="99" t="s">
        <v>690</v>
      </c>
      <c r="G590" s="100">
        <v>1059.2836</v>
      </c>
      <c r="H590" s="101">
        <v>1557.77</v>
      </c>
    </row>
    <row r="591" spans="1:8">
      <c r="A591" s="102">
        <v>38673</v>
      </c>
      <c r="B591" s="102" t="str">
        <f>TEXT($A591,"mmm")</f>
        <v>Nov</v>
      </c>
      <c r="C591" s="103" t="s">
        <v>79</v>
      </c>
      <c r="D591" s="103" t="s">
        <v>98</v>
      </c>
      <c r="E591" s="103" t="s">
        <v>93</v>
      </c>
      <c r="F591" s="103" t="s">
        <v>691</v>
      </c>
      <c r="G591" s="104">
        <v>4276.9175999999998</v>
      </c>
      <c r="H591" s="105">
        <v>9946.32</v>
      </c>
    </row>
    <row r="592" spans="1:8">
      <c r="A592" s="97">
        <v>38673</v>
      </c>
      <c r="B592" s="97" t="str">
        <f>TEXT($A592,"mmm")</f>
        <v>Nov</v>
      </c>
      <c r="C592" s="99" t="s">
        <v>79</v>
      </c>
      <c r="D592" s="99" t="s">
        <v>87</v>
      </c>
      <c r="E592" s="99" t="s">
        <v>89</v>
      </c>
      <c r="F592" s="99" t="s">
        <v>692</v>
      </c>
      <c r="G592" s="100">
        <v>4996.3206</v>
      </c>
      <c r="H592" s="101">
        <v>8468.34</v>
      </c>
    </row>
    <row r="593" spans="1:8">
      <c r="A593" s="102">
        <v>38672</v>
      </c>
      <c r="B593" s="102" t="str">
        <f>TEXT($A593,"mmm")</f>
        <v>Nov</v>
      </c>
      <c r="C593" s="103" t="s">
        <v>79</v>
      </c>
      <c r="D593" s="103" t="s">
        <v>101</v>
      </c>
      <c r="E593" s="103" t="s">
        <v>83</v>
      </c>
      <c r="F593" s="103" t="s">
        <v>693</v>
      </c>
      <c r="G593" s="104">
        <v>3606.3604</v>
      </c>
      <c r="H593" s="105">
        <v>9746.92</v>
      </c>
    </row>
    <row r="594" spans="1:8">
      <c r="A594" s="97">
        <v>38672</v>
      </c>
      <c r="B594" s="97" t="str">
        <f>TEXT($A594,"mmm")</f>
        <v>Nov</v>
      </c>
      <c r="C594" s="99" t="s">
        <v>107</v>
      </c>
      <c r="D594" s="99" t="s">
        <v>98</v>
      </c>
      <c r="E594" s="99" t="s">
        <v>122</v>
      </c>
      <c r="F594" s="99" t="s">
        <v>694</v>
      </c>
      <c r="G594" s="100">
        <v>4919.2220000000007</v>
      </c>
      <c r="H594" s="101">
        <v>8944.0400000000009</v>
      </c>
    </row>
    <row r="595" spans="1:8">
      <c r="A595" s="102">
        <v>38672</v>
      </c>
      <c r="B595" s="102" t="str">
        <f>TEXT($A595,"mmm")</f>
        <v>Nov</v>
      </c>
      <c r="C595" s="103" t="s">
        <v>116</v>
      </c>
      <c r="D595" s="103" t="s">
        <v>127</v>
      </c>
      <c r="E595" s="103" t="s">
        <v>81</v>
      </c>
      <c r="F595" s="103" t="s">
        <v>695</v>
      </c>
      <c r="G595" s="104">
        <v>5142.9207500000002</v>
      </c>
      <c r="H595" s="105">
        <v>5500.45</v>
      </c>
    </row>
    <row r="596" spans="1:8">
      <c r="A596" s="97">
        <v>38672</v>
      </c>
      <c r="B596" s="97" t="str">
        <f>TEXT($A596,"mmm")</f>
        <v>Nov</v>
      </c>
      <c r="C596" s="99" t="s">
        <v>79</v>
      </c>
      <c r="D596" s="99" t="s">
        <v>98</v>
      </c>
      <c r="E596" s="99" t="s">
        <v>158</v>
      </c>
      <c r="F596" s="99" t="s">
        <v>696</v>
      </c>
      <c r="G596" s="100">
        <v>816.17020000000002</v>
      </c>
      <c r="H596" s="101">
        <v>1407.19</v>
      </c>
    </row>
    <row r="597" spans="1:8">
      <c r="A597" s="102">
        <v>38671</v>
      </c>
      <c r="B597" s="102" t="str">
        <f>TEXT($A597,"mmm")</f>
        <v>Nov</v>
      </c>
      <c r="C597" s="103" t="s">
        <v>107</v>
      </c>
      <c r="D597" s="103" t="s">
        <v>92</v>
      </c>
      <c r="E597" s="103" t="s">
        <v>105</v>
      </c>
      <c r="F597" s="103" t="s">
        <v>697</v>
      </c>
      <c r="G597" s="104">
        <v>4854.3364000000001</v>
      </c>
      <c r="H597" s="105">
        <v>7138.73</v>
      </c>
    </row>
    <row r="598" spans="1:8">
      <c r="A598" s="97">
        <v>38671</v>
      </c>
      <c r="B598" s="97" t="str">
        <f>TEXT($A598,"mmm")</f>
        <v>Nov</v>
      </c>
      <c r="C598" s="99" t="s">
        <v>107</v>
      </c>
      <c r="D598" s="99" t="s">
        <v>98</v>
      </c>
      <c r="E598" s="99" t="s">
        <v>158</v>
      </c>
      <c r="F598" s="99" t="s">
        <v>698</v>
      </c>
      <c r="G598" s="100">
        <v>2345.6158</v>
      </c>
      <c r="H598" s="101">
        <v>2508.6799999999998</v>
      </c>
    </row>
    <row r="599" spans="1:8">
      <c r="A599" s="102">
        <v>38670</v>
      </c>
      <c r="B599" s="102" t="str">
        <f>TEXT($A599,"mmm")</f>
        <v>Nov</v>
      </c>
      <c r="C599" s="103" t="s">
        <v>104</v>
      </c>
      <c r="D599" s="103" t="s">
        <v>98</v>
      </c>
      <c r="E599" s="103" t="s">
        <v>99</v>
      </c>
      <c r="F599" s="103" t="s">
        <v>699</v>
      </c>
      <c r="G599" s="104">
        <v>4520.3884000000007</v>
      </c>
      <c r="H599" s="105">
        <v>6647.63</v>
      </c>
    </row>
    <row r="600" spans="1:8">
      <c r="A600" s="97">
        <v>38670</v>
      </c>
      <c r="B600" s="97" t="str">
        <f>TEXT($A600,"mmm")</f>
        <v>Nov</v>
      </c>
      <c r="C600" s="99" t="s">
        <v>86</v>
      </c>
      <c r="D600" s="99" t="s">
        <v>87</v>
      </c>
      <c r="E600" s="99" t="s">
        <v>108</v>
      </c>
      <c r="F600" s="99" t="s">
        <v>700</v>
      </c>
      <c r="G600" s="100">
        <v>4295.3100000000004</v>
      </c>
      <c r="H600" s="101">
        <v>5727.08</v>
      </c>
    </row>
    <row r="601" spans="1:8">
      <c r="A601" s="102">
        <v>38669</v>
      </c>
      <c r="B601" s="102" t="str">
        <f>TEXT($A601,"mmm")</f>
        <v>Nov</v>
      </c>
      <c r="C601" s="103" t="s">
        <v>107</v>
      </c>
      <c r="D601" s="103" t="s">
        <v>98</v>
      </c>
      <c r="E601" s="103" t="s">
        <v>105</v>
      </c>
      <c r="F601" s="103" t="s">
        <v>701</v>
      </c>
      <c r="G601" s="104">
        <v>3653.6353000000004</v>
      </c>
      <c r="H601" s="105">
        <v>9874.69</v>
      </c>
    </row>
    <row r="602" spans="1:8">
      <c r="A602" s="97">
        <v>38669</v>
      </c>
      <c r="B602" s="97" t="str">
        <f>TEXT($A602,"mmm")</f>
        <v>Nov</v>
      </c>
      <c r="C602" s="99" t="s">
        <v>79</v>
      </c>
      <c r="D602" s="99" t="s">
        <v>101</v>
      </c>
      <c r="E602" s="99" t="s">
        <v>120</v>
      </c>
      <c r="F602" s="99" t="s">
        <v>702</v>
      </c>
      <c r="G602" s="100">
        <v>4231.4634999999998</v>
      </c>
      <c r="H602" s="101">
        <v>7693.57</v>
      </c>
    </row>
    <row r="603" spans="1:8">
      <c r="A603" s="102">
        <v>38669</v>
      </c>
      <c r="B603" s="102" t="str">
        <f>TEXT($A603,"mmm")</f>
        <v>Nov</v>
      </c>
      <c r="C603" s="103" t="s">
        <v>79</v>
      </c>
      <c r="D603" s="103" t="s">
        <v>87</v>
      </c>
      <c r="E603" s="103" t="s">
        <v>93</v>
      </c>
      <c r="F603" s="103" t="s">
        <v>703</v>
      </c>
      <c r="G603" s="104">
        <v>833.04759999999999</v>
      </c>
      <c r="H603" s="105">
        <v>1937.32</v>
      </c>
    </row>
    <row r="604" spans="1:8">
      <c r="A604" s="97">
        <v>38669</v>
      </c>
      <c r="B604" s="97" t="str">
        <f>TEXT($A604,"mmm")</f>
        <v>Nov</v>
      </c>
      <c r="C604" s="99" t="s">
        <v>116</v>
      </c>
      <c r="D604" s="99" t="s">
        <v>101</v>
      </c>
      <c r="E604" s="99" t="s">
        <v>89</v>
      </c>
      <c r="F604" s="99" t="s">
        <v>704</v>
      </c>
      <c r="G604" s="100">
        <v>176.18659999999997</v>
      </c>
      <c r="H604" s="101">
        <v>303.77</v>
      </c>
    </row>
    <row r="605" spans="1:8">
      <c r="A605" s="102">
        <v>38667</v>
      </c>
      <c r="B605" s="102" t="str">
        <f>TEXT($A605,"mmm")</f>
        <v>Nov</v>
      </c>
      <c r="C605" s="103" t="s">
        <v>79</v>
      </c>
      <c r="D605" s="103" t="s">
        <v>101</v>
      </c>
      <c r="E605" s="103" t="s">
        <v>158</v>
      </c>
      <c r="F605" s="103" t="s">
        <v>705</v>
      </c>
      <c r="G605" s="104">
        <v>1803.8388</v>
      </c>
      <c r="H605" s="105">
        <v>4875.24</v>
      </c>
    </row>
    <row r="606" spans="1:8">
      <c r="A606" s="97">
        <v>38666</v>
      </c>
      <c r="B606" s="97" t="str">
        <f>TEXT($A606,"mmm")</f>
        <v>Nov</v>
      </c>
      <c r="C606" s="99" t="s">
        <v>79</v>
      </c>
      <c r="D606" s="99" t="s">
        <v>80</v>
      </c>
      <c r="E606" s="99" t="s">
        <v>120</v>
      </c>
      <c r="F606" s="99" t="s">
        <v>706</v>
      </c>
      <c r="G606" s="100">
        <v>8311.6</v>
      </c>
      <c r="H606" s="101">
        <v>9445</v>
      </c>
    </row>
    <row r="607" spans="1:8">
      <c r="A607" s="102">
        <v>38666</v>
      </c>
      <c r="B607" s="102" t="str">
        <f>TEXT($A607,"mmm")</f>
        <v>Nov</v>
      </c>
      <c r="C607" s="103" t="s">
        <v>86</v>
      </c>
      <c r="D607" s="103" t="s">
        <v>98</v>
      </c>
      <c r="E607" s="103" t="s">
        <v>105</v>
      </c>
      <c r="F607" s="103" t="s">
        <v>707</v>
      </c>
      <c r="G607" s="104">
        <v>4551.2830000000004</v>
      </c>
      <c r="H607" s="105">
        <v>8275.06</v>
      </c>
    </row>
    <row r="608" spans="1:8">
      <c r="A608" s="97">
        <v>38665</v>
      </c>
      <c r="B608" s="97" t="str">
        <f>TEXT($A608,"mmm")</f>
        <v>Nov</v>
      </c>
      <c r="C608" s="99" t="s">
        <v>86</v>
      </c>
      <c r="D608" s="99" t="s">
        <v>87</v>
      </c>
      <c r="E608" s="99" t="s">
        <v>99</v>
      </c>
      <c r="F608" s="99" t="s">
        <v>708</v>
      </c>
      <c r="G608" s="100">
        <v>3090.3966</v>
      </c>
      <c r="H608" s="101">
        <v>5328.27</v>
      </c>
    </row>
    <row r="609" spans="1:8">
      <c r="A609" s="102">
        <v>38665</v>
      </c>
      <c r="B609" s="102" t="str">
        <f>TEXT($A609,"mmm")</f>
        <v>Nov</v>
      </c>
      <c r="C609" s="103" t="s">
        <v>79</v>
      </c>
      <c r="D609" s="103" t="s">
        <v>92</v>
      </c>
      <c r="E609" s="103" t="s">
        <v>105</v>
      </c>
      <c r="F609" s="103" t="s">
        <v>709</v>
      </c>
      <c r="G609" s="104">
        <v>2245.1492000000003</v>
      </c>
      <c r="H609" s="105">
        <v>3301.69</v>
      </c>
    </row>
    <row r="610" spans="1:8">
      <c r="A610" s="97">
        <v>38665</v>
      </c>
      <c r="B610" s="97" t="str">
        <f>TEXT($A610,"mmm")</f>
        <v>Nov</v>
      </c>
      <c r="C610" s="99" t="s">
        <v>79</v>
      </c>
      <c r="D610" s="99" t="s">
        <v>114</v>
      </c>
      <c r="E610" s="99" t="s">
        <v>81</v>
      </c>
      <c r="F610" s="99" t="s">
        <v>710</v>
      </c>
      <c r="G610" s="100">
        <v>203.685</v>
      </c>
      <c r="H610" s="101">
        <v>271.58</v>
      </c>
    </row>
    <row r="611" spans="1:8">
      <c r="A611" s="102">
        <v>38665</v>
      </c>
      <c r="B611" s="102" t="str">
        <f>TEXT($A611,"mmm")</f>
        <v>Nov</v>
      </c>
      <c r="C611" s="103" t="s">
        <v>116</v>
      </c>
      <c r="D611" s="103" t="s">
        <v>101</v>
      </c>
      <c r="E611" s="103" t="s">
        <v>108</v>
      </c>
      <c r="F611" s="103" t="s">
        <v>711</v>
      </c>
      <c r="G611" s="104">
        <v>126.852</v>
      </c>
      <c r="H611" s="105">
        <v>144.15</v>
      </c>
    </row>
    <row r="612" spans="1:8">
      <c r="A612" s="97">
        <v>38664</v>
      </c>
      <c r="B612" s="97" t="str">
        <f>TEXT($A612,"mmm")</f>
        <v>Nov</v>
      </c>
      <c r="C612" s="99" t="s">
        <v>79</v>
      </c>
      <c r="D612" s="99" t="s">
        <v>127</v>
      </c>
      <c r="E612" s="99" t="s">
        <v>108</v>
      </c>
      <c r="F612" s="99" t="s">
        <v>712</v>
      </c>
      <c r="G612" s="100">
        <v>7205.11</v>
      </c>
      <c r="H612" s="101">
        <v>7706</v>
      </c>
    </row>
    <row r="613" spans="1:8">
      <c r="A613" s="102">
        <v>38664</v>
      </c>
      <c r="B613" s="102" t="str">
        <f>TEXT($A613,"mmm")</f>
        <v>Nov</v>
      </c>
      <c r="C613" s="103" t="s">
        <v>107</v>
      </c>
      <c r="D613" s="103" t="s">
        <v>98</v>
      </c>
      <c r="E613" s="103" t="s">
        <v>144</v>
      </c>
      <c r="F613" s="103" t="s">
        <v>713</v>
      </c>
      <c r="G613" s="104">
        <v>3336.1549999999997</v>
      </c>
      <c r="H613" s="105">
        <v>5654.5</v>
      </c>
    </row>
    <row r="614" spans="1:8">
      <c r="A614" s="97">
        <v>38663</v>
      </c>
      <c r="B614" s="97" t="str">
        <f>TEXT($A614,"mmm")</f>
        <v>Nov</v>
      </c>
      <c r="C614" s="99" t="s">
        <v>107</v>
      </c>
      <c r="D614" s="99" t="s">
        <v>80</v>
      </c>
      <c r="E614" s="99" t="s">
        <v>94</v>
      </c>
      <c r="F614" s="99" t="s">
        <v>714</v>
      </c>
      <c r="G614" s="100">
        <v>5885.6925000000001</v>
      </c>
      <c r="H614" s="101">
        <v>9975.75</v>
      </c>
    </row>
    <row r="615" spans="1:8">
      <c r="A615" s="102">
        <v>38663</v>
      </c>
      <c r="B615" s="102" t="str">
        <f>TEXT($A615,"mmm")</f>
        <v>Nov</v>
      </c>
      <c r="C615" s="103" t="s">
        <v>104</v>
      </c>
      <c r="D615" s="103" t="s">
        <v>87</v>
      </c>
      <c r="E615" s="103" t="s">
        <v>96</v>
      </c>
      <c r="F615" s="103" t="s">
        <v>715</v>
      </c>
      <c r="G615" s="104">
        <v>5664.7255500000001</v>
      </c>
      <c r="H615" s="105">
        <v>6058.53</v>
      </c>
    </row>
    <row r="616" spans="1:8">
      <c r="A616" s="97">
        <v>38662</v>
      </c>
      <c r="B616" s="97" t="str">
        <f>TEXT($A616,"mmm")</f>
        <v>Nov</v>
      </c>
      <c r="C616" s="99" t="s">
        <v>107</v>
      </c>
      <c r="D616" s="99" t="s">
        <v>80</v>
      </c>
      <c r="E616" s="99" t="s">
        <v>105</v>
      </c>
      <c r="F616" s="99" t="s">
        <v>716</v>
      </c>
      <c r="G616" s="100">
        <v>2922.2858999999999</v>
      </c>
      <c r="H616" s="101">
        <v>7898.07</v>
      </c>
    </row>
    <row r="617" spans="1:8">
      <c r="A617" s="102">
        <v>38662</v>
      </c>
      <c r="B617" s="102" t="str">
        <f>TEXT($A617,"mmm")</f>
        <v>Nov</v>
      </c>
      <c r="C617" s="103" t="s">
        <v>86</v>
      </c>
      <c r="D617" s="103" t="s">
        <v>127</v>
      </c>
      <c r="E617" s="103" t="s">
        <v>89</v>
      </c>
      <c r="F617" s="103" t="s">
        <v>717</v>
      </c>
      <c r="G617" s="104">
        <v>3919.1460000000002</v>
      </c>
      <c r="H617" s="105">
        <v>5763.45</v>
      </c>
    </row>
    <row r="618" spans="1:8">
      <c r="A618" s="97">
        <v>38662</v>
      </c>
      <c r="B618" s="97" t="str">
        <f>TEXT($A618,"mmm")</f>
        <v>Nov</v>
      </c>
      <c r="C618" s="99" t="s">
        <v>116</v>
      </c>
      <c r="D618" s="99" t="s">
        <v>114</v>
      </c>
      <c r="E618" s="99" t="s">
        <v>83</v>
      </c>
      <c r="F618" s="99" t="s">
        <v>718</v>
      </c>
      <c r="G618" s="100">
        <v>3078.6660000000002</v>
      </c>
      <c r="H618" s="101">
        <v>4527.45</v>
      </c>
    </row>
    <row r="619" spans="1:8">
      <c r="A619" s="102">
        <v>38661</v>
      </c>
      <c r="B619" s="102" t="str">
        <f>TEXT($A619,"mmm")</f>
        <v>Nov</v>
      </c>
      <c r="C619" s="103" t="s">
        <v>116</v>
      </c>
      <c r="D619" s="103" t="s">
        <v>87</v>
      </c>
      <c r="E619" s="103" t="s">
        <v>81</v>
      </c>
      <c r="F619" s="103" t="s">
        <v>719</v>
      </c>
      <c r="G619" s="104">
        <v>7261.4696000000004</v>
      </c>
      <c r="H619" s="105">
        <v>8251.67</v>
      </c>
    </row>
    <row r="620" spans="1:8">
      <c r="A620" s="97">
        <v>38661</v>
      </c>
      <c r="B620" s="97" t="str">
        <f>TEXT($A620,"mmm")</f>
        <v>Nov</v>
      </c>
      <c r="C620" s="99" t="s">
        <v>107</v>
      </c>
      <c r="D620" s="99" t="s">
        <v>98</v>
      </c>
      <c r="E620" s="99" t="s">
        <v>144</v>
      </c>
      <c r="F620" s="99" t="s">
        <v>720</v>
      </c>
      <c r="G620" s="100">
        <v>2510.1938</v>
      </c>
      <c r="H620" s="101">
        <v>5837.66</v>
      </c>
    </row>
    <row r="621" spans="1:8">
      <c r="A621" s="102">
        <v>38660</v>
      </c>
      <c r="B621" s="102" t="str">
        <f>TEXT($A621,"mmm")</f>
        <v>Nov</v>
      </c>
      <c r="C621" s="103" t="s">
        <v>104</v>
      </c>
      <c r="D621" s="103" t="s">
        <v>127</v>
      </c>
      <c r="E621" s="103" t="s">
        <v>158</v>
      </c>
      <c r="F621" s="103" t="s">
        <v>721</v>
      </c>
      <c r="G621" s="104">
        <v>6525.3</v>
      </c>
      <c r="H621" s="105">
        <v>8700.4</v>
      </c>
    </row>
    <row r="622" spans="1:8">
      <c r="A622" s="97">
        <v>38660</v>
      </c>
      <c r="B622" s="97" t="str">
        <f>TEXT($A622,"mmm")</f>
        <v>Nov</v>
      </c>
      <c r="C622" s="99" t="s">
        <v>104</v>
      </c>
      <c r="D622" s="99" t="s">
        <v>95</v>
      </c>
      <c r="E622" s="99" t="s">
        <v>81</v>
      </c>
      <c r="F622" s="99" t="s">
        <v>228</v>
      </c>
      <c r="G622" s="100">
        <v>2878.6815000000001</v>
      </c>
      <c r="H622" s="101">
        <v>6397.07</v>
      </c>
    </row>
    <row r="623" spans="1:8">
      <c r="A623" s="102">
        <v>38659</v>
      </c>
      <c r="B623" s="102" t="str">
        <f>TEXT($A623,"mmm")</f>
        <v>Nov</v>
      </c>
      <c r="C623" s="103" t="s">
        <v>107</v>
      </c>
      <c r="D623" s="103" t="s">
        <v>92</v>
      </c>
      <c r="E623" s="103" t="s">
        <v>144</v>
      </c>
      <c r="F623" s="103" t="s">
        <v>722</v>
      </c>
      <c r="G623" s="104">
        <v>3516.6010000000001</v>
      </c>
      <c r="H623" s="105">
        <v>6393.82</v>
      </c>
    </row>
    <row r="624" spans="1:8">
      <c r="A624" s="97">
        <v>38659</v>
      </c>
      <c r="B624" s="97" t="str">
        <f>TEXT($A624,"mmm")</f>
        <v>Nov</v>
      </c>
      <c r="C624" s="99" t="s">
        <v>86</v>
      </c>
      <c r="D624" s="99" t="s">
        <v>114</v>
      </c>
      <c r="E624" s="99" t="s">
        <v>96</v>
      </c>
      <c r="F624" s="99" t="s">
        <v>723</v>
      </c>
      <c r="G624" s="100">
        <v>3695.0520000000001</v>
      </c>
      <c r="H624" s="101">
        <v>5433.9</v>
      </c>
    </row>
    <row r="625" spans="1:8">
      <c r="A625" s="102">
        <v>38659</v>
      </c>
      <c r="B625" s="102" t="str">
        <f>TEXT($A625,"mmm")</f>
        <v>Nov</v>
      </c>
      <c r="C625" s="103" t="s">
        <v>79</v>
      </c>
      <c r="D625" s="103" t="s">
        <v>92</v>
      </c>
      <c r="E625" s="103" t="s">
        <v>105</v>
      </c>
      <c r="F625" s="103" t="s">
        <v>724</v>
      </c>
      <c r="G625" s="104">
        <v>1380.9066</v>
      </c>
      <c r="H625" s="105">
        <v>3732.18</v>
      </c>
    </row>
    <row r="626" spans="1:8">
      <c r="A626" s="97">
        <v>38659</v>
      </c>
      <c r="B626" s="97" t="str">
        <f>TEXT($A626,"mmm")</f>
        <v>Nov</v>
      </c>
      <c r="C626" s="99" t="s">
        <v>107</v>
      </c>
      <c r="D626" s="99" t="s">
        <v>101</v>
      </c>
      <c r="E626" s="99" t="s">
        <v>96</v>
      </c>
      <c r="F626" s="99" t="s">
        <v>725</v>
      </c>
      <c r="G626" s="100">
        <v>785.95</v>
      </c>
      <c r="H626" s="101">
        <v>1429</v>
      </c>
    </row>
    <row r="627" spans="1:8">
      <c r="A627" s="102">
        <v>38658</v>
      </c>
      <c r="B627" s="102" t="str">
        <f>TEXT($A627,"mmm")</f>
        <v>Nov</v>
      </c>
      <c r="C627" s="103" t="s">
        <v>79</v>
      </c>
      <c r="D627" s="103" t="s">
        <v>98</v>
      </c>
      <c r="E627" s="103" t="s">
        <v>96</v>
      </c>
      <c r="F627" s="103" t="s">
        <v>726</v>
      </c>
      <c r="G627" s="104">
        <v>8071.5090499999997</v>
      </c>
      <c r="H627" s="105">
        <v>8632.6299999999992</v>
      </c>
    </row>
    <row r="628" spans="1:8">
      <c r="A628" s="97">
        <v>38658</v>
      </c>
      <c r="B628" s="97" t="str">
        <f>TEXT($A628,"mmm")</f>
        <v>Nov</v>
      </c>
      <c r="C628" s="99" t="s">
        <v>116</v>
      </c>
      <c r="D628" s="99" t="s">
        <v>101</v>
      </c>
      <c r="E628" s="99" t="s">
        <v>158</v>
      </c>
      <c r="F628" s="99" t="s">
        <v>727</v>
      </c>
      <c r="G628" s="100">
        <v>5180.1380000000008</v>
      </c>
      <c r="H628" s="101">
        <v>7617.85</v>
      </c>
    </row>
    <row r="629" spans="1:8">
      <c r="A629" s="102">
        <v>38658</v>
      </c>
      <c r="B629" s="102" t="str">
        <f>TEXT($A629,"mmm")</f>
        <v>Nov</v>
      </c>
      <c r="C629" s="103" t="s">
        <v>86</v>
      </c>
      <c r="D629" s="103" t="s">
        <v>92</v>
      </c>
      <c r="E629" s="103" t="s">
        <v>120</v>
      </c>
      <c r="F629" s="103" t="s">
        <v>728</v>
      </c>
      <c r="G629" s="104">
        <v>1336.6155000000001</v>
      </c>
      <c r="H629" s="105">
        <v>2430.21</v>
      </c>
    </row>
    <row r="630" spans="1:8">
      <c r="A630" s="97">
        <v>38657</v>
      </c>
      <c r="B630" s="97" t="str">
        <f>TEXT($A630,"mmm")</f>
        <v>Nov</v>
      </c>
      <c r="C630" s="99" t="s">
        <v>116</v>
      </c>
      <c r="D630" s="99" t="s">
        <v>95</v>
      </c>
      <c r="E630" s="99" t="s">
        <v>122</v>
      </c>
      <c r="F630" s="99" t="s">
        <v>729</v>
      </c>
      <c r="G630" s="100">
        <v>4805.8864000000003</v>
      </c>
      <c r="H630" s="101">
        <v>7067.48</v>
      </c>
    </row>
    <row r="631" spans="1:8">
      <c r="A631" s="102">
        <v>38657</v>
      </c>
      <c r="B631" s="102" t="str">
        <f>TEXT($A631,"mmm")</f>
        <v>Nov</v>
      </c>
      <c r="C631" s="103" t="s">
        <v>107</v>
      </c>
      <c r="D631" s="103" t="s">
        <v>80</v>
      </c>
      <c r="E631" s="103" t="s">
        <v>158</v>
      </c>
      <c r="F631" s="103" t="s">
        <v>730</v>
      </c>
      <c r="G631" s="104">
        <v>42.479600000000005</v>
      </c>
      <c r="H631" s="105">
        <v>62.47</v>
      </c>
    </row>
    <row r="632" spans="1:8">
      <c r="A632" s="97">
        <v>38656</v>
      </c>
      <c r="B632" s="97" t="str">
        <f>TEXT($A632,"mmm")</f>
        <v>Oct</v>
      </c>
      <c r="C632" s="99" t="s">
        <v>104</v>
      </c>
      <c r="D632" s="99" t="s">
        <v>87</v>
      </c>
      <c r="E632" s="99" t="s">
        <v>122</v>
      </c>
      <c r="F632" s="99" t="s">
        <v>731</v>
      </c>
      <c r="G632" s="100">
        <v>5670.6552000000001</v>
      </c>
      <c r="H632" s="101">
        <v>9611.2800000000007</v>
      </c>
    </row>
    <row r="633" spans="1:8">
      <c r="A633" s="102">
        <v>38656</v>
      </c>
      <c r="B633" s="102" t="str">
        <f>TEXT($A633,"mmm")</f>
        <v>Oct</v>
      </c>
      <c r="C633" s="103" t="s">
        <v>104</v>
      </c>
      <c r="D633" s="103" t="s">
        <v>101</v>
      </c>
      <c r="E633" s="103" t="s">
        <v>108</v>
      </c>
      <c r="F633" s="103" t="s">
        <v>732</v>
      </c>
      <c r="G633" s="104">
        <v>3160.4580000000001</v>
      </c>
      <c r="H633" s="105">
        <v>7023.24</v>
      </c>
    </row>
    <row r="634" spans="1:8">
      <c r="A634" s="97">
        <v>38655</v>
      </c>
      <c r="B634" s="97" t="str">
        <f>TEXT($A634,"mmm")</f>
        <v>Oct</v>
      </c>
      <c r="C634" s="99" t="s">
        <v>86</v>
      </c>
      <c r="D634" s="99" t="s">
        <v>101</v>
      </c>
      <c r="E634" s="99" t="s">
        <v>99</v>
      </c>
      <c r="F634" s="99" t="s">
        <v>733</v>
      </c>
      <c r="G634" s="100">
        <v>4456.6039999999994</v>
      </c>
      <c r="H634" s="101">
        <v>7683.8</v>
      </c>
    </row>
    <row r="635" spans="1:8">
      <c r="A635" s="102">
        <v>38654</v>
      </c>
      <c r="B635" s="102" t="str">
        <f>TEXT($A635,"mmm")</f>
        <v>Oct</v>
      </c>
      <c r="C635" s="103" t="s">
        <v>104</v>
      </c>
      <c r="D635" s="103" t="s">
        <v>98</v>
      </c>
      <c r="E635" s="103" t="s">
        <v>122</v>
      </c>
      <c r="F635" s="103" t="s">
        <v>734</v>
      </c>
      <c r="G635" s="104">
        <v>6204.5716000000011</v>
      </c>
      <c r="H635" s="105">
        <v>9124.3700000000008</v>
      </c>
    </row>
    <row r="636" spans="1:8">
      <c r="A636" s="97">
        <v>38654</v>
      </c>
      <c r="B636" s="97" t="str">
        <f>TEXT($A636,"mmm")</f>
        <v>Oct</v>
      </c>
      <c r="C636" s="99" t="s">
        <v>79</v>
      </c>
      <c r="D636" s="99" t="s">
        <v>80</v>
      </c>
      <c r="E636" s="99" t="s">
        <v>83</v>
      </c>
      <c r="F636" s="99" t="s">
        <v>735</v>
      </c>
      <c r="G636" s="100">
        <v>2969.99</v>
      </c>
      <c r="H636" s="101">
        <v>8027</v>
      </c>
    </row>
    <row r="637" spans="1:8">
      <c r="A637" s="102">
        <v>38654</v>
      </c>
      <c r="B637" s="102" t="str">
        <f>TEXT($A637,"mmm")</f>
        <v>Oct</v>
      </c>
      <c r="C637" s="103" t="s">
        <v>86</v>
      </c>
      <c r="D637" s="103" t="s">
        <v>127</v>
      </c>
      <c r="E637" s="103" t="s">
        <v>81</v>
      </c>
      <c r="F637" s="103" t="s">
        <v>736</v>
      </c>
      <c r="G637" s="104">
        <v>2657.6100999999999</v>
      </c>
      <c r="H637" s="105">
        <v>7182.73</v>
      </c>
    </row>
    <row r="638" spans="1:8">
      <c r="A638" s="97">
        <v>38654</v>
      </c>
      <c r="B638" s="97" t="str">
        <f>TEXT($A638,"mmm")</f>
        <v>Oct</v>
      </c>
      <c r="C638" s="99" t="s">
        <v>79</v>
      </c>
      <c r="D638" s="99" t="s">
        <v>98</v>
      </c>
      <c r="E638" s="99" t="s">
        <v>105</v>
      </c>
      <c r="F638" s="99" t="s">
        <v>737</v>
      </c>
      <c r="G638" s="100">
        <v>1712.9651999999999</v>
      </c>
      <c r="H638" s="101">
        <v>3983.64</v>
      </c>
    </row>
    <row r="639" spans="1:8">
      <c r="A639" s="102">
        <v>38654</v>
      </c>
      <c r="B639" s="102" t="str">
        <f>TEXT($A639,"mmm")</f>
        <v>Oct</v>
      </c>
      <c r="C639" s="103" t="s">
        <v>79</v>
      </c>
      <c r="D639" s="103" t="s">
        <v>127</v>
      </c>
      <c r="E639" s="103" t="s">
        <v>122</v>
      </c>
      <c r="F639" s="103" t="s">
        <v>738</v>
      </c>
      <c r="G639" s="104">
        <v>1879.0781999999999</v>
      </c>
      <c r="H639" s="105">
        <v>3239.79</v>
      </c>
    </row>
    <row r="640" spans="1:8">
      <c r="A640" s="97">
        <v>38654</v>
      </c>
      <c r="B640" s="97" t="str">
        <f>TEXT($A640,"mmm")</f>
        <v>Oct</v>
      </c>
      <c r="C640" s="99" t="s">
        <v>86</v>
      </c>
      <c r="D640" s="99" t="s">
        <v>101</v>
      </c>
      <c r="E640" s="99" t="s">
        <v>122</v>
      </c>
      <c r="F640" s="99" t="s">
        <v>739</v>
      </c>
      <c r="G640" s="100">
        <v>2365.7919999999999</v>
      </c>
      <c r="H640" s="101">
        <v>2688.4</v>
      </c>
    </row>
    <row r="641" spans="1:8">
      <c r="A641" s="102">
        <v>38653</v>
      </c>
      <c r="B641" s="102" t="str">
        <f>TEXT($A641,"mmm")</f>
        <v>Oct</v>
      </c>
      <c r="C641" s="103" t="s">
        <v>116</v>
      </c>
      <c r="D641" s="103" t="s">
        <v>80</v>
      </c>
      <c r="E641" s="103" t="s">
        <v>89</v>
      </c>
      <c r="F641" s="103" t="s">
        <v>740</v>
      </c>
      <c r="G641" s="104">
        <v>4705.0725000000002</v>
      </c>
      <c r="H641" s="105">
        <v>6273.43</v>
      </c>
    </row>
    <row r="642" spans="1:8">
      <c r="A642" s="97">
        <v>38653</v>
      </c>
      <c r="B642" s="97" t="str">
        <f>TEXT($A642,"mmm")</f>
        <v>Oct</v>
      </c>
      <c r="C642" s="99" t="s">
        <v>116</v>
      </c>
      <c r="D642" s="99" t="s">
        <v>87</v>
      </c>
      <c r="E642" s="99" t="s">
        <v>83</v>
      </c>
      <c r="F642" s="99" t="s">
        <v>741</v>
      </c>
      <c r="G642" s="100">
        <v>2714.0059000000001</v>
      </c>
      <c r="H642" s="101">
        <v>4600.01</v>
      </c>
    </row>
    <row r="643" spans="1:8">
      <c r="A643" s="102">
        <v>38653</v>
      </c>
      <c r="B643" s="102" t="str">
        <f>TEXT($A643,"mmm")</f>
        <v>Oct</v>
      </c>
      <c r="C643" s="103" t="s">
        <v>116</v>
      </c>
      <c r="D643" s="103" t="s">
        <v>98</v>
      </c>
      <c r="E643" s="103" t="s">
        <v>81</v>
      </c>
      <c r="F643" s="103" t="s">
        <v>742</v>
      </c>
      <c r="G643" s="104">
        <v>2044.3494499999999</v>
      </c>
      <c r="H643" s="105">
        <v>2186.4699999999998</v>
      </c>
    </row>
    <row r="644" spans="1:8">
      <c r="A644" s="97">
        <v>38652</v>
      </c>
      <c r="B644" s="97" t="str">
        <f>TEXT($A644,"mmm")</f>
        <v>Oct</v>
      </c>
      <c r="C644" s="99" t="s">
        <v>116</v>
      </c>
      <c r="D644" s="99" t="s">
        <v>127</v>
      </c>
      <c r="E644" s="99" t="s">
        <v>144</v>
      </c>
      <c r="F644" s="99" t="s">
        <v>743</v>
      </c>
      <c r="G644" s="100">
        <v>6349.5871999999999</v>
      </c>
      <c r="H644" s="101">
        <v>7215.44</v>
      </c>
    </row>
    <row r="645" spans="1:8">
      <c r="A645" s="102">
        <v>38651</v>
      </c>
      <c r="B645" s="102" t="str">
        <f>TEXT($A645,"mmm")</f>
        <v>Oct</v>
      </c>
      <c r="C645" s="103" t="s">
        <v>116</v>
      </c>
      <c r="D645" s="103" t="s">
        <v>98</v>
      </c>
      <c r="E645" s="103" t="s">
        <v>96</v>
      </c>
      <c r="F645" s="103" t="s">
        <v>744</v>
      </c>
      <c r="G645" s="104">
        <v>1691.9724999999999</v>
      </c>
      <c r="H645" s="105">
        <v>2867.75</v>
      </c>
    </row>
    <row r="646" spans="1:8">
      <c r="A646" s="97">
        <v>38650</v>
      </c>
      <c r="B646" s="97" t="str">
        <f>TEXT($A646,"mmm")</f>
        <v>Oct</v>
      </c>
      <c r="C646" s="99" t="s">
        <v>79</v>
      </c>
      <c r="D646" s="99" t="s">
        <v>114</v>
      </c>
      <c r="E646" s="99" t="s">
        <v>99</v>
      </c>
      <c r="F646" s="99" t="s">
        <v>745</v>
      </c>
      <c r="G646" s="100">
        <v>2033.5437999999999</v>
      </c>
      <c r="H646" s="101">
        <v>3506.11</v>
      </c>
    </row>
    <row r="647" spans="1:8">
      <c r="A647" s="102">
        <v>38649</v>
      </c>
      <c r="B647" s="102" t="str">
        <f>TEXT($A647,"mmm")</f>
        <v>Oct</v>
      </c>
      <c r="C647" s="103" t="s">
        <v>79</v>
      </c>
      <c r="D647" s="103" t="s">
        <v>114</v>
      </c>
      <c r="E647" s="103" t="s">
        <v>94</v>
      </c>
      <c r="F647" s="103" t="s">
        <v>746</v>
      </c>
      <c r="G647" s="104">
        <v>5543.0019999999995</v>
      </c>
      <c r="H647" s="105">
        <v>9556.9</v>
      </c>
    </row>
    <row r="648" spans="1:8">
      <c r="A648" s="97">
        <v>38649</v>
      </c>
      <c r="B648" s="97" t="str">
        <f>TEXT($A648,"mmm")</f>
        <v>Oct</v>
      </c>
      <c r="C648" s="99" t="s">
        <v>104</v>
      </c>
      <c r="D648" s="99" t="s">
        <v>101</v>
      </c>
      <c r="E648" s="99" t="s">
        <v>89</v>
      </c>
      <c r="F648" s="99" t="s">
        <v>747</v>
      </c>
      <c r="G648" s="100">
        <v>7137.5550000000003</v>
      </c>
      <c r="H648" s="101">
        <v>9516.74</v>
      </c>
    </row>
    <row r="649" spans="1:8">
      <c r="A649" s="102">
        <v>38649</v>
      </c>
      <c r="B649" s="102" t="str">
        <f>TEXT($A649,"mmm")</f>
        <v>Oct</v>
      </c>
      <c r="C649" s="103" t="s">
        <v>79</v>
      </c>
      <c r="D649" s="103" t="s">
        <v>92</v>
      </c>
      <c r="E649" s="103" t="s">
        <v>89</v>
      </c>
      <c r="F649" s="103" t="s">
        <v>748</v>
      </c>
      <c r="G649" s="104">
        <v>8350.1297000000013</v>
      </c>
      <c r="H649" s="105">
        <v>8930.6200000000008</v>
      </c>
    </row>
    <row r="650" spans="1:8">
      <c r="A650" s="97">
        <v>38649</v>
      </c>
      <c r="B650" s="97" t="str">
        <f>TEXT($A650,"mmm")</f>
        <v>Oct</v>
      </c>
      <c r="C650" s="99" t="s">
        <v>104</v>
      </c>
      <c r="D650" s="99" t="s">
        <v>127</v>
      </c>
      <c r="E650" s="99" t="s">
        <v>81</v>
      </c>
      <c r="F650" s="99" t="s">
        <v>749</v>
      </c>
      <c r="G650" s="100">
        <v>3074.7962000000002</v>
      </c>
      <c r="H650" s="101">
        <v>8310.26</v>
      </c>
    </row>
    <row r="651" spans="1:8">
      <c r="A651" s="102">
        <v>38649</v>
      </c>
      <c r="B651" s="102" t="str">
        <f>TEXT($A651,"mmm")</f>
        <v>Oct</v>
      </c>
      <c r="C651" s="103" t="s">
        <v>86</v>
      </c>
      <c r="D651" s="103" t="s">
        <v>98</v>
      </c>
      <c r="E651" s="103" t="s">
        <v>93</v>
      </c>
      <c r="F651" s="103" t="s">
        <v>750</v>
      </c>
      <c r="G651" s="104">
        <v>1798.3416</v>
      </c>
      <c r="H651" s="105">
        <v>2043.57</v>
      </c>
    </row>
    <row r="652" spans="1:8">
      <c r="A652" s="97">
        <v>38648</v>
      </c>
      <c r="B652" s="97" t="str">
        <f>TEXT($A652,"mmm")</f>
        <v>Oct</v>
      </c>
      <c r="C652" s="99" t="s">
        <v>79</v>
      </c>
      <c r="D652" s="99" t="s">
        <v>80</v>
      </c>
      <c r="E652" s="99" t="s">
        <v>144</v>
      </c>
      <c r="F652" s="99" t="s">
        <v>751</v>
      </c>
      <c r="G652" s="100">
        <v>6467.956000000001</v>
      </c>
      <c r="H652" s="101">
        <v>6917.6</v>
      </c>
    </row>
    <row r="653" spans="1:8">
      <c r="A653" s="102">
        <v>38648</v>
      </c>
      <c r="B653" s="102" t="str">
        <f>TEXT($A653,"mmm")</f>
        <v>Oct</v>
      </c>
      <c r="C653" s="103" t="s">
        <v>79</v>
      </c>
      <c r="D653" s="103" t="s">
        <v>114</v>
      </c>
      <c r="E653" s="103" t="s">
        <v>96</v>
      </c>
      <c r="F653" s="103" t="s">
        <v>752</v>
      </c>
      <c r="G653" s="104">
        <v>1978.9616000000001</v>
      </c>
      <c r="H653" s="105">
        <v>2248.8200000000002</v>
      </c>
    </row>
    <row r="654" spans="1:8">
      <c r="A654" s="97">
        <v>38647</v>
      </c>
      <c r="B654" s="97" t="str">
        <f>TEXT($A654,"mmm")</f>
        <v>Oct</v>
      </c>
      <c r="C654" s="99" t="s">
        <v>79</v>
      </c>
      <c r="D654" s="99" t="s">
        <v>87</v>
      </c>
      <c r="E654" s="99" t="s">
        <v>105</v>
      </c>
      <c r="F654" s="99" t="s">
        <v>753</v>
      </c>
      <c r="G654" s="100">
        <v>819.23680000000002</v>
      </c>
      <c r="H654" s="101">
        <v>1204.76</v>
      </c>
    </row>
    <row r="655" spans="1:8">
      <c r="A655" s="102">
        <v>38647</v>
      </c>
      <c r="B655" s="102" t="str">
        <f>TEXT($A655,"mmm")</f>
        <v>Oct</v>
      </c>
      <c r="C655" s="103" t="s">
        <v>86</v>
      </c>
      <c r="D655" s="103" t="s">
        <v>92</v>
      </c>
      <c r="E655" s="103" t="s">
        <v>83</v>
      </c>
      <c r="F655" s="103" t="s">
        <v>754</v>
      </c>
      <c r="G655" s="104">
        <v>113.6773</v>
      </c>
      <c r="H655" s="105">
        <v>121.58</v>
      </c>
    </row>
    <row r="656" spans="1:8">
      <c r="A656" s="97">
        <v>38646</v>
      </c>
      <c r="B656" s="97" t="str">
        <f>TEXT($A656,"mmm")</f>
        <v>Oct</v>
      </c>
      <c r="C656" s="99" t="s">
        <v>107</v>
      </c>
      <c r="D656" s="99" t="s">
        <v>87</v>
      </c>
      <c r="E656" s="99" t="s">
        <v>129</v>
      </c>
      <c r="F656" s="99" t="s">
        <v>755</v>
      </c>
      <c r="G656" s="100">
        <v>8597.4559000000008</v>
      </c>
      <c r="H656" s="101">
        <v>9195.14</v>
      </c>
    </row>
    <row r="657" spans="1:8">
      <c r="A657" s="102">
        <v>38646</v>
      </c>
      <c r="B657" s="102" t="str">
        <f>TEXT($A657,"mmm")</f>
        <v>Oct</v>
      </c>
      <c r="C657" s="103" t="s">
        <v>104</v>
      </c>
      <c r="D657" s="103" t="s">
        <v>127</v>
      </c>
      <c r="E657" s="103" t="s">
        <v>158</v>
      </c>
      <c r="F657" s="103" t="s">
        <v>756</v>
      </c>
      <c r="G657" s="104">
        <v>8114.0702499999998</v>
      </c>
      <c r="H657" s="105">
        <v>8678.15</v>
      </c>
    </row>
    <row r="658" spans="1:8">
      <c r="A658" s="97">
        <v>38646</v>
      </c>
      <c r="B658" s="97" t="str">
        <f>TEXT($A658,"mmm")</f>
        <v>Oct</v>
      </c>
      <c r="C658" s="99" t="s">
        <v>86</v>
      </c>
      <c r="D658" s="99" t="s">
        <v>87</v>
      </c>
      <c r="E658" s="99" t="s">
        <v>89</v>
      </c>
      <c r="F658" s="99" t="s">
        <v>142</v>
      </c>
      <c r="G658" s="100">
        <v>779.92750000000001</v>
      </c>
      <c r="H658" s="101">
        <v>1418.05</v>
      </c>
    </row>
    <row r="659" spans="1:8">
      <c r="A659" s="102">
        <v>38646</v>
      </c>
      <c r="B659" s="102" t="str">
        <f>TEXT($A659,"mmm")</f>
        <v>Oct</v>
      </c>
      <c r="C659" s="103" t="s">
        <v>104</v>
      </c>
      <c r="D659" s="103" t="s">
        <v>127</v>
      </c>
      <c r="E659" s="103" t="s">
        <v>105</v>
      </c>
      <c r="F659" s="103" t="s">
        <v>757</v>
      </c>
      <c r="G659" s="104">
        <v>1139.5648000000001</v>
      </c>
      <c r="H659" s="105">
        <v>1294.96</v>
      </c>
    </row>
    <row r="660" spans="1:8">
      <c r="A660" s="97">
        <v>38645</v>
      </c>
      <c r="B660" s="97" t="str">
        <f>TEXT($A660,"mmm")</f>
        <v>Oct</v>
      </c>
      <c r="C660" s="99" t="s">
        <v>107</v>
      </c>
      <c r="D660" s="99" t="s">
        <v>87</v>
      </c>
      <c r="E660" s="99" t="s">
        <v>81</v>
      </c>
      <c r="F660" s="99" t="s">
        <v>758</v>
      </c>
      <c r="G660" s="100">
        <v>5027.1035999999995</v>
      </c>
      <c r="H660" s="101">
        <v>8667.42</v>
      </c>
    </row>
    <row r="661" spans="1:8">
      <c r="A661" s="102">
        <v>38645</v>
      </c>
      <c r="B661" s="102" t="str">
        <f>TEXT($A661,"mmm")</f>
        <v>Oct</v>
      </c>
      <c r="C661" s="103" t="s">
        <v>79</v>
      </c>
      <c r="D661" s="103" t="s">
        <v>114</v>
      </c>
      <c r="E661" s="103" t="s">
        <v>108</v>
      </c>
      <c r="F661" s="103" t="s">
        <v>759</v>
      </c>
      <c r="G661" s="104">
        <v>1644.7018</v>
      </c>
      <c r="H661" s="105">
        <v>4445.1400000000003</v>
      </c>
    </row>
    <row r="662" spans="1:8">
      <c r="A662" s="97">
        <v>38645</v>
      </c>
      <c r="B662" s="97" t="str">
        <f>TEXT($A662,"mmm")</f>
        <v>Oct</v>
      </c>
      <c r="C662" s="99" t="s">
        <v>86</v>
      </c>
      <c r="D662" s="99" t="s">
        <v>114</v>
      </c>
      <c r="E662" s="99" t="s">
        <v>93</v>
      </c>
      <c r="F662" s="99" t="s">
        <v>760</v>
      </c>
      <c r="G662" s="100">
        <v>612.12599999999998</v>
      </c>
      <c r="H662" s="101">
        <v>1360.28</v>
      </c>
    </row>
    <row r="663" spans="1:8">
      <c r="A663" s="102">
        <v>38644</v>
      </c>
      <c r="B663" s="102" t="str">
        <f>TEXT($A663,"mmm")</f>
        <v>Oct</v>
      </c>
      <c r="C663" s="103" t="s">
        <v>79</v>
      </c>
      <c r="D663" s="103" t="s">
        <v>92</v>
      </c>
      <c r="E663" s="103" t="s">
        <v>108</v>
      </c>
      <c r="F663" s="103" t="s">
        <v>761</v>
      </c>
      <c r="G663" s="104">
        <v>1097.8329999999999</v>
      </c>
      <c r="H663" s="105">
        <v>2553.1</v>
      </c>
    </row>
    <row r="664" spans="1:8">
      <c r="A664" s="97">
        <v>38643</v>
      </c>
      <c r="B664" s="97" t="str">
        <f>TEXT($A664,"mmm")</f>
        <v>Oct</v>
      </c>
      <c r="C664" s="99" t="s">
        <v>116</v>
      </c>
      <c r="D664" s="99" t="s">
        <v>80</v>
      </c>
      <c r="E664" s="99" t="s">
        <v>83</v>
      </c>
      <c r="F664" s="99" t="s">
        <v>762</v>
      </c>
      <c r="G664" s="100">
        <v>3776.4321999999997</v>
      </c>
      <c r="H664" s="101">
        <v>6511.09</v>
      </c>
    </row>
    <row r="665" spans="1:8">
      <c r="A665" s="102">
        <v>38642</v>
      </c>
      <c r="B665" s="102" t="str">
        <f>TEXT($A665,"mmm")</f>
        <v>Oct</v>
      </c>
      <c r="C665" s="103" t="s">
        <v>107</v>
      </c>
      <c r="D665" s="103" t="s">
        <v>98</v>
      </c>
      <c r="E665" s="103" t="s">
        <v>120</v>
      </c>
      <c r="F665" s="103" t="s">
        <v>763</v>
      </c>
      <c r="G665" s="104">
        <v>5729.6324999999997</v>
      </c>
      <c r="H665" s="105">
        <v>7639.51</v>
      </c>
    </row>
    <row r="666" spans="1:8">
      <c r="A666" s="97">
        <v>38642</v>
      </c>
      <c r="B666" s="97" t="str">
        <f>TEXT($A666,"mmm")</f>
        <v>Oct</v>
      </c>
      <c r="C666" s="99" t="s">
        <v>104</v>
      </c>
      <c r="D666" s="99" t="s">
        <v>87</v>
      </c>
      <c r="E666" s="99" t="s">
        <v>129</v>
      </c>
      <c r="F666" s="99" t="s">
        <v>764</v>
      </c>
      <c r="G666" s="100">
        <v>4464.9375</v>
      </c>
      <c r="H666" s="101">
        <v>5953.25</v>
      </c>
    </row>
    <row r="667" spans="1:8">
      <c r="A667" s="102">
        <v>38642</v>
      </c>
      <c r="B667" s="102" t="str">
        <f>TEXT($A667,"mmm")</f>
        <v>Oct</v>
      </c>
      <c r="C667" s="103" t="s">
        <v>79</v>
      </c>
      <c r="D667" s="103" t="s">
        <v>98</v>
      </c>
      <c r="E667" s="103" t="s">
        <v>108</v>
      </c>
      <c r="F667" s="103" t="s">
        <v>765</v>
      </c>
      <c r="G667" s="104">
        <v>1850.8362</v>
      </c>
      <c r="H667" s="105">
        <v>5002.26</v>
      </c>
    </row>
    <row r="668" spans="1:8">
      <c r="A668" s="97">
        <v>38642</v>
      </c>
      <c r="B668" s="97" t="str">
        <f>TEXT($A668,"mmm")</f>
        <v>Oct</v>
      </c>
      <c r="C668" s="99" t="s">
        <v>79</v>
      </c>
      <c r="D668" s="99" t="s">
        <v>80</v>
      </c>
      <c r="E668" s="99" t="s">
        <v>105</v>
      </c>
      <c r="F668" s="99" t="s">
        <v>766</v>
      </c>
      <c r="G668" s="100">
        <v>2487.8293000000003</v>
      </c>
      <c r="H668" s="101">
        <v>2660.78</v>
      </c>
    </row>
    <row r="669" spans="1:8">
      <c r="A669" s="102">
        <v>38641</v>
      </c>
      <c r="B669" s="102" t="str">
        <f>TEXT($A669,"mmm")</f>
        <v>Oct</v>
      </c>
      <c r="C669" s="103" t="s">
        <v>107</v>
      </c>
      <c r="D669" s="103" t="s">
        <v>95</v>
      </c>
      <c r="E669" s="103" t="s">
        <v>83</v>
      </c>
      <c r="F669" s="103" t="s">
        <v>767</v>
      </c>
      <c r="G669" s="104">
        <v>3111.4742999999999</v>
      </c>
      <c r="H669" s="105">
        <v>8409.39</v>
      </c>
    </row>
    <row r="670" spans="1:8">
      <c r="A670" s="97">
        <v>38641</v>
      </c>
      <c r="B670" s="97" t="str">
        <f>TEXT($A670,"mmm")</f>
        <v>Oct</v>
      </c>
      <c r="C670" s="99" t="s">
        <v>79</v>
      </c>
      <c r="D670" s="99" t="s">
        <v>127</v>
      </c>
      <c r="E670" s="99" t="s">
        <v>96</v>
      </c>
      <c r="F670" s="99" t="s">
        <v>437</v>
      </c>
      <c r="G670" s="100">
        <v>5137.5224000000007</v>
      </c>
      <c r="H670" s="101">
        <v>7555.18</v>
      </c>
    </row>
    <row r="671" spans="1:8">
      <c r="A671" s="102">
        <v>38640</v>
      </c>
      <c r="B671" s="102" t="str">
        <f>TEXT($A671,"mmm")</f>
        <v>Oct</v>
      </c>
      <c r="C671" s="103" t="s">
        <v>86</v>
      </c>
      <c r="D671" s="103" t="s">
        <v>95</v>
      </c>
      <c r="E671" s="103" t="s">
        <v>122</v>
      </c>
      <c r="F671" s="103" t="s">
        <v>768</v>
      </c>
      <c r="G671" s="104">
        <v>3219.6067999999996</v>
      </c>
      <c r="H671" s="105">
        <v>8701.64</v>
      </c>
    </row>
    <row r="672" spans="1:8">
      <c r="A672" s="97">
        <v>38640</v>
      </c>
      <c r="B672" s="97" t="str">
        <f>TEXT($A672,"mmm")</f>
        <v>Oct</v>
      </c>
      <c r="C672" s="99" t="s">
        <v>104</v>
      </c>
      <c r="D672" s="99" t="s">
        <v>92</v>
      </c>
      <c r="E672" s="99" t="s">
        <v>93</v>
      </c>
      <c r="F672" s="99" t="s">
        <v>769</v>
      </c>
      <c r="G672" s="100">
        <v>2632.6793000000002</v>
      </c>
      <c r="H672" s="101">
        <v>6122.51</v>
      </c>
    </row>
    <row r="673" spans="1:8">
      <c r="A673" s="102">
        <v>38640</v>
      </c>
      <c r="B673" s="102" t="str">
        <f>TEXT($A673,"mmm")</f>
        <v>Oct</v>
      </c>
      <c r="C673" s="103" t="s">
        <v>79</v>
      </c>
      <c r="D673" s="103" t="s">
        <v>98</v>
      </c>
      <c r="E673" s="103" t="s">
        <v>94</v>
      </c>
      <c r="F673" s="103" t="s">
        <v>770</v>
      </c>
      <c r="G673" s="104">
        <v>1509.8930000000003</v>
      </c>
      <c r="H673" s="105">
        <v>2745.26</v>
      </c>
    </row>
    <row r="674" spans="1:8">
      <c r="A674" s="97">
        <v>38640</v>
      </c>
      <c r="B674" s="97" t="str">
        <f>TEXT($A674,"mmm")</f>
        <v>Oct</v>
      </c>
      <c r="C674" s="99" t="s">
        <v>107</v>
      </c>
      <c r="D674" s="99" t="s">
        <v>95</v>
      </c>
      <c r="E674" s="99" t="s">
        <v>83</v>
      </c>
      <c r="F674" s="99" t="s">
        <v>771</v>
      </c>
      <c r="G674" s="100">
        <v>926.09100000000001</v>
      </c>
      <c r="H674" s="101">
        <v>2057.98</v>
      </c>
    </row>
    <row r="675" spans="1:8">
      <c r="A675" s="102">
        <v>38640</v>
      </c>
      <c r="B675" s="102" t="str">
        <f>TEXT($A675,"mmm")</f>
        <v>Oct</v>
      </c>
      <c r="C675" s="103" t="s">
        <v>104</v>
      </c>
      <c r="D675" s="103" t="s">
        <v>87</v>
      </c>
      <c r="E675" s="103" t="s">
        <v>96</v>
      </c>
      <c r="F675" s="103" t="s">
        <v>772</v>
      </c>
      <c r="G675" s="104">
        <v>1227.1600000000001</v>
      </c>
      <c r="H675" s="105">
        <v>1394.5</v>
      </c>
    </row>
    <row r="676" spans="1:8">
      <c r="A676" s="97">
        <v>38640</v>
      </c>
      <c r="B676" s="97" t="str">
        <f>TEXT($A676,"mmm")</f>
        <v>Oct</v>
      </c>
      <c r="C676" s="99" t="s">
        <v>116</v>
      </c>
      <c r="D676" s="99" t="s">
        <v>95</v>
      </c>
      <c r="E676" s="99" t="s">
        <v>93</v>
      </c>
      <c r="F676" s="99" t="s">
        <v>773</v>
      </c>
      <c r="G676" s="100">
        <v>815.20889999999997</v>
      </c>
      <c r="H676" s="101">
        <v>1381.71</v>
      </c>
    </row>
    <row r="677" spans="1:8">
      <c r="A677" s="102">
        <v>38640</v>
      </c>
      <c r="B677" s="102" t="str">
        <f>TEXT($A677,"mmm")</f>
        <v>Oct</v>
      </c>
      <c r="C677" s="103" t="s">
        <v>104</v>
      </c>
      <c r="D677" s="103" t="s">
        <v>95</v>
      </c>
      <c r="E677" s="103" t="s">
        <v>120</v>
      </c>
      <c r="F677" s="103" t="s">
        <v>774</v>
      </c>
      <c r="G677" s="104">
        <v>321.40900000000005</v>
      </c>
      <c r="H677" s="105">
        <v>584.38</v>
      </c>
    </row>
    <row r="678" spans="1:8">
      <c r="A678" s="97">
        <v>38638</v>
      </c>
      <c r="B678" s="97" t="str">
        <f>TEXT($A678,"mmm")</f>
        <v>Oct</v>
      </c>
      <c r="C678" s="99" t="s">
        <v>79</v>
      </c>
      <c r="D678" s="99" t="s">
        <v>92</v>
      </c>
      <c r="E678" s="99" t="s">
        <v>144</v>
      </c>
      <c r="F678" s="99" t="s">
        <v>775</v>
      </c>
      <c r="G678" s="100">
        <v>2735.8984</v>
      </c>
      <c r="H678" s="101">
        <v>7394.32</v>
      </c>
    </row>
    <row r="679" spans="1:8">
      <c r="A679" s="102">
        <v>38638</v>
      </c>
      <c r="B679" s="102" t="str">
        <f>TEXT($A679,"mmm")</f>
        <v>Oct</v>
      </c>
      <c r="C679" s="103" t="s">
        <v>86</v>
      </c>
      <c r="D679" s="103" t="s">
        <v>127</v>
      </c>
      <c r="E679" s="103" t="s">
        <v>122</v>
      </c>
      <c r="F679" s="103" t="s">
        <v>776</v>
      </c>
      <c r="G679" s="104">
        <v>2395.2467999999999</v>
      </c>
      <c r="H679" s="105">
        <v>6473.64</v>
      </c>
    </row>
    <row r="680" spans="1:8">
      <c r="A680" s="97">
        <v>38638</v>
      </c>
      <c r="B680" s="97" t="str">
        <f>TEXT($A680,"mmm")</f>
        <v>Oct</v>
      </c>
      <c r="C680" s="99" t="s">
        <v>86</v>
      </c>
      <c r="D680" s="99" t="s">
        <v>92</v>
      </c>
      <c r="E680" s="99" t="s">
        <v>96</v>
      </c>
      <c r="F680" s="99" t="s">
        <v>777</v>
      </c>
      <c r="G680" s="100">
        <v>2704.5920000000001</v>
      </c>
      <c r="H680" s="101">
        <v>3073.4</v>
      </c>
    </row>
    <row r="681" spans="1:8">
      <c r="A681" s="102">
        <v>38638</v>
      </c>
      <c r="B681" s="102" t="str">
        <f>TEXT($A681,"mmm")</f>
        <v>Oct</v>
      </c>
      <c r="C681" s="103" t="s">
        <v>104</v>
      </c>
      <c r="D681" s="103" t="s">
        <v>80</v>
      </c>
      <c r="E681" s="103" t="s">
        <v>122</v>
      </c>
      <c r="F681" s="103" t="s">
        <v>778</v>
      </c>
      <c r="G681" s="104">
        <v>18.072799999999997</v>
      </c>
      <c r="H681" s="105">
        <v>31.16</v>
      </c>
    </row>
    <row r="682" spans="1:8">
      <c r="A682" s="97">
        <v>38637</v>
      </c>
      <c r="B682" s="97" t="str">
        <f>TEXT($A682,"mmm")</f>
        <v>Oct</v>
      </c>
      <c r="C682" s="99" t="s">
        <v>86</v>
      </c>
      <c r="D682" s="99" t="s">
        <v>80</v>
      </c>
      <c r="E682" s="99" t="s">
        <v>83</v>
      </c>
      <c r="F682" s="99" t="s">
        <v>779</v>
      </c>
      <c r="G682" s="100">
        <v>5599.6191999999992</v>
      </c>
      <c r="H682" s="101">
        <v>9490.8799999999992</v>
      </c>
    </row>
    <row r="683" spans="1:8">
      <c r="A683" s="102">
        <v>38637</v>
      </c>
      <c r="B683" s="102" t="str">
        <f>TEXT($A683,"mmm")</f>
        <v>Oct</v>
      </c>
      <c r="C683" s="103" t="s">
        <v>107</v>
      </c>
      <c r="D683" s="103" t="s">
        <v>87</v>
      </c>
      <c r="E683" s="103" t="s">
        <v>89</v>
      </c>
      <c r="F683" s="103" t="s">
        <v>780</v>
      </c>
      <c r="G683" s="104">
        <v>1077.8040000000001</v>
      </c>
      <c r="H683" s="105">
        <v>2395.12</v>
      </c>
    </row>
    <row r="684" spans="1:8">
      <c r="A684" s="97">
        <v>38637</v>
      </c>
      <c r="B684" s="97" t="str">
        <f>TEXT($A684,"mmm")</f>
        <v>Oct</v>
      </c>
      <c r="C684" s="99" t="s">
        <v>86</v>
      </c>
      <c r="D684" s="99" t="s">
        <v>80</v>
      </c>
      <c r="E684" s="99" t="s">
        <v>108</v>
      </c>
      <c r="F684" s="99" t="s">
        <v>781</v>
      </c>
      <c r="G684" s="100">
        <v>303.97390000000001</v>
      </c>
      <c r="H684" s="101">
        <v>515.21</v>
      </c>
    </row>
    <row r="685" spans="1:8">
      <c r="A685" s="102">
        <v>38636</v>
      </c>
      <c r="B685" s="102" t="str">
        <f>TEXT($A685,"mmm")</f>
        <v>Oct</v>
      </c>
      <c r="C685" s="103" t="s">
        <v>104</v>
      </c>
      <c r="D685" s="103" t="s">
        <v>87</v>
      </c>
      <c r="E685" s="103" t="s">
        <v>83</v>
      </c>
      <c r="F685" s="103" t="s">
        <v>782</v>
      </c>
      <c r="G685" s="104">
        <v>396.12650000000002</v>
      </c>
      <c r="H685" s="105">
        <v>720.23</v>
      </c>
    </row>
    <row r="686" spans="1:8">
      <c r="A686" s="97">
        <v>38635</v>
      </c>
      <c r="B686" s="97" t="str">
        <f>TEXT($A686,"mmm")</f>
        <v>Oct</v>
      </c>
      <c r="C686" s="99" t="s">
        <v>86</v>
      </c>
      <c r="D686" s="99" t="s">
        <v>101</v>
      </c>
      <c r="E686" s="99" t="s">
        <v>96</v>
      </c>
      <c r="F686" s="99" t="s">
        <v>783</v>
      </c>
      <c r="G686" s="100">
        <v>4141.4074000000001</v>
      </c>
      <c r="H686" s="101">
        <v>9631.18</v>
      </c>
    </row>
    <row r="687" spans="1:8">
      <c r="A687" s="102">
        <v>38635</v>
      </c>
      <c r="B687" s="102" t="str">
        <f>TEXT($A687,"mmm")</f>
        <v>Oct</v>
      </c>
      <c r="C687" s="103" t="s">
        <v>104</v>
      </c>
      <c r="D687" s="103" t="s">
        <v>114</v>
      </c>
      <c r="E687" s="103" t="s">
        <v>96</v>
      </c>
      <c r="F687" s="103" t="s">
        <v>784</v>
      </c>
      <c r="G687" s="104">
        <v>3688.4848000000002</v>
      </c>
      <c r="H687" s="105">
        <v>4191.46</v>
      </c>
    </row>
    <row r="688" spans="1:8">
      <c r="A688" s="97">
        <v>38634</v>
      </c>
      <c r="B688" s="97" t="str">
        <f>TEXT($A688,"mmm")</f>
        <v>Oct</v>
      </c>
      <c r="C688" s="99" t="s">
        <v>107</v>
      </c>
      <c r="D688" s="99" t="s">
        <v>80</v>
      </c>
      <c r="E688" s="99" t="s">
        <v>108</v>
      </c>
      <c r="F688" s="99" t="s">
        <v>785</v>
      </c>
      <c r="G688" s="100">
        <v>2718.9459000000002</v>
      </c>
      <c r="H688" s="101">
        <v>6323.13</v>
      </c>
    </row>
    <row r="689" spans="1:8">
      <c r="A689" s="102">
        <v>38634</v>
      </c>
      <c r="B689" s="102" t="str">
        <f>TEXT($A689,"mmm")</f>
        <v>Oct</v>
      </c>
      <c r="C689" s="103" t="s">
        <v>107</v>
      </c>
      <c r="D689" s="103" t="s">
        <v>114</v>
      </c>
      <c r="E689" s="103" t="s">
        <v>93</v>
      </c>
      <c r="F689" s="103" t="s">
        <v>786</v>
      </c>
      <c r="G689" s="104">
        <v>2970.6633000000002</v>
      </c>
      <c r="H689" s="105">
        <v>3177.18</v>
      </c>
    </row>
    <row r="690" spans="1:8">
      <c r="A690" s="97">
        <v>38634</v>
      </c>
      <c r="B690" s="97" t="str">
        <f>TEXT($A690,"mmm")</f>
        <v>Oct</v>
      </c>
      <c r="C690" s="99" t="s">
        <v>116</v>
      </c>
      <c r="D690" s="99" t="s">
        <v>87</v>
      </c>
      <c r="E690" s="99" t="s">
        <v>83</v>
      </c>
      <c r="F690" s="99" t="s">
        <v>787</v>
      </c>
      <c r="G690" s="100">
        <v>373.66500000000002</v>
      </c>
      <c r="H690" s="101">
        <v>498.22</v>
      </c>
    </row>
    <row r="691" spans="1:8">
      <c r="A691" s="102">
        <v>38633</v>
      </c>
      <c r="B691" s="102" t="str">
        <f>TEXT($A691,"mmm")</f>
        <v>Oct</v>
      </c>
      <c r="C691" s="103" t="s">
        <v>79</v>
      </c>
      <c r="D691" s="103" t="s">
        <v>95</v>
      </c>
      <c r="E691" s="103" t="s">
        <v>120</v>
      </c>
      <c r="F691" s="103" t="s">
        <v>788</v>
      </c>
      <c r="G691" s="104">
        <v>6220.4428000000007</v>
      </c>
      <c r="H691" s="105">
        <v>6652.88</v>
      </c>
    </row>
    <row r="692" spans="1:8">
      <c r="A692" s="97">
        <v>38633</v>
      </c>
      <c r="B692" s="97" t="str">
        <f>TEXT($A692,"mmm")</f>
        <v>Oct</v>
      </c>
      <c r="C692" s="99" t="s">
        <v>79</v>
      </c>
      <c r="D692" s="99" t="s">
        <v>87</v>
      </c>
      <c r="E692" s="99" t="s">
        <v>96</v>
      </c>
      <c r="F692" s="99" t="s">
        <v>789</v>
      </c>
      <c r="G692" s="100">
        <v>2840.8854000000001</v>
      </c>
      <c r="H692" s="101">
        <v>4815.0600000000004</v>
      </c>
    </row>
    <row r="693" spans="1:8">
      <c r="A693" s="102">
        <v>38633</v>
      </c>
      <c r="B693" s="102" t="str">
        <f>TEXT($A693,"mmm")</f>
        <v>Oct</v>
      </c>
      <c r="C693" s="103" t="s">
        <v>86</v>
      </c>
      <c r="D693" s="103" t="s">
        <v>127</v>
      </c>
      <c r="E693" s="103" t="s">
        <v>96</v>
      </c>
      <c r="F693" s="103" t="s">
        <v>790</v>
      </c>
      <c r="G693" s="104">
        <v>1035.8505</v>
      </c>
      <c r="H693" s="105">
        <v>2301.89</v>
      </c>
    </row>
    <row r="694" spans="1:8">
      <c r="A694" s="97">
        <v>38632</v>
      </c>
      <c r="B694" s="97" t="str">
        <f>TEXT($A694,"mmm")</f>
        <v>Oct</v>
      </c>
      <c r="C694" s="99" t="s">
        <v>104</v>
      </c>
      <c r="D694" s="99" t="s">
        <v>114</v>
      </c>
      <c r="E694" s="99" t="s">
        <v>94</v>
      </c>
      <c r="F694" s="99" t="s">
        <v>791</v>
      </c>
      <c r="G694" s="100">
        <v>5117.5139999999992</v>
      </c>
      <c r="H694" s="101">
        <v>8823.2999999999993</v>
      </c>
    </row>
    <row r="695" spans="1:8">
      <c r="A695" s="102">
        <v>38632</v>
      </c>
      <c r="B695" s="102" t="str">
        <f>TEXT($A695,"mmm")</f>
        <v>Oct</v>
      </c>
      <c r="C695" s="103" t="s">
        <v>104</v>
      </c>
      <c r="D695" s="103" t="s">
        <v>114</v>
      </c>
      <c r="E695" s="103" t="s">
        <v>99</v>
      </c>
      <c r="F695" s="103" t="s">
        <v>792</v>
      </c>
      <c r="G695" s="104">
        <v>3328.6858999999999</v>
      </c>
      <c r="H695" s="105">
        <v>7741.13</v>
      </c>
    </row>
    <row r="696" spans="1:8">
      <c r="A696" s="97">
        <v>38632</v>
      </c>
      <c r="B696" s="97" t="str">
        <f>TEXT($A696,"mmm")</f>
        <v>Oct</v>
      </c>
      <c r="C696" s="99" t="s">
        <v>107</v>
      </c>
      <c r="D696" s="99" t="s">
        <v>87</v>
      </c>
      <c r="E696" s="99" t="s">
        <v>96</v>
      </c>
      <c r="F696" s="99" t="s">
        <v>793</v>
      </c>
      <c r="G696" s="100">
        <v>3464.6370000000002</v>
      </c>
      <c r="H696" s="101">
        <v>6299.34</v>
      </c>
    </row>
    <row r="697" spans="1:8">
      <c r="A697" s="102">
        <v>38632</v>
      </c>
      <c r="B697" s="102" t="str">
        <f>TEXT($A697,"mmm")</f>
        <v>Oct</v>
      </c>
      <c r="C697" s="103" t="s">
        <v>86</v>
      </c>
      <c r="D697" s="103" t="s">
        <v>114</v>
      </c>
      <c r="E697" s="103" t="s">
        <v>83</v>
      </c>
      <c r="F697" s="103" t="s">
        <v>794</v>
      </c>
      <c r="G697" s="104">
        <v>3641.6343999999999</v>
      </c>
      <c r="H697" s="105">
        <v>6278.68</v>
      </c>
    </row>
    <row r="698" spans="1:8">
      <c r="A698" s="97">
        <v>38631</v>
      </c>
      <c r="B698" s="97" t="str">
        <f>TEXT($A698,"mmm")</f>
        <v>Oct</v>
      </c>
      <c r="C698" s="99" t="s">
        <v>86</v>
      </c>
      <c r="D698" s="99" t="s">
        <v>101</v>
      </c>
      <c r="E698" s="99" t="s">
        <v>99</v>
      </c>
      <c r="F698" s="99" t="s">
        <v>795</v>
      </c>
      <c r="G698" s="100">
        <v>5754.3920500000004</v>
      </c>
      <c r="H698" s="101">
        <v>6154.43</v>
      </c>
    </row>
    <row r="699" spans="1:8">
      <c r="A699" s="102">
        <v>38631</v>
      </c>
      <c r="B699" s="102" t="str">
        <f>TEXT($A699,"mmm")</f>
        <v>Oct</v>
      </c>
      <c r="C699" s="103" t="s">
        <v>79</v>
      </c>
      <c r="D699" s="103" t="s">
        <v>92</v>
      </c>
      <c r="E699" s="103" t="s">
        <v>129</v>
      </c>
      <c r="F699" s="103" t="s">
        <v>796</v>
      </c>
      <c r="G699" s="104">
        <v>981.53969999999993</v>
      </c>
      <c r="H699" s="105">
        <v>2652.81</v>
      </c>
    </row>
    <row r="700" spans="1:8">
      <c r="A700" s="97">
        <v>38630</v>
      </c>
      <c r="B700" s="97" t="str">
        <f>TEXT($A700,"mmm")</f>
        <v>Oct</v>
      </c>
      <c r="C700" s="99" t="s">
        <v>79</v>
      </c>
      <c r="D700" s="99" t="s">
        <v>101</v>
      </c>
      <c r="E700" s="99" t="s">
        <v>93</v>
      </c>
      <c r="F700" s="99" t="s">
        <v>797</v>
      </c>
      <c r="G700" s="100">
        <v>1365.32</v>
      </c>
      <c r="H700" s="101">
        <v>1551.5</v>
      </c>
    </row>
    <row r="701" spans="1:8">
      <c r="A701" s="102">
        <v>38629</v>
      </c>
      <c r="B701" s="102" t="str">
        <f>TEXT($A701,"mmm")</f>
        <v>Oct</v>
      </c>
      <c r="C701" s="103" t="s">
        <v>107</v>
      </c>
      <c r="D701" s="103" t="s">
        <v>95</v>
      </c>
      <c r="E701" s="103" t="s">
        <v>120</v>
      </c>
      <c r="F701" s="103" t="s">
        <v>798</v>
      </c>
      <c r="G701" s="104">
        <v>8748.7752</v>
      </c>
      <c r="H701" s="105">
        <v>9941.7900000000009</v>
      </c>
    </row>
    <row r="702" spans="1:8">
      <c r="A702" s="97">
        <v>38629</v>
      </c>
      <c r="B702" s="97" t="str">
        <f>TEXT($A702,"mmm")</f>
        <v>Oct</v>
      </c>
      <c r="C702" s="99" t="s">
        <v>116</v>
      </c>
      <c r="D702" s="99" t="s">
        <v>80</v>
      </c>
      <c r="E702" s="99" t="s">
        <v>83</v>
      </c>
      <c r="F702" s="99" t="s">
        <v>799</v>
      </c>
      <c r="G702" s="100">
        <v>3640.3153000000002</v>
      </c>
      <c r="H702" s="101">
        <v>9838.69</v>
      </c>
    </row>
    <row r="703" spans="1:8">
      <c r="A703" s="102">
        <v>38629</v>
      </c>
      <c r="B703" s="102" t="str">
        <f>TEXT($A703,"mmm")</f>
        <v>Oct</v>
      </c>
      <c r="C703" s="103" t="s">
        <v>79</v>
      </c>
      <c r="D703" s="103" t="s">
        <v>87</v>
      </c>
      <c r="E703" s="103" t="s">
        <v>108</v>
      </c>
      <c r="F703" s="103" t="s">
        <v>800</v>
      </c>
      <c r="G703" s="104">
        <v>5254.0208000000002</v>
      </c>
      <c r="H703" s="105">
        <v>8905.1200000000008</v>
      </c>
    </row>
    <row r="704" spans="1:8">
      <c r="A704" s="97">
        <v>38629</v>
      </c>
      <c r="B704" s="97" t="str">
        <f>TEXT($A704,"mmm")</f>
        <v>Oct</v>
      </c>
      <c r="C704" s="99" t="s">
        <v>104</v>
      </c>
      <c r="D704" s="99" t="s">
        <v>114</v>
      </c>
      <c r="E704" s="99" t="s">
        <v>144</v>
      </c>
      <c r="F704" s="99" t="s">
        <v>801</v>
      </c>
      <c r="G704" s="100">
        <v>620.58029999999997</v>
      </c>
      <c r="H704" s="101">
        <v>1443.21</v>
      </c>
    </row>
    <row r="705" spans="1:8">
      <c r="A705" s="102">
        <v>38628</v>
      </c>
      <c r="B705" s="102" t="str">
        <f>TEXT($A705,"mmm")</f>
        <v>Oct</v>
      </c>
      <c r="C705" s="103" t="s">
        <v>116</v>
      </c>
      <c r="D705" s="103" t="s">
        <v>95</v>
      </c>
      <c r="E705" s="103" t="s">
        <v>158</v>
      </c>
      <c r="F705" s="103" t="s">
        <v>802</v>
      </c>
      <c r="G705" s="104">
        <v>9189.7783999999992</v>
      </c>
      <c r="H705" s="105">
        <v>9828.64</v>
      </c>
    </row>
    <row r="706" spans="1:8">
      <c r="A706" s="97">
        <v>38628</v>
      </c>
      <c r="B706" s="97" t="str">
        <f>TEXT($A706,"mmm")</f>
        <v>Oct</v>
      </c>
      <c r="C706" s="99" t="s">
        <v>86</v>
      </c>
      <c r="D706" s="99" t="s">
        <v>127</v>
      </c>
      <c r="E706" s="99" t="s">
        <v>81</v>
      </c>
      <c r="F706" s="99" t="s">
        <v>803</v>
      </c>
      <c r="G706" s="100">
        <v>4853.282400000001</v>
      </c>
      <c r="H706" s="101">
        <v>7137.18</v>
      </c>
    </row>
    <row r="707" spans="1:8">
      <c r="A707" s="102">
        <v>38628</v>
      </c>
      <c r="B707" s="102" t="str">
        <f>TEXT($A707,"mmm")</f>
        <v>Oct</v>
      </c>
      <c r="C707" s="103" t="s">
        <v>79</v>
      </c>
      <c r="D707" s="103" t="s">
        <v>95</v>
      </c>
      <c r="E707" s="103" t="s">
        <v>96</v>
      </c>
      <c r="F707" s="103" t="s">
        <v>804</v>
      </c>
      <c r="G707" s="104">
        <v>3840.1176000000005</v>
      </c>
      <c r="H707" s="105">
        <v>4363.7700000000004</v>
      </c>
    </row>
    <row r="708" spans="1:8">
      <c r="A708" s="97">
        <v>38628</v>
      </c>
      <c r="B708" s="97" t="str">
        <f>TEXT($A708,"mmm")</f>
        <v>Oct</v>
      </c>
      <c r="C708" s="99" t="s">
        <v>116</v>
      </c>
      <c r="D708" s="99" t="s">
        <v>98</v>
      </c>
      <c r="E708" s="99" t="s">
        <v>96</v>
      </c>
      <c r="F708" s="99" t="s">
        <v>805</v>
      </c>
      <c r="G708" s="100">
        <v>1461.2336</v>
      </c>
      <c r="H708" s="101">
        <v>3949.28</v>
      </c>
    </row>
    <row r="709" spans="1:8">
      <c r="A709" s="102">
        <v>38627</v>
      </c>
      <c r="B709" s="102" t="str">
        <f>TEXT($A709,"mmm")</f>
        <v>Oct</v>
      </c>
      <c r="C709" s="103" t="s">
        <v>79</v>
      </c>
      <c r="D709" s="103" t="s">
        <v>92</v>
      </c>
      <c r="E709" s="103" t="s">
        <v>89</v>
      </c>
      <c r="F709" s="103" t="s">
        <v>806</v>
      </c>
      <c r="G709" s="104">
        <v>7832.0792000000001</v>
      </c>
      <c r="H709" s="105">
        <v>8900.09</v>
      </c>
    </row>
    <row r="710" spans="1:8">
      <c r="A710" s="97">
        <v>38627</v>
      </c>
      <c r="B710" s="97" t="str">
        <f>TEXT($A710,"mmm")</f>
        <v>Oct</v>
      </c>
      <c r="C710" s="99" t="s">
        <v>116</v>
      </c>
      <c r="D710" s="99" t="s">
        <v>87</v>
      </c>
      <c r="E710" s="99" t="s">
        <v>94</v>
      </c>
      <c r="F710" s="99" t="s">
        <v>807</v>
      </c>
      <c r="G710" s="100">
        <v>4428.5120000000006</v>
      </c>
      <c r="H710" s="101">
        <v>8051.84</v>
      </c>
    </row>
    <row r="711" spans="1:8">
      <c r="A711" s="102">
        <v>38627</v>
      </c>
      <c r="B711" s="102" t="str">
        <f>TEXT($A711,"mmm")</f>
        <v>Oct</v>
      </c>
      <c r="C711" s="103" t="s">
        <v>79</v>
      </c>
      <c r="D711" s="103" t="s">
        <v>98</v>
      </c>
      <c r="E711" s="103" t="s">
        <v>122</v>
      </c>
      <c r="F711" s="103" t="s">
        <v>808</v>
      </c>
      <c r="G711" s="104">
        <v>1844.1947000000002</v>
      </c>
      <c r="H711" s="105">
        <v>4984.3100000000004</v>
      </c>
    </row>
    <row r="712" spans="1:8">
      <c r="A712" s="97">
        <v>38627</v>
      </c>
      <c r="B712" s="97" t="str">
        <f>TEXT($A712,"mmm")</f>
        <v>Oct</v>
      </c>
      <c r="C712" s="99" t="s">
        <v>116</v>
      </c>
      <c r="D712" s="99" t="s">
        <v>80</v>
      </c>
      <c r="E712" s="99" t="s">
        <v>108</v>
      </c>
      <c r="F712" s="99" t="s">
        <v>809</v>
      </c>
      <c r="G712" s="100">
        <v>167.9623</v>
      </c>
      <c r="H712" s="101">
        <v>390.61</v>
      </c>
    </row>
    <row r="713" spans="1:8">
      <c r="A713" s="102">
        <v>38627</v>
      </c>
      <c r="B713" s="102" t="str">
        <f>TEXT($A713,"mmm")</f>
        <v>Oct</v>
      </c>
      <c r="C713" s="103" t="s">
        <v>107</v>
      </c>
      <c r="D713" s="103" t="s">
        <v>95</v>
      </c>
      <c r="E713" s="103" t="s">
        <v>129</v>
      </c>
      <c r="F713" s="103" t="s">
        <v>810</v>
      </c>
      <c r="G713" s="104">
        <v>96.988399999999999</v>
      </c>
      <c r="H713" s="105">
        <v>142.63</v>
      </c>
    </row>
    <row r="714" spans="1:8">
      <c r="A714" s="97">
        <v>38625</v>
      </c>
      <c r="B714" s="97" t="str">
        <f>TEXT($A714,"mmm")</f>
        <v>Sep</v>
      </c>
      <c r="C714" s="99" t="s">
        <v>116</v>
      </c>
      <c r="D714" s="99" t="s">
        <v>114</v>
      </c>
      <c r="E714" s="99" t="s">
        <v>108</v>
      </c>
      <c r="F714" s="99" t="s">
        <v>811</v>
      </c>
      <c r="G714" s="100">
        <v>472.37850000000003</v>
      </c>
      <c r="H714" s="101">
        <v>1049.73</v>
      </c>
    </row>
    <row r="715" spans="1:8">
      <c r="A715" s="102">
        <v>38625</v>
      </c>
      <c r="B715" s="102" t="str">
        <f>TEXT($A715,"mmm")</f>
        <v>Sep</v>
      </c>
      <c r="C715" s="103" t="s">
        <v>107</v>
      </c>
      <c r="D715" s="103" t="s">
        <v>87</v>
      </c>
      <c r="E715" s="103" t="s">
        <v>158</v>
      </c>
      <c r="F715" s="103" t="s">
        <v>812</v>
      </c>
      <c r="G715" s="104">
        <v>947.32330000000002</v>
      </c>
      <c r="H715" s="105">
        <v>1013.18</v>
      </c>
    </row>
    <row r="716" spans="1:8">
      <c r="A716" s="97">
        <v>38625</v>
      </c>
      <c r="B716" s="97" t="str">
        <f>TEXT($A716,"mmm")</f>
        <v>Sep</v>
      </c>
      <c r="C716" s="99" t="s">
        <v>79</v>
      </c>
      <c r="D716" s="99" t="s">
        <v>92</v>
      </c>
      <c r="E716" s="99" t="s">
        <v>83</v>
      </c>
      <c r="F716" s="99" t="s">
        <v>813</v>
      </c>
      <c r="G716" s="100">
        <v>627.93920000000003</v>
      </c>
      <c r="H716" s="101">
        <v>923.44</v>
      </c>
    </row>
    <row r="717" spans="1:8">
      <c r="A717" s="102">
        <v>38625</v>
      </c>
      <c r="B717" s="102" t="str">
        <f>TEXT($A717,"mmm")</f>
        <v>Sep</v>
      </c>
      <c r="C717" s="103" t="s">
        <v>107</v>
      </c>
      <c r="D717" s="103" t="s">
        <v>98</v>
      </c>
      <c r="E717" s="103" t="s">
        <v>81</v>
      </c>
      <c r="F717" s="103" t="s">
        <v>814</v>
      </c>
      <c r="G717" s="104">
        <v>610.89840000000004</v>
      </c>
      <c r="H717" s="105">
        <v>898.38</v>
      </c>
    </row>
    <row r="718" spans="1:8">
      <c r="A718" s="97">
        <v>38624</v>
      </c>
      <c r="B718" s="97" t="str">
        <f>TEXT($A718,"mmm")</f>
        <v>Sep</v>
      </c>
      <c r="C718" s="99" t="s">
        <v>79</v>
      </c>
      <c r="D718" s="99" t="s">
        <v>101</v>
      </c>
      <c r="E718" s="99" t="s">
        <v>83</v>
      </c>
      <c r="F718" s="99" t="s">
        <v>815</v>
      </c>
      <c r="G718" s="100">
        <v>6424.8304000000007</v>
      </c>
      <c r="H718" s="101">
        <v>9448.2800000000007</v>
      </c>
    </row>
    <row r="719" spans="1:8">
      <c r="A719" s="102">
        <v>38624</v>
      </c>
      <c r="B719" s="102" t="str">
        <f>TEXT($A719,"mmm")</f>
        <v>Sep</v>
      </c>
      <c r="C719" s="103" t="s">
        <v>86</v>
      </c>
      <c r="D719" s="103" t="s">
        <v>87</v>
      </c>
      <c r="E719" s="103" t="s">
        <v>94</v>
      </c>
      <c r="F719" s="103" t="s">
        <v>816</v>
      </c>
      <c r="G719" s="104">
        <v>3030.5173999999997</v>
      </c>
      <c r="H719" s="105">
        <v>5225.03</v>
      </c>
    </row>
    <row r="720" spans="1:8">
      <c r="A720" s="97">
        <v>38623</v>
      </c>
      <c r="B720" s="97" t="str">
        <f>TEXT($A720,"mmm")</f>
        <v>Sep</v>
      </c>
      <c r="C720" s="99" t="s">
        <v>79</v>
      </c>
      <c r="D720" s="99" t="s">
        <v>95</v>
      </c>
      <c r="E720" s="99" t="s">
        <v>96</v>
      </c>
      <c r="F720" s="99" t="s">
        <v>817</v>
      </c>
      <c r="G720" s="100">
        <v>5666.4433999999992</v>
      </c>
      <c r="H720" s="101">
        <v>9769.73</v>
      </c>
    </row>
    <row r="721" spans="1:8">
      <c r="A721" s="102">
        <v>38623</v>
      </c>
      <c r="B721" s="102" t="str">
        <f>TEXT($A721,"mmm")</f>
        <v>Sep</v>
      </c>
      <c r="C721" s="103" t="s">
        <v>116</v>
      </c>
      <c r="D721" s="103" t="s">
        <v>92</v>
      </c>
      <c r="E721" s="103" t="s">
        <v>129</v>
      </c>
      <c r="F721" s="103" t="s">
        <v>818</v>
      </c>
      <c r="G721" s="104">
        <v>1000.4775</v>
      </c>
      <c r="H721" s="105">
        <v>1333.97</v>
      </c>
    </row>
    <row r="722" spans="1:8">
      <c r="A722" s="97">
        <v>38623</v>
      </c>
      <c r="B722" s="97" t="str">
        <f>TEXT($A722,"mmm")</f>
        <v>Sep</v>
      </c>
      <c r="C722" s="99" t="s">
        <v>116</v>
      </c>
      <c r="D722" s="99" t="s">
        <v>127</v>
      </c>
      <c r="E722" s="99" t="s">
        <v>96</v>
      </c>
      <c r="F722" s="99" t="s">
        <v>819</v>
      </c>
      <c r="G722" s="100">
        <v>1013.1176</v>
      </c>
      <c r="H722" s="101">
        <v>1151.27</v>
      </c>
    </row>
    <row r="723" spans="1:8">
      <c r="A723" s="102">
        <v>38622</v>
      </c>
      <c r="B723" s="102" t="str">
        <f>TEXT($A723,"mmm")</f>
        <v>Sep</v>
      </c>
      <c r="C723" s="103" t="s">
        <v>116</v>
      </c>
      <c r="D723" s="103" t="s">
        <v>92</v>
      </c>
      <c r="E723" s="103" t="s">
        <v>99</v>
      </c>
      <c r="F723" s="103" t="s">
        <v>741</v>
      </c>
      <c r="G723" s="104">
        <v>2648.4232000000002</v>
      </c>
      <c r="H723" s="105">
        <v>3894.74</v>
      </c>
    </row>
    <row r="724" spans="1:8">
      <c r="A724" s="97">
        <v>38621</v>
      </c>
      <c r="B724" s="97" t="str">
        <f>TEXT($A724,"mmm")</f>
        <v>Sep</v>
      </c>
      <c r="C724" s="99" t="s">
        <v>107</v>
      </c>
      <c r="D724" s="99" t="s">
        <v>95</v>
      </c>
      <c r="E724" s="99" t="s">
        <v>89</v>
      </c>
      <c r="F724" s="99" t="s">
        <v>820</v>
      </c>
      <c r="G724" s="100">
        <v>5590.2749999999996</v>
      </c>
      <c r="H724" s="101">
        <v>7453.7</v>
      </c>
    </row>
    <row r="725" spans="1:8">
      <c r="A725" s="102">
        <v>38621</v>
      </c>
      <c r="B725" s="102" t="str">
        <f>TEXT($A725,"mmm")</f>
        <v>Sep</v>
      </c>
      <c r="C725" s="103" t="s">
        <v>79</v>
      </c>
      <c r="D725" s="103" t="s">
        <v>114</v>
      </c>
      <c r="E725" s="103" t="s">
        <v>144</v>
      </c>
      <c r="F725" s="103" t="s">
        <v>821</v>
      </c>
      <c r="G725" s="104">
        <v>1731.3522</v>
      </c>
      <c r="H725" s="105">
        <v>2985.09</v>
      </c>
    </row>
    <row r="726" spans="1:8">
      <c r="A726" s="97">
        <v>38621</v>
      </c>
      <c r="B726" s="97" t="str">
        <f>TEXT($A726,"mmm")</f>
        <v>Sep</v>
      </c>
      <c r="C726" s="99" t="s">
        <v>116</v>
      </c>
      <c r="D726" s="99" t="s">
        <v>92</v>
      </c>
      <c r="E726" s="99" t="s">
        <v>108</v>
      </c>
      <c r="F726" s="99" t="s">
        <v>822</v>
      </c>
      <c r="G726" s="100">
        <v>403.83879999999999</v>
      </c>
      <c r="H726" s="101">
        <v>939.16</v>
      </c>
    </row>
    <row r="727" spans="1:8">
      <c r="A727" s="102">
        <v>38620</v>
      </c>
      <c r="B727" s="102" t="str">
        <f>TEXT($A727,"mmm")</f>
        <v>Sep</v>
      </c>
      <c r="C727" s="103" t="s">
        <v>107</v>
      </c>
      <c r="D727" s="103" t="s">
        <v>92</v>
      </c>
      <c r="E727" s="103" t="s">
        <v>129</v>
      </c>
      <c r="F727" s="103" t="s">
        <v>823</v>
      </c>
      <c r="G727" s="104">
        <v>4152.5415000000003</v>
      </c>
      <c r="H727" s="105">
        <v>9227.8700000000008</v>
      </c>
    </row>
    <row r="728" spans="1:8">
      <c r="A728" s="97">
        <v>38620</v>
      </c>
      <c r="B728" s="97" t="str">
        <f>TEXT($A728,"mmm")</f>
        <v>Sep</v>
      </c>
      <c r="C728" s="99" t="s">
        <v>116</v>
      </c>
      <c r="D728" s="99" t="s">
        <v>87</v>
      </c>
      <c r="E728" s="99" t="s">
        <v>120</v>
      </c>
      <c r="F728" s="99" t="s">
        <v>824</v>
      </c>
      <c r="G728" s="100">
        <v>5781.8175000000001</v>
      </c>
      <c r="H728" s="101">
        <v>7709.09</v>
      </c>
    </row>
    <row r="729" spans="1:8">
      <c r="A729" s="102">
        <v>38620</v>
      </c>
      <c r="B729" s="102" t="str">
        <f>TEXT($A729,"mmm")</f>
        <v>Sep</v>
      </c>
      <c r="C729" s="103" t="s">
        <v>107</v>
      </c>
      <c r="D729" s="103" t="s">
        <v>127</v>
      </c>
      <c r="E729" s="103" t="s">
        <v>96</v>
      </c>
      <c r="F729" s="103" t="s">
        <v>825</v>
      </c>
      <c r="G729" s="104">
        <v>3753.7632000000003</v>
      </c>
      <c r="H729" s="105">
        <v>4265.6400000000003</v>
      </c>
    </row>
    <row r="730" spans="1:8">
      <c r="A730" s="97">
        <v>38620</v>
      </c>
      <c r="B730" s="97" t="str">
        <f>TEXT($A730,"mmm")</f>
        <v>Sep</v>
      </c>
      <c r="C730" s="99" t="s">
        <v>86</v>
      </c>
      <c r="D730" s="99" t="s">
        <v>80</v>
      </c>
      <c r="E730" s="99" t="s">
        <v>93</v>
      </c>
      <c r="F730" s="99" t="s">
        <v>826</v>
      </c>
      <c r="G730" s="100">
        <v>1503.7125000000001</v>
      </c>
      <c r="H730" s="101">
        <v>2004.95</v>
      </c>
    </row>
    <row r="731" spans="1:8">
      <c r="A731" s="102">
        <v>38619</v>
      </c>
      <c r="B731" s="102" t="str">
        <f>TEXT($A731,"mmm")</f>
        <v>Sep</v>
      </c>
      <c r="C731" s="103" t="s">
        <v>79</v>
      </c>
      <c r="D731" s="103" t="s">
        <v>92</v>
      </c>
      <c r="E731" s="103" t="s">
        <v>83</v>
      </c>
      <c r="F731" s="103" t="s">
        <v>827</v>
      </c>
      <c r="G731" s="104">
        <v>2393.3880000000004</v>
      </c>
      <c r="H731" s="105">
        <v>5318.64</v>
      </c>
    </row>
    <row r="732" spans="1:8">
      <c r="A732" s="97">
        <v>38619</v>
      </c>
      <c r="B732" s="97" t="str">
        <f>TEXT($A732,"mmm")</f>
        <v>Sep</v>
      </c>
      <c r="C732" s="99" t="s">
        <v>86</v>
      </c>
      <c r="D732" s="99" t="s">
        <v>101</v>
      </c>
      <c r="E732" s="99" t="s">
        <v>158</v>
      </c>
      <c r="F732" s="99" t="s">
        <v>828</v>
      </c>
      <c r="G732" s="100">
        <v>3337.1625000000004</v>
      </c>
      <c r="H732" s="101">
        <v>4449.55</v>
      </c>
    </row>
    <row r="733" spans="1:8">
      <c r="A733" s="102">
        <v>38619</v>
      </c>
      <c r="B733" s="102" t="str">
        <f>TEXT($A733,"mmm")</f>
        <v>Sep</v>
      </c>
      <c r="C733" s="103" t="s">
        <v>107</v>
      </c>
      <c r="D733" s="103" t="s">
        <v>80</v>
      </c>
      <c r="E733" s="103" t="s">
        <v>144</v>
      </c>
      <c r="F733" s="103" t="s">
        <v>390</v>
      </c>
      <c r="G733" s="104">
        <v>2727.3</v>
      </c>
      <c r="H733" s="105">
        <v>3636.4</v>
      </c>
    </row>
    <row r="734" spans="1:8">
      <c r="A734" s="97">
        <v>38618</v>
      </c>
      <c r="B734" s="97" t="str">
        <f>TEXT($A734,"mmm")</f>
        <v>Sep</v>
      </c>
      <c r="C734" s="99" t="s">
        <v>116</v>
      </c>
      <c r="D734" s="99" t="s">
        <v>101</v>
      </c>
      <c r="E734" s="99" t="s">
        <v>81</v>
      </c>
      <c r="F734" s="99" t="s">
        <v>829</v>
      </c>
      <c r="G734" s="100">
        <v>4440.5185000000001</v>
      </c>
      <c r="H734" s="101">
        <v>8073.67</v>
      </c>
    </row>
    <row r="735" spans="1:8">
      <c r="A735" s="102">
        <v>38618</v>
      </c>
      <c r="B735" s="102" t="str">
        <f>TEXT($A735,"mmm")</f>
        <v>Sep</v>
      </c>
      <c r="C735" s="103" t="s">
        <v>79</v>
      </c>
      <c r="D735" s="103" t="s">
        <v>92</v>
      </c>
      <c r="E735" s="103" t="s">
        <v>105</v>
      </c>
      <c r="F735" s="103" t="s">
        <v>830</v>
      </c>
      <c r="G735" s="104">
        <v>2421.2420000000002</v>
      </c>
      <c r="H735" s="105">
        <v>3560.65</v>
      </c>
    </row>
    <row r="736" spans="1:8">
      <c r="A736" s="97">
        <v>38618</v>
      </c>
      <c r="B736" s="97" t="str">
        <f>TEXT($A736,"mmm")</f>
        <v>Sep</v>
      </c>
      <c r="C736" s="99" t="s">
        <v>79</v>
      </c>
      <c r="D736" s="99" t="s">
        <v>98</v>
      </c>
      <c r="E736" s="99" t="s">
        <v>83</v>
      </c>
      <c r="F736" s="99" t="s">
        <v>831</v>
      </c>
      <c r="G736" s="100">
        <v>2280.1692000000003</v>
      </c>
      <c r="H736" s="101">
        <v>3353.19</v>
      </c>
    </row>
    <row r="737" spans="1:8">
      <c r="A737" s="102">
        <v>38617</v>
      </c>
      <c r="B737" s="102" t="str">
        <f>TEXT($A737,"mmm")</f>
        <v>Sep</v>
      </c>
      <c r="C737" s="103" t="s">
        <v>116</v>
      </c>
      <c r="D737" s="103" t="s">
        <v>114</v>
      </c>
      <c r="E737" s="103" t="s">
        <v>89</v>
      </c>
      <c r="F737" s="103" t="s">
        <v>832</v>
      </c>
      <c r="G737" s="104">
        <v>7160.4984000000004</v>
      </c>
      <c r="H737" s="105">
        <v>8136.93</v>
      </c>
    </row>
    <row r="738" spans="1:8">
      <c r="A738" s="97">
        <v>38616</v>
      </c>
      <c r="B738" s="97" t="str">
        <f>TEXT($A738,"mmm")</f>
        <v>Sep</v>
      </c>
      <c r="C738" s="99" t="s">
        <v>107</v>
      </c>
      <c r="D738" s="99" t="s">
        <v>87</v>
      </c>
      <c r="E738" s="99" t="s">
        <v>158</v>
      </c>
      <c r="F738" s="99" t="s">
        <v>833</v>
      </c>
      <c r="G738" s="100">
        <v>4252.0940000000001</v>
      </c>
      <c r="H738" s="101">
        <v>7731.08</v>
      </c>
    </row>
    <row r="739" spans="1:8">
      <c r="A739" s="102">
        <v>38615</v>
      </c>
      <c r="B739" s="102" t="str">
        <f>TEXT($A739,"mmm")</f>
        <v>Sep</v>
      </c>
      <c r="C739" s="103" t="s">
        <v>79</v>
      </c>
      <c r="D739" s="103" t="s">
        <v>87</v>
      </c>
      <c r="E739" s="103" t="s">
        <v>81</v>
      </c>
      <c r="F739" s="103" t="s">
        <v>834</v>
      </c>
      <c r="G739" s="104">
        <v>4646.1769999999997</v>
      </c>
      <c r="H739" s="105">
        <v>8010.65</v>
      </c>
    </row>
    <row r="740" spans="1:8">
      <c r="A740" s="97">
        <v>38615</v>
      </c>
      <c r="B740" s="97" t="str">
        <f>TEXT($A740,"mmm")</f>
        <v>Sep</v>
      </c>
      <c r="C740" s="99" t="s">
        <v>79</v>
      </c>
      <c r="D740" s="99" t="s">
        <v>101</v>
      </c>
      <c r="E740" s="99" t="s">
        <v>108</v>
      </c>
      <c r="F740" s="99" t="s">
        <v>835</v>
      </c>
      <c r="G740" s="100">
        <v>2832.6725999999999</v>
      </c>
      <c r="H740" s="101">
        <v>4801.1400000000003</v>
      </c>
    </row>
    <row r="741" spans="1:8">
      <c r="A741" s="102">
        <v>38615</v>
      </c>
      <c r="B741" s="102" t="str">
        <f>TEXT($A741,"mmm")</f>
        <v>Sep</v>
      </c>
      <c r="C741" s="103" t="s">
        <v>107</v>
      </c>
      <c r="D741" s="103" t="s">
        <v>101</v>
      </c>
      <c r="E741" s="103" t="s">
        <v>99</v>
      </c>
      <c r="F741" s="103" t="s">
        <v>836</v>
      </c>
      <c r="G741" s="104">
        <v>1458.1886</v>
      </c>
      <c r="H741" s="105">
        <v>1559.56</v>
      </c>
    </row>
    <row r="742" spans="1:8">
      <c r="A742" s="97">
        <v>38614</v>
      </c>
      <c r="B742" s="97" t="str">
        <f>TEXT($A742,"mmm")</f>
        <v>Sep</v>
      </c>
      <c r="C742" s="99" t="s">
        <v>104</v>
      </c>
      <c r="D742" s="99" t="s">
        <v>114</v>
      </c>
      <c r="E742" s="99" t="s">
        <v>122</v>
      </c>
      <c r="F742" s="99" t="s">
        <v>837</v>
      </c>
      <c r="G742" s="100">
        <v>6886.3432000000003</v>
      </c>
      <c r="H742" s="101">
        <v>7825.39</v>
      </c>
    </row>
    <row r="743" spans="1:8">
      <c r="A743" s="102">
        <v>38614</v>
      </c>
      <c r="B743" s="102" t="str">
        <f>TEXT($A743,"mmm")</f>
        <v>Sep</v>
      </c>
      <c r="C743" s="103" t="s">
        <v>104</v>
      </c>
      <c r="D743" s="103" t="s">
        <v>101</v>
      </c>
      <c r="E743" s="103" t="s">
        <v>144</v>
      </c>
      <c r="F743" s="103" t="s">
        <v>838</v>
      </c>
      <c r="G743" s="104">
        <v>1622.2909</v>
      </c>
      <c r="H743" s="105">
        <v>4384.57</v>
      </c>
    </row>
    <row r="744" spans="1:8">
      <c r="A744" s="97">
        <v>38613</v>
      </c>
      <c r="B744" s="97" t="str">
        <f>TEXT($A744,"mmm")</f>
        <v>Sep</v>
      </c>
      <c r="C744" s="99" t="s">
        <v>107</v>
      </c>
      <c r="D744" s="99" t="s">
        <v>114</v>
      </c>
      <c r="E744" s="99" t="s">
        <v>105</v>
      </c>
      <c r="F744" s="99" t="s">
        <v>839</v>
      </c>
      <c r="G744" s="100">
        <v>5347.43</v>
      </c>
      <c r="H744" s="101">
        <v>9722.6</v>
      </c>
    </row>
    <row r="745" spans="1:8">
      <c r="A745" s="102">
        <v>38613</v>
      </c>
      <c r="B745" s="102" t="str">
        <f>TEXT($A745,"mmm")</f>
        <v>Sep</v>
      </c>
      <c r="C745" s="103" t="s">
        <v>79</v>
      </c>
      <c r="D745" s="103" t="s">
        <v>114</v>
      </c>
      <c r="E745" s="103" t="s">
        <v>81</v>
      </c>
      <c r="F745" s="103" t="s">
        <v>840</v>
      </c>
      <c r="G745" s="104">
        <v>3338.9505000000004</v>
      </c>
      <c r="H745" s="105">
        <v>7419.89</v>
      </c>
    </row>
    <row r="746" spans="1:8">
      <c r="A746" s="97">
        <v>38613</v>
      </c>
      <c r="B746" s="97" t="str">
        <f>TEXT($A746,"mmm")</f>
        <v>Sep</v>
      </c>
      <c r="C746" s="99" t="s">
        <v>86</v>
      </c>
      <c r="D746" s="99" t="s">
        <v>95</v>
      </c>
      <c r="E746" s="99" t="s">
        <v>129</v>
      </c>
      <c r="F746" s="99" t="s">
        <v>841</v>
      </c>
      <c r="G746" s="100">
        <v>3598.8477999999996</v>
      </c>
      <c r="H746" s="101">
        <v>6204.91</v>
      </c>
    </row>
    <row r="747" spans="1:8">
      <c r="A747" s="102">
        <v>38613</v>
      </c>
      <c r="B747" s="102" t="str">
        <f>TEXT($A747,"mmm")</f>
        <v>Sep</v>
      </c>
      <c r="C747" s="103" t="s">
        <v>86</v>
      </c>
      <c r="D747" s="103" t="s">
        <v>92</v>
      </c>
      <c r="E747" s="103" t="s">
        <v>144</v>
      </c>
      <c r="F747" s="103" t="s">
        <v>842</v>
      </c>
      <c r="G747" s="104">
        <v>447.8888</v>
      </c>
      <c r="H747" s="105">
        <v>658.66</v>
      </c>
    </row>
    <row r="748" spans="1:8">
      <c r="A748" s="97">
        <v>38612</v>
      </c>
      <c r="B748" s="97" t="str">
        <f>TEXT($A748,"mmm")</f>
        <v>Sep</v>
      </c>
      <c r="C748" s="99" t="s">
        <v>107</v>
      </c>
      <c r="D748" s="99" t="s">
        <v>114</v>
      </c>
      <c r="E748" s="99" t="s">
        <v>144</v>
      </c>
      <c r="F748" s="99" t="s">
        <v>843</v>
      </c>
      <c r="G748" s="100">
        <v>4906.8450000000003</v>
      </c>
      <c r="H748" s="101">
        <v>6542.46</v>
      </c>
    </row>
    <row r="749" spans="1:8">
      <c r="A749" s="102">
        <v>38612</v>
      </c>
      <c r="B749" s="102" t="str">
        <f>TEXT($A749,"mmm")</f>
        <v>Sep</v>
      </c>
      <c r="C749" s="103" t="s">
        <v>79</v>
      </c>
      <c r="D749" s="103" t="s">
        <v>95</v>
      </c>
      <c r="E749" s="103" t="s">
        <v>122</v>
      </c>
      <c r="F749" s="103" t="s">
        <v>844</v>
      </c>
      <c r="G749" s="104">
        <v>2918.6280000000002</v>
      </c>
      <c r="H749" s="105">
        <v>6485.84</v>
      </c>
    </row>
    <row r="750" spans="1:8">
      <c r="A750" s="97">
        <v>38612</v>
      </c>
      <c r="B750" s="97" t="str">
        <f>TEXT($A750,"mmm")</f>
        <v>Sep</v>
      </c>
      <c r="C750" s="99" t="s">
        <v>79</v>
      </c>
      <c r="D750" s="99" t="s">
        <v>87</v>
      </c>
      <c r="E750" s="99" t="s">
        <v>158</v>
      </c>
      <c r="F750" s="99" t="s">
        <v>845</v>
      </c>
      <c r="G750" s="100">
        <v>1660.4822999999999</v>
      </c>
      <c r="H750" s="101">
        <v>4487.79</v>
      </c>
    </row>
    <row r="751" spans="1:8">
      <c r="A751" s="102">
        <v>38612</v>
      </c>
      <c r="B751" s="102" t="str">
        <f>TEXT($A751,"mmm")</f>
        <v>Sep</v>
      </c>
      <c r="C751" s="103" t="s">
        <v>107</v>
      </c>
      <c r="D751" s="103" t="s">
        <v>92</v>
      </c>
      <c r="E751" s="103" t="s">
        <v>99</v>
      </c>
      <c r="F751" s="103" t="s">
        <v>846</v>
      </c>
      <c r="G751" s="104">
        <v>1575.6730000000002</v>
      </c>
      <c r="H751" s="105">
        <v>2864.86</v>
      </c>
    </row>
    <row r="752" spans="1:8">
      <c r="A752" s="97">
        <v>38611</v>
      </c>
      <c r="B752" s="97" t="str">
        <f>TEXT($A752,"mmm")</f>
        <v>Sep</v>
      </c>
      <c r="C752" s="99" t="s">
        <v>86</v>
      </c>
      <c r="D752" s="99" t="s">
        <v>95</v>
      </c>
      <c r="E752" s="99" t="s">
        <v>158</v>
      </c>
      <c r="F752" s="99" t="s">
        <v>847</v>
      </c>
      <c r="G752" s="100">
        <v>4240.0967000000001</v>
      </c>
      <c r="H752" s="101">
        <v>9860.69</v>
      </c>
    </row>
    <row r="753" spans="1:8">
      <c r="A753" s="102">
        <v>38611</v>
      </c>
      <c r="B753" s="102" t="str">
        <f>TEXT($A753,"mmm")</f>
        <v>Sep</v>
      </c>
      <c r="C753" s="103" t="s">
        <v>104</v>
      </c>
      <c r="D753" s="103" t="s">
        <v>80</v>
      </c>
      <c r="E753" s="103" t="s">
        <v>105</v>
      </c>
      <c r="F753" s="103" t="s">
        <v>848</v>
      </c>
      <c r="G753" s="104">
        <v>1805.7295000000001</v>
      </c>
      <c r="H753" s="105">
        <v>4880.3500000000004</v>
      </c>
    </row>
    <row r="754" spans="1:8">
      <c r="A754" s="97">
        <v>38611</v>
      </c>
      <c r="B754" s="97" t="str">
        <f>TEXT($A754,"mmm")</f>
        <v>Sep</v>
      </c>
      <c r="C754" s="99" t="s">
        <v>104</v>
      </c>
      <c r="D754" s="99" t="s">
        <v>87</v>
      </c>
      <c r="E754" s="99" t="s">
        <v>83</v>
      </c>
      <c r="F754" s="99" t="s">
        <v>447</v>
      </c>
      <c r="G754" s="100">
        <v>266.30239999999998</v>
      </c>
      <c r="H754" s="101">
        <v>451.36</v>
      </c>
    </row>
    <row r="755" spans="1:8">
      <c r="A755" s="102">
        <v>38610</v>
      </c>
      <c r="B755" s="102" t="str">
        <f>TEXT($A755,"mmm")</f>
        <v>Sep</v>
      </c>
      <c r="C755" s="103" t="s">
        <v>79</v>
      </c>
      <c r="D755" s="103" t="s">
        <v>127</v>
      </c>
      <c r="E755" s="103" t="s">
        <v>81</v>
      </c>
      <c r="F755" s="103" t="s">
        <v>849</v>
      </c>
      <c r="G755" s="104">
        <v>4150.4493999999995</v>
      </c>
      <c r="H755" s="105">
        <v>7034.66</v>
      </c>
    </row>
    <row r="756" spans="1:8">
      <c r="A756" s="97">
        <v>38610</v>
      </c>
      <c r="B756" s="97" t="str">
        <f>TEXT($A756,"mmm")</f>
        <v>Sep</v>
      </c>
      <c r="C756" s="99" t="s">
        <v>86</v>
      </c>
      <c r="D756" s="99" t="s">
        <v>114</v>
      </c>
      <c r="E756" s="99" t="s">
        <v>81</v>
      </c>
      <c r="F756" s="99" t="s">
        <v>850</v>
      </c>
      <c r="G756" s="100">
        <v>5016.6863999999996</v>
      </c>
      <c r="H756" s="101">
        <v>5700.78</v>
      </c>
    </row>
    <row r="757" spans="1:8">
      <c r="A757" s="102">
        <v>38610</v>
      </c>
      <c r="B757" s="102" t="str">
        <f>TEXT($A757,"mmm")</f>
        <v>Sep</v>
      </c>
      <c r="C757" s="103" t="s">
        <v>79</v>
      </c>
      <c r="D757" s="103" t="s">
        <v>114</v>
      </c>
      <c r="E757" s="103" t="s">
        <v>105</v>
      </c>
      <c r="F757" s="103" t="s">
        <v>851</v>
      </c>
      <c r="G757" s="104">
        <v>3251.3624999999997</v>
      </c>
      <c r="H757" s="105">
        <v>4335.1499999999996</v>
      </c>
    </row>
    <row r="758" spans="1:8">
      <c r="A758" s="97">
        <v>38609</v>
      </c>
      <c r="B758" s="97" t="str">
        <f>TEXT($A758,"mmm")</f>
        <v>Sep</v>
      </c>
      <c r="C758" s="99" t="s">
        <v>86</v>
      </c>
      <c r="D758" s="99" t="s">
        <v>87</v>
      </c>
      <c r="E758" s="99" t="s">
        <v>122</v>
      </c>
      <c r="F758" s="99" t="s">
        <v>852</v>
      </c>
      <c r="G758" s="100">
        <v>8115.0520000000015</v>
      </c>
      <c r="H758" s="101">
        <v>8679.2000000000007</v>
      </c>
    </row>
    <row r="759" spans="1:8">
      <c r="A759" s="102">
        <v>38609</v>
      </c>
      <c r="B759" s="102" t="str">
        <f>TEXT($A759,"mmm")</f>
        <v>Sep</v>
      </c>
      <c r="C759" s="103" t="s">
        <v>107</v>
      </c>
      <c r="D759" s="103" t="s">
        <v>92</v>
      </c>
      <c r="E759" s="103" t="s">
        <v>105</v>
      </c>
      <c r="F759" s="103" t="s">
        <v>567</v>
      </c>
      <c r="G759" s="104">
        <v>4949.8724999999995</v>
      </c>
      <c r="H759" s="105">
        <v>6599.83</v>
      </c>
    </row>
    <row r="760" spans="1:8">
      <c r="A760" s="97">
        <v>38609</v>
      </c>
      <c r="B760" s="97" t="str">
        <f>TEXT($A760,"mmm")</f>
        <v>Sep</v>
      </c>
      <c r="C760" s="99" t="s">
        <v>107</v>
      </c>
      <c r="D760" s="99" t="s">
        <v>101</v>
      </c>
      <c r="E760" s="99" t="s">
        <v>158</v>
      </c>
      <c r="F760" s="99" t="s">
        <v>853</v>
      </c>
      <c r="G760" s="100">
        <v>3607.2410000000004</v>
      </c>
      <c r="H760" s="101">
        <v>6558.62</v>
      </c>
    </row>
    <row r="761" spans="1:8">
      <c r="A761" s="102">
        <v>38608</v>
      </c>
      <c r="B761" s="102" t="str">
        <f>TEXT($A761,"mmm")</f>
        <v>Sep</v>
      </c>
      <c r="C761" s="103" t="s">
        <v>79</v>
      </c>
      <c r="D761" s="103" t="s">
        <v>98</v>
      </c>
      <c r="E761" s="103" t="s">
        <v>144</v>
      </c>
      <c r="F761" s="103" t="s">
        <v>854</v>
      </c>
      <c r="G761" s="104">
        <v>4882.3182000000006</v>
      </c>
      <c r="H761" s="105">
        <v>8417.7900000000009</v>
      </c>
    </row>
    <row r="762" spans="1:8">
      <c r="A762" s="97">
        <v>38608</v>
      </c>
      <c r="B762" s="97" t="str">
        <f>TEXT($A762,"mmm")</f>
        <v>Sep</v>
      </c>
      <c r="C762" s="99" t="s">
        <v>79</v>
      </c>
      <c r="D762" s="99" t="s">
        <v>101</v>
      </c>
      <c r="E762" s="99" t="s">
        <v>158</v>
      </c>
      <c r="F762" s="99" t="s">
        <v>855</v>
      </c>
      <c r="G762" s="100">
        <v>2306.5689000000002</v>
      </c>
      <c r="H762" s="101">
        <v>6233.97</v>
      </c>
    </row>
    <row r="763" spans="1:8">
      <c r="A763" s="102">
        <v>38608</v>
      </c>
      <c r="B763" s="102" t="str">
        <f>TEXT($A763,"mmm")</f>
        <v>Sep</v>
      </c>
      <c r="C763" s="103" t="s">
        <v>86</v>
      </c>
      <c r="D763" s="103" t="s">
        <v>101</v>
      </c>
      <c r="E763" s="103" t="s">
        <v>93</v>
      </c>
      <c r="F763" s="103" t="s">
        <v>856</v>
      </c>
      <c r="G763" s="104">
        <v>2402.1142</v>
      </c>
      <c r="H763" s="105">
        <v>4071.38</v>
      </c>
    </row>
    <row r="764" spans="1:8">
      <c r="A764" s="97">
        <v>38608</v>
      </c>
      <c r="B764" s="97" t="str">
        <f>TEXT($A764,"mmm")</f>
        <v>Sep</v>
      </c>
      <c r="C764" s="99" t="s">
        <v>86</v>
      </c>
      <c r="D764" s="99" t="s">
        <v>114</v>
      </c>
      <c r="E764" s="99" t="s">
        <v>120</v>
      </c>
      <c r="F764" s="99" t="s">
        <v>857</v>
      </c>
      <c r="G764" s="100">
        <v>2244.3459499999999</v>
      </c>
      <c r="H764" s="101">
        <v>2400.37</v>
      </c>
    </row>
    <row r="765" spans="1:8">
      <c r="A765" s="102">
        <v>38607</v>
      </c>
      <c r="B765" s="102" t="str">
        <f>TEXT($A765,"mmm")</f>
        <v>Sep</v>
      </c>
      <c r="C765" s="103" t="s">
        <v>86</v>
      </c>
      <c r="D765" s="103" t="s">
        <v>87</v>
      </c>
      <c r="E765" s="103" t="s">
        <v>144</v>
      </c>
      <c r="F765" s="103" t="s">
        <v>858</v>
      </c>
      <c r="G765" s="104">
        <v>2381.2470000000003</v>
      </c>
      <c r="H765" s="105">
        <v>4329.54</v>
      </c>
    </row>
    <row r="766" spans="1:8">
      <c r="A766" s="97">
        <v>38607</v>
      </c>
      <c r="B766" s="97" t="str">
        <f>TEXT($A766,"mmm")</f>
        <v>Sep</v>
      </c>
      <c r="C766" s="99" t="s">
        <v>79</v>
      </c>
      <c r="D766" s="99" t="s">
        <v>98</v>
      </c>
      <c r="E766" s="99" t="s">
        <v>158</v>
      </c>
      <c r="F766" s="99" t="s">
        <v>859</v>
      </c>
      <c r="G766" s="100">
        <v>974.26350000000014</v>
      </c>
      <c r="H766" s="101">
        <v>2165.0300000000002</v>
      </c>
    </row>
    <row r="767" spans="1:8">
      <c r="A767" s="102">
        <v>38606</v>
      </c>
      <c r="B767" s="102" t="str">
        <f>TEXT($A767,"mmm")</f>
        <v>Sep</v>
      </c>
      <c r="C767" s="103" t="s">
        <v>107</v>
      </c>
      <c r="D767" s="103" t="s">
        <v>127</v>
      </c>
      <c r="E767" s="103" t="s">
        <v>96</v>
      </c>
      <c r="F767" s="103" t="s">
        <v>860</v>
      </c>
      <c r="G767" s="104">
        <v>5649.9024000000009</v>
      </c>
      <c r="H767" s="105">
        <v>8308.68</v>
      </c>
    </row>
    <row r="768" spans="1:8">
      <c r="A768" s="97">
        <v>38606</v>
      </c>
      <c r="B768" s="97" t="str">
        <f>TEXT($A768,"mmm")</f>
        <v>Sep</v>
      </c>
      <c r="C768" s="99" t="s">
        <v>107</v>
      </c>
      <c r="D768" s="99" t="s">
        <v>87</v>
      </c>
      <c r="E768" s="99" t="s">
        <v>81</v>
      </c>
      <c r="F768" s="99" t="s">
        <v>861</v>
      </c>
      <c r="G768" s="100">
        <v>2990.2622999999999</v>
      </c>
      <c r="H768" s="101">
        <v>8081.79</v>
      </c>
    </row>
    <row r="769" spans="1:8">
      <c r="A769" s="102">
        <v>38606</v>
      </c>
      <c r="B769" s="102" t="str">
        <f>TEXT($A769,"mmm")</f>
        <v>Sep</v>
      </c>
      <c r="C769" s="103" t="s">
        <v>86</v>
      </c>
      <c r="D769" s="103" t="s">
        <v>80</v>
      </c>
      <c r="E769" s="103" t="s">
        <v>96</v>
      </c>
      <c r="F769" s="103" t="s">
        <v>862</v>
      </c>
      <c r="G769" s="104">
        <v>2715.5425999999998</v>
      </c>
      <c r="H769" s="105">
        <v>4681.97</v>
      </c>
    </row>
    <row r="770" spans="1:8">
      <c r="A770" s="97">
        <v>38606</v>
      </c>
      <c r="B770" s="97" t="str">
        <f>TEXT($A770,"mmm")</f>
        <v>Sep</v>
      </c>
      <c r="C770" s="99" t="s">
        <v>79</v>
      </c>
      <c r="D770" s="99" t="s">
        <v>127</v>
      </c>
      <c r="E770" s="99" t="s">
        <v>81</v>
      </c>
      <c r="F770" s="99" t="s">
        <v>863</v>
      </c>
      <c r="G770" s="100">
        <v>45.624699999999997</v>
      </c>
      <c r="H770" s="101">
        <v>77.33</v>
      </c>
    </row>
    <row r="771" spans="1:8">
      <c r="A771" s="102">
        <v>38605</v>
      </c>
      <c r="B771" s="102" t="str">
        <f>TEXT($A771,"mmm")</f>
        <v>Sep</v>
      </c>
      <c r="C771" s="103" t="s">
        <v>79</v>
      </c>
      <c r="D771" s="103" t="s">
        <v>80</v>
      </c>
      <c r="E771" s="103" t="s">
        <v>144</v>
      </c>
      <c r="F771" s="103" t="s">
        <v>864</v>
      </c>
      <c r="G771" s="104">
        <v>4252.9369999999999</v>
      </c>
      <c r="H771" s="105">
        <v>7332.65</v>
      </c>
    </row>
    <row r="772" spans="1:8">
      <c r="A772" s="97">
        <v>38605</v>
      </c>
      <c r="B772" s="97" t="str">
        <f>TEXT($A772,"mmm")</f>
        <v>Sep</v>
      </c>
      <c r="C772" s="99" t="s">
        <v>86</v>
      </c>
      <c r="D772" s="99" t="s">
        <v>92</v>
      </c>
      <c r="E772" s="99" t="s">
        <v>83</v>
      </c>
      <c r="F772" s="99" t="s">
        <v>865</v>
      </c>
      <c r="G772" s="100">
        <v>5758.3751499999998</v>
      </c>
      <c r="H772" s="101">
        <v>6158.69</v>
      </c>
    </row>
    <row r="773" spans="1:8">
      <c r="A773" s="102">
        <v>38605</v>
      </c>
      <c r="B773" s="102" t="str">
        <f>TEXT($A773,"mmm")</f>
        <v>Sep</v>
      </c>
      <c r="C773" s="103" t="s">
        <v>107</v>
      </c>
      <c r="D773" s="103" t="s">
        <v>114</v>
      </c>
      <c r="E773" s="103" t="s">
        <v>93</v>
      </c>
      <c r="F773" s="103" t="s">
        <v>866</v>
      </c>
      <c r="G773" s="104">
        <v>3060.2715000000003</v>
      </c>
      <c r="H773" s="105">
        <v>5564.13</v>
      </c>
    </row>
    <row r="774" spans="1:8">
      <c r="A774" s="97">
        <v>38605</v>
      </c>
      <c r="B774" s="97" t="str">
        <f>TEXT($A774,"mmm")</f>
        <v>Sep</v>
      </c>
      <c r="C774" s="99" t="s">
        <v>104</v>
      </c>
      <c r="D774" s="99" t="s">
        <v>98</v>
      </c>
      <c r="E774" s="99" t="s">
        <v>96</v>
      </c>
      <c r="F774" s="99" t="s">
        <v>867</v>
      </c>
      <c r="G774" s="100">
        <v>1625.3027</v>
      </c>
      <c r="H774" s="101">
        <v>4392.71</v>
      </c>
    </row>
    <row r="775" spans="1:8">
      <c r="A775" s="102">
        <v>38604</v>
      </c>
      <c r="B775" s="102" t="str">
        <f>TEXT($A775,"mmm")</f>
        <v>Sep</v>
      </c>
      <c r="C775" s="103" t="s">
        <v>107</v>
      </c>
      <c r="D775" s="103" t="s">
        <v>98</v>
      </c>
      <c r="E775" s="103" t="s">
        <v>89</v>
      </c>
      <c r="F775" s="103" t="s">
        <v>868</v>
      </c>
      <c r="G775" s="104">
        <v>6992.6384000000007</v>
      </c>
      <c r="H775" s="105">
        <v>7946.18</v>
      </c>
    </row>
    <row r="776" spans="1:8">
      <c r="A776" s="97">
        <v>38604</v>
      </c>
      <c r="B776" s="97" t="str">
        <f>TEXT($A776,"mmm")</f>
        <v>Sep</v>
      </c>
      <c r="C776" s="99" t="s">
        <v>86</v>
      </c>
      <c r="D776" s="99" t="s">
        <v>114</v>
      </c>
      <c r="E776" s="99" t="s">
        <v>129</v>
      </c>
      <c r="F776" s="99" t="s">
        <v>869</v>
      </c>
      <c r="G776" s="100">
        <v>4390.8628499999995</v>
      </c>
      <c r="H776" s="101">
        <v>4696.1099999999997</v>
      </c>
    </row>
    <row r="777" spans="1:8">
      <c r="A777" s="102">
        <v>38603</v>
      </c>
      <c r="B777" s="102" t="str">
        <f>TEXT($A777,"mmm")</f>
        <v>Sep</v>
      </c>
      <c r="C777" s="103" t="s">
        <v>79</v>
      </c>
      <c r="D777" s="103" t="s">
        <v>87</v>
      </c>
      <c r="E777" s="103" t="s">
        <v>89</v>
      </c>
      <c r="F777" s="103" t="s">
        <v>870</v>
      </c>
      <c r="G777" s="104">
        <v>4463.1965999999993</v>
      </c>
      <c r="H777" s="105">
        <v>7564.74</v>
      </c>
    </row>
    <row r="778" spans="1:8">
      <c r="A778" s="97">
        <v>38603</v>
      </c>
      <c r="B778" s="97" t="str">
        <f>TEXT($A778,"mmm")</f>
        <v>Sep</v>
      </c>
      <c r="C778" s="99" t="s">
        <v>86</v>
      </c>
      <c r="D778" s="99" t="s">
        <v>101</v>
      </c>
      <c r="E778" s="99" t="s">
        <v>158</v>
      </c>
      <c r="F778" s="99" t="s">
        <v>871</v>
      </c>
      <c r="G778" s="100">
        <v>3285.9920499999998</v>
      </c>
      <c r="H778" s="101">
        <v>3514.43</v>
      </c>
    </row>
    <row r="779" spans="1:8">
      <c r="A779" s="102">
        <v>38603</v>
      </c>
      <c r="B779" s="102" t="str">
        <f>TEXT($A779,"mmm")</f>
        <v>Sep</v>
      </c>
      <c r="C779" s="103" t="s">
        <v>104</v>
      </c>
      <c r="D779" s="103" t="s">
        <v>80</v>
      </c>
      <c r="E779" s="103" t="s">
        <v>144</v>
      </c>
      <c r="F779" s="103" t="s">
        <v>872</v>
      </c>
      <c r="G779" s="104">
        <v>1850.45</v>
      </c>
      <c r="H779" s="105">
        <v>2721.25</v>
      </c>
    </row>
    <row r="780" spans="1:8">
      <c r="A780" s="97">
        <v>38603</v>
      </c>
      <c r="B780" s="97" t="str">
        <f>TEXT($A780,"mmm")</f>
        <v>Sep</v>
      </c>
      <c r="C780" s="99" t="s">
        <v>104</v>
      </c>
      <c r="D780" s="99" t="s">
        <v>87</v>
      </c>
      <c r="E780" s="99" t="s">
        <v>108</v>
      </c>
      <c r="F780" s="99" t="s">
        <v>873</v>
      </c>
      <c r="G780" s="100">
        <v>890.87400000000002</v>
      </c>
      <c r="H780" s="101">
        <v>2071.8000000000002</v>
      </c>
    </row>
    <row r="781" spans="1:8">
      <c r="A781" s="102">
        <v>38602</v>
      </c>
      <c r="B781" s="102" t="str">
        <f>TEXT($A781,"mmm")</f>
        <v>Sep</v>
      </c>
      <c r="C781" s="103" t="s">
        <v>107</v>
      </c>
      <c r="D781" s="103" t="s">
        <v>80</v>
      </c>
      <c r="E781" s="103" t="s">
        <v>93</v>
      </c>
      <c r="F781" s="103" t="s">
        <v>874</v>
      </c>
      <c r="G781" s="104">
        <v>1880.0402999999999</v>
      </c>
      <c r="H781" s="105">
        <v>5081.1899999999996</v>
      </c>
    </row>
    <row r="782" spans="1:8">
      <c r="A782" s="97">
        <v>38601</v>
      </c>
      <c r="B782" s="97" t="str">
        <f>TEXT($A782,"mmm")</f>
        <v>Sep</v>
      </c>
      <c r="C782" s="99" t="s">
        <v>107</v>
      </c>
      <c r="D782" s="99" t="s">
        <v>87</v>
      </c>
      <c r="E782" s="99" t="s">
        <v>122</v>
      </c>
      <c r="F782" s="99" t="s">
        <v>875</v>
      </c>
      <c r="G782" s="100">
        <v>3619.6655999999998</v>
      </c>
      <c r="H782" s="101">
        <v>9782.8799999999992</v>
      </c>
    </row>
    <row r="783" spans="1:8">
      <c r="A783" s="102">
        <v>38601</v>
      </c>
      <c r="B783" s="102" t="str">
        <f>TEXT($A783,"mmm")</f>
        <v>Sep</v>
      </c>
      <c r="C783" s="103" t="s">
        <v>116</v>
      </c>
      <c r="D783" s="103" t="s">
        <v>114</v>
      </c>
      <c r="E783" s="103" t="s">
        <v>99</v>
      </c>
      <c r="F783" s="103" t="s">
        <v>876</v>
      </c>
      <c r="G783" s="104">
        <v>4294.03</v>
      </c>
      <c r="H783" s="105">
        <v>6314.75</v>
      </c>
    </row>
    <row r="784" spans="1:8">
      <c r="A784" s="97">
        <v>38601</v>
      </c>
      <c r="B784" s="97" t="str">
        <f>TEXT($A784,"mmm")</f>
        <v>Sep</v>
      </c>
      <c r="C784" s="99" t="s">
        <v>104</v>
      </c>
      <c r="D784" s="99" t="s">
        <v>92</v>
      </c>
      <c r="E784" s="99" t="s">
        <v>144</v>
      </c>
      <c r="F784" s="99" t="s">
        <v>877</v>
      </c>
      <c r="G784" s="100">
        <v>4592.5725000000002</v>
      </c>
      <c r="H784" s="101">
        <v>6123.43</v>
      </c>
    </row>
    <row r="785" spans="1:8">
      <c r="A785" s="102">
        <v>38601</v>
      </c>
      <c r="B785" s="102" t="str">
        <f>TEXT($A785,"mmm")</f>
        <v>Sep</v>
      </c>
      <c r="C785" s="103" t="s">
        <v>116</v>
      </c>
      <c r="D785" s="103" t="s">
        <v>101</v>
      </c>
      <c r="E785" s="103" t="s">
        <v>105</v>
      </c>
      <c r="F785" s="103" t="s">
        <v>878</v>
      </c>
      <c r="G785" s="104">
        <v>3853.0602000000003</v>
      </c>
      <c r="H785" s="105">
        <v>4120.92</v>
      </c>
    </row>
    <row r="786" spans="1:8">
      <c r="A786" s="97">
        <v>38601</v>
      </c>
      <c r="B786" s="97" t="str">
        <f>TEXT($A786,"mmm")</f>
        <v>Sep</v>
      </c>
      <c r="C786" s="99" t="s">
        <v>79</v>
      </c>
      <c r="D786" s="99" t="s">
        <v>80</v>
      </c>
      <c r="E786" s="99" t="s">
        <v>99</v>
      </c>
      <c r="F786" s="99" t="s">
        <v>879</v>
      </c>
      <c r="G786" s="100">
        <v>1421.2145</v>
      </c>
      <c r="H786" s="101">
        <v>3305.15</v>
      </c>
    </row>
    <row r="787" spans="1:8">
      <c r="A787" s="102">
        <v>38600</v>
      </c>
      <c r="B787" s="102" t="str">
        <f>TEXT($A787,"mmm")</f>
        <v>Sep</v>
      </c>
      <c r="C787" s="103" t="s">
        <v>104</v>
      </c>
      <c r="D787" s="103" t="s">
        <v>95</v>
      </c>
      <c r="E787" s="103" t="s">
        <v>93</v>
      </c>
      <c r="F787" s="103" t="s">
        <v>880</v>
      </c>
      <c r="G787" s="104">
        <v>6648.6824999999999</v>
      </c>
      <c r="H787" s="105">
        <v>8864.91</v>
      </c>
    </row>
    <row r="788" spans="1:8">
      <c r="A788" s="97">
        <v>38600</v>
      </c>
      <c r="B788" s="97" t="str">
        <f>TEXT($A788,"mmm")</f>
        <v>Sep</v>
      </c>
      <c r="C788" s="99" t="s">
        <v>79</v>
      </c>
      <c r="D788" s="99" t="s">
        <v>95</v>
      </c>
      <c r="E788" s="99" t="s">
        <v>94</v>
      </c>
      <c r="F788" s="99" t="s">
        <v>881</v>
      </c>
      <c r="G788" s="100">
        <v>3209.3816999999999</v>
      </c>
      <c r="H788" s="101">
        <v>5439.63</v>
      </c>
    </row>
    <row r="789" spans="1:8">
      <c r="A789" s="102">
        <v>38599</v>
      </c>
      <c r="B789" s="102" t="str">
        <f>TEXT($A789,"mmm")</f>
        <v>Sep</v>
      </c>
      <c r="C789" s="103" t="s">
        <v>107</v>
      </c>
      <c r="D789" s="103" t="s">
        <v>87</v>
      </c>
      <c r="E789" s="103" t="s">
        <v>94</v>
      </c>
      <c r="F789" s="103" t="s">
        <v>882</v>
      </c>
      <c r="G789" s="104">
        <v>2886.3235999999997</v>
      </c>
      <c r="H789" s="105">
        <v>4976.42</v>
      </c>
    </row>
    <row r="790" spans="1:8">
      <c r="A790" s="97">
        <v>38598</v>
      </c>
      <c r="B790" s="97" t="str">
        <f>TEXT($A790,"mmm")</f>
        <v>Sep</v>
      </c>
      <c r="C790" s="99" t="s">
        <v>104</v>
      </c>
      <c r="D790" s="99" t="s">
        <v>80</v>
      </c>
      <c r="E790" s="99" t="s">
        <v>94</v>
      </c>
      <c r="F790" s="99" t="s">
        <v>883</v>
      </c>
      <c r="G790" s="100">
        <v>5831.8903999999993</v>
      </c>
      <c r="H790" s="101">
        <v>9884.56</v>
      </c>
    </row>
    <row r="791" spans="1:8">
      <c r="A791" s="102">
        <v>38598</v>
      </c>
      <c r="B791" s="102" t="str">
        <f>TEXT($A791,"mmm")</f>
        <v>Sep</v>
      </c>
      <c r="C791" s="103" t="s">
        <v>116</v>
      </c>
      <c r="D791" s="103" t="s">
        <v>98</v>
      </c>
      <c r="E791" s="103" t="s">
        <v>94</v>
      </c>
      <c r="F791" s="103" t="s">
        <v>884</v>
      </c>
      <c r="G791" s="104">
        <v>3514.2808000000005</v>
      </c>
      <c r="H791" s="105">
        <v>5168.0600000000004</v>
      </c>
    </row>
    <row r="792" spans="1:8">
      <c r="A792" s="97">
        <v>38598</v>
      </c>
      <c r="B792" s="97" t="str">
        <f>TEXT($A792,"mmm")</f>
        <v>Sep</v>
      </c>
      <c r="C792" s="99" t="s">
        <v>104</v>
      </c>
      <c r="D792" s="99" t="s">
        <v>87</v>
      </c>
      <c r="E792" s="99" t="s">
        <v>83</v>
      </c>
      <c r="F792" s="99" t="s">
        <v>701</v>
      </c>
      <c r="G792" s="100">
        <v>2499.6289999999999</v>
      </c>
      <c r="H792" s="101">
        <v>4544.78</v>
      </c>
    </row>
    <row r="793" spans="1:8">
      <c r="A793" s="102">
        <v>38598</v>
      </c>
      <c r="B793" s="102" t="str">
        <f>TEXT($A793,"mmm")</f>
        <v>Sep</v>
      </c>
      <c r="C793" s="103" t="s">
        <v>79</v>
      </c>
      <c r="D793" s="103" t="s">
        <v>87</v>
      </c>
      <c r="E793" s="103" t="s">
        <v>122</v>
      </c>
      <c r="F793" s="103" t="s">
        <v>885</v>
      </c>
      <c r="G793" s="104">
        <v>986.93099999999993</v>
      </c>
      <c r="H793" s="105">
        <v>2193.1799999999998</v>
      </c>
    </row>
    <row r="794" spans="1:8">
      <c r="A794" s="97">
        <v>38598</v>
      </c>
      <c r="B794" s="97" t="str">
        <f>TEXT($A794,"mmm")</f>
        <v>Sep</v>
      </c>
      <c r="C794" s="99" t="s">
        <v>79</v>
      </c>
      <c r="D794" s="99" t="s">
        <v>98</v>
      </c>
      <c r="E794" s="99" t="s">
        <v>144</v>
      </c>
      <c r="F794" s="99" t="s">
        <v>886</v>
      </c>
      <c r="G794" s="100">
        <v>610.13699999999994</v>
      </c>
      <c r="H794" s="101">
        <v>1355.86</v>
      </c>
    </row>
    <row r="795" spans="1:8">
      <c r="A795" s="102">
        <v>38597</v>
      </c>
      <c r="B795" s="102" t="str">
        <f>TEXT($A795,"mmm")</f>
        <v>Sep</v>
      </c>
      <c r="C795" s="103" t="s">
        <v>107</v>
      </c>
      <c r="D795" s="103" t="s">
        <v>92</v>
      </c>
      <c r="E795" s="103" t="s">
        <v>108</v>
      </c>
      <c r="F795" s="103" t="s">
        <v>887</v>
      </c>
      <c r="G795" s="104">
        <v>4413.1559999999999</v>
      </c>
      <c r="H795" s="105">
        <v>8023.92</v>
      </c>
    </row>
    <row r="796" spans="1:8">
      <c r="A796" s="97">
        <v>38597</v>
      </c>
      <c r="B796" s="97" t="str">
        <f>TEXT($A796,"mmm")</f>
        <v>Sep</v>
      </c>
      <c r="C796" s="99" t="s">
        <v>79</v>
      </c>
      <c r="D796" s="99" t="s">
        <v>114</v>
      </c>
      <c r="E796" s="99" t="s">
        <v>129</v>
      </c>
      <c r="F796" s="99" t="s">
        <v>888</v>
      </c>
      <c r="G796" s="100">
        <v>4357.2449999999999</v>
      </c>
      <c r="H796" s="101">
        <v>5809.66</v>
      </c>
    </row>
    <row r="797" spans="1:8">
      <c r="A797" s="102">
        <v>38597</v>
      </c>
      <c r="B797" s="102" t="str">
        <f>TEXT($A797,"mmm")</f>
        <v>Sep</v>
      </c>
      <c r="C797" s="103" t="s">
        <v>79</v>
      </c>
      <c r="D797" s="103" t="s">
        <v>127</v>
      </c>
      <c r="E797" s="103" t="s">
        <v>99</v>
      </c>
      <c r="F797" s="103" t="s">
        <v>889</v>
      </c>
      <c r="G797" s="104">
        <v>2929.3275000000003</v>
      </c>
      <c r="H797" s="105">
        <v>5326.05</v>
      </c>
    </row>
    <row r="798" spans="1:8">
      <c r="A798" s="97">
        <v>38596</v>
      </c>
      <c r="B798" s="97" t="str">
        <f>TEXT($A798,"mmm")</f>
        <v>Sep</v>
      </c>
      <c r="C798" s="99" t="s">
        <v>107</v>
      </c>
      <c r="D798" s="99" t="s">
        <v>95</v>
      </c>
      <c r="E798" s="99" t="s">
        <v>81</v>
      </c>
      <c r="F798" s="99" t="s">
        <v>890</v>
      </c>
      <c r="G798" s="100">
        <v>7327.08</v>
      </c>
      <c r="H798" s="101">
        <v>9769.44</v>
      </c>
    </row>
    <row r="799" spans="1:8">
      <c r="A799" s="102">
        <v>38596</v>
      </c>
      <c r="B799" s="102" t="str">
        <f>TEXT($A799,"mmm")</f>
        <v>Sep</v>
      </c>
      <c r="C799" s="103" t="s">
        <v>79</v>
      </c>
      <c r="D799" s="103" t="s">
        <v>127</v>
      </c>
      <c r="E799" s="103" t="s">
        <v>89</v>
      </c>
      <c r="F799" s="103" t="s">
        <v>545</v>
      </c>
      <c r="G799" s="104">
        <v>2968.8807999999999</v>
      </c>
      <c r="H799" s="105">
        <v>5118.76</v>
      </c>
    </row>
    <row r="800" spans="1:8">
      <c r="A800" s="97">
        <v>38596</v>
      </c>
      <c r="B800" s="97" t="str">
        <f>TEXT($A800,"mmm")</f>
        <v>Sep</v>
      </c>
      <c r="C800" s="99" t="s">
        <v>79</v>
      </c>
      <c r="D800" s="99" t="s">
        <v>114</v>
      </c>
      <c r="E800" s="99" t="s">
        <v>144</v>
      </c>
      <c r="F800" s="99" t="s">
        <v>891</v>
      </c>
      <c r="G800" s="100">
        <v>1617.1848</v>
      </c>
      <c r="H800" s="101">
        <v>1837.71</v>
      </c>
    </row>
    <row r="801" spans="1:8">
      <c r="A801" s="102">
        <v>38596</v>
      </c>
      <c r="B801" s="102" t="str">
        <f>TEXT($A801,"mmm")</f>
        <v>Sep</v>
      </c>
      <c r="C801" s="103" t="s">
        <v>104</v>
      </c>
      <c r="D801" s="103" t="s">
        <v>127</v>
      </c>
      <c r="E801" s="103" t="s">
        <v>89</v>
      </c>
      <c r="F801" s="103" t="s">
        <v>892</v>
      </c>
      <c r="G801" s="104">
        <v>747.46510000000001</v>
      </c>
      <c r="H801" s="105">
        <v>1266.8900000000001</v>
      </c>
    </row>
    <row r="802" spans="1:8">
      <c r="A802" s="97">
        <v>38595</v>
      </c>
      <c r="B802" s="97" t="str">
        <f>TEXT($A802,"mmm")</f>
        <v>Aug</v>
      </c>
      <c r="C802" s="99" t="s">
        <v>104</v>
      </c>
      <c r="D802" s="99" t="s">
        <v>92</v>
      </c>
      <c r="E802" s="99" t="s">
        <v>120</v>
      </c>
      <c r="F802" s="99" t="s">
        <v>893</v>
      </c>
      <c r="G802" s="100">
        <v>677.31239999999991</v>
      </c>
      <c r="H802" s="101">
        <v>1167.78</v>
      </c>
    </row>
    <row r="803" spans="1:8">
      <c r="A803" s="102">
        <v>38594</v>
      </c>
      <c r="B803" s="102" t="str">
        <f>TEXT($A803,"mmm")</f>
        <v>Aug</v>
      </c>
      <c r="C803" s="103" t="s">
        <v>79</v>
      </c>
      <c r="D803" s="103" t="s">
        <v>92</v>
      </c>
      <c r="E803" s="103" t="s">
        <v>93</v>
      </c>
      <c r="F803" s="103" t="s">
        <v>894</v>
      </c>
      <c r="G803" s="104">
        <v>8815.9186500000014</v>
      </c>
      <c r="H803" s="105">
        <v>9428.7900000000009</v>
      </c>
    </row>
    <row r="804" spans="1:8">
      <c r="A804" s="97">
        <v>38594</v>
      </c>
      <c r="B804" s="97" t="str">
        <f>TEXT($A804,"mmm")</f>
        <v>Aug</v>
      </c>
      <c r="C804" s="99" t="s">
        <v>107</v>
      </c>
      <c r="D804" s="99" t="s">
        <v>95</v>
      </c>
      <c r="E804" s="99" t="s">
        <v>129</v>
      </c>
      <c r="F804" s="99" t="s">
        <v>895</v>
      </c>
      <c r="G804" s="100">
        <v>1506.7028</v>
      </c>
      <c r="H804" s="101">
        <v>3503.96</v>
      </c>
    </row>
    <row r="805" spans="1:8">
      <c r="A805" s="102">
        <v>38593</v>
      </c>
      <c r="B805" s="102" t="str">
        <f>TEXT($A805,"mmm")</f>
        <v>Aug</v>
      </c>
      <c r="C805" s="103" t="s">
        <v>104</v>
      </c>
      <c r="D805" s="103" t="s">
        <v>80</v>
      </c>
      <c r="E805" s="103" t="s">
        <v>93</v>
      </c>
      <c r="F805" s="103" t="s">
        <v>896</v>
      </c>
      <c r="G805" s="104">
        <v>8149.0766500000009</v>
      </c>
      <c r="H805" s="105">
        <v>8715.59</v>
      </c>
    </row>
    <row r="806" spans="1:8">
      <c r="A806" s="97">
        <v>38593</v>
      </c>
      <c r="B806" s="97" t="str">
        <f>TEXT($A806,"mmm")</f>
        <v>Aug</v>
      </c>
      <c r="C806" s="99" t="s">
        <v>79</v>
      </c>
      <c r="D806" s="99" t="s">
        <v>101</v>
      </c>
      <c r="E806" s="99" t="s">
        <v>120</v>
      </c>
      <c r="F806" s="99" t="s">
        <v>897</v>
      </c>
      <c r="G806" s="100">
        <v>3739.0736000000002</v>
      </c>
      <c r="H806" s="101">
        <v>8695.52</v>
      </c>
    </row>
    <row r="807" spans="1:8">
      <c r="A807" s="102">
        <v>38593</v>
      </c>
      <c r="B807" s="102" t="str">
        <f>TEXT($A807,"mmm")</f>
        <v>Aug</v>
      </c>
      <c r="C807" s="103" t="s">
        <v>79</v>
      </c>
      <c r="D807" s="103" t="s">
        <v>80</v>
      </c>
      <c r="E807" s="103" t="s">
        <v>120</v>
      </c>
      <c r="F807" s="103" t="s">
        <v>898</v>
      </c>
      <c r="G807" s="104">
        <v>1420.6288</v>
      </c>
      <c r="H807" s="105">
        <v>2089.16</v>
      </c>
    </row>
    <row r="808" spans="1:8">
      <c r="A808" s="97">
        <v>38592</v>
      </c>
      <c r="B808" s="97" t="str">
        <f>TEXT($A808,"mmm")</f>
        <v>Aug</v>
      </c>
      <c r="C808" s="99" t="s">
        <v>79</v>
      </c>
      <c r="D808" s="99" t="s">
        <v>101</v>
      </c>
      <c r="E808" s="99" t="s">
        <v>83</v>
      </c>
      <c r="F808" s="99" t="s">
        <v>899</v>
      </c>
      <c r="G808" s="100">
        <v>5503.7975999999999</v>
      </c>
      <c r="H808" s="101">
        <v>8093.82</v>
      </c>
    </row>
    <row r="809" spans="1:8">
      <c r="A809" s="102">
        <v>38592</v>
      </c>
      <c r="B809" s="102" t="str">
        <f>TEXT($A809,"mmm")</f>
        <v>Aug</v>
      </c>
      <c r="C809" s="103" t="s">
        <v>116</v>
      </c>
      <c r="D809" s="103" t="s">
        <v>101</v>
      </c>
      <c r="E809" s="103" t="s">
        <v>144</v>
      </c>
      <c r="F809" s="103" t="s">
        <v>900</v>
      </c>
      <c r="G809" s="104">
        <v>5349.4444000000003</v>
      </c>
      <c r="H809" s="105">
        <v>7866.83</v>
      </c>
    </row>
    <row r="810" spans="1:8">
      <c r="A810" s="97">
        <v>38592</v>
      </c>
      <c r="B810" s="97" t="str">
        <f>TEXT($A810,"mmm")</f>
        <v>Aug</v>
      </c>
      <c r="C810" s="99" t="s">
        <v>86</v>
      </c>
      <c r="D810" s="99" t="s">
        <v>92</v>
      </c>
      <c r="E810" s="99" t="s">
        <v>129</v>
      </c>
      <c r="F810" s="99" t="s">
        <v>901</v>
      </c>
      <c r="G810" s="100">
        <v>2067.9087</v>
      </c>
      <c r="H810" s="101">
        <v>4809.09</v>
      </c>
    </row>
    <row r="811" spans="1:8">
      <c r="A811" s="102">
        <v>38592</v>
      </c>
      <c r="B811" s="102" t="str">
        <f>TEXT($A811,"mmm")</f>
        <v>Aug</v>
      </c>
      <c r="C811" s="103" t="s">
        <v>116</v>
      </c>
      <c r="D811" s="103" t="s">
        <v>98</v>
      </c>
      <c r="E811" s="103" t="s">
        <v>129</v>
      </c>
      <c r="F811" s="103" t="s">
        <v>277</v>
      </c>
      <c r="G811" s="104">
        <v>489.07799999999997</v>
      </c>
      <c r="H811" s="105">
        <v>1086.8399999999999</v>
      </c>
    </row>
    <row r="812" spans="1:8">
      <c r="A812" s="97">
        <v>38591</v>
      </c>
      <c r="B812" s="97" t="str">
        <f>TEXT($A812,"mmm")</f>
        <v>Aug</v>
      </c>
      <c r="C812" s="99" t="s">
        <v>79</v>
      </c>
      <c r="D812" s="99" t="s">
        <v>98</v>
      </c>
      <c r="E812" s="99" t="s">
        <v>144</v>
      </c>
      <c r="F812" s="99" t="s">
        <v>902</v>
      </c>
      <c r="G812" s="100">
        <v>5843.4508000000005</v>
      </c>
      <c r="H812" s="101">
        <v>6249.68</v>
      </c>
    </row>
    <row r="813" spans="1:8">
      <c r="A813" s="102">
        <v>38591</v>
      </c>
      <c r="B813" s="102" t="str">
        <f>TEXT($A813,"mmm")</f>
        <v>Aug</v>
      </c>
      <c r="C813" s="103" t="s">
        <v>79</v>
      </c>
      <c r="D813" s="103" t="s">
        <v>101</v>
      </c>
      <c r="E813" s="103" t="s">
        <v>122</v>
      </c>
      <c r="F813" s="103" t="s">
        <v>903</v>
      </c>
      <c r="G813" s="104">
        <v>3424.9160000000002</v>
      </c>
      <c r="H813" s="105">
        <v>6227.12</v>
      </c>
    </row>
    <row r="814" spans="1:8">
      <c r="A814" s="97">
        <v>38590</v>
      </c>
      <c r="B814" s="97" t="str">
        <f>TEXT($A814,"mmm")</f>
        <v>Aug</v>
      </c>
      <c r="C814" s="99" t="s">
        <v>104</v>
      </c>
      <c r="D814" s="99" t="s">
        <v>95</v>
      </c>
      <c r="E814" s="99" t="s">
        <v>93</v>
      </c>
      <c r="F814" s="99" t="s">
        <v>904</v>
      </c>
      <c r="G814" s="100">
        <v>1041.6942999999999</v>
      </c>
      <c r="H814" s="101">
        <v>2815.39</v>
      </c>
    </row>
    <row r="815" spans="1:8">
      <c r="A815" s="102">
        <v>38590</v>
      </c>
      <c r="B815" s="102" t="str">
        <f>TEXT($A815,"mmm")</f>
        <v>Aug</v>
      </c>
      <c r="C815" s="103" t="s">
        <v>86</v>
      </c>
      <c r="D815" s="103" t="s">
        <v>114</v>
      </c>
      <c r="E815" s="103" t="s">
        <v>144</v>
      </c>
      <c r="F815" s="103" t="s">
        <v>905</v>
      </c>
      <c r="G815" s="104">
        <v>248.68800000000005</v>
      </c>
      <c r="H815" s="105">
        <v>452.16</v>
      </c>
    </row>
    <row r="816" spans="1:8">
      <c r="A816" s="97">
        <v>38589</v>
      </c>
      <c r="B816" s="97" t="str">
        <f>TEXT($A816,"mmm")</f>
        <v>Aug</v>
      </c>
      <c r="C816" s="99" t="s">
        <v>86</v>
      </c>
      <c r="D816" s="99" t="s">
        <v>127</v>
      </c>
      <c r="E816" s="99" t="s">
        <v>89</v>
      </c>
      <c r="F816" s="99" t="s">
        <v>906</v>
      </c>
      <c r="G816" s="100">
        <v>8240.2759999999998</v>
      </c>
      <c r="H816" s="101">
        <v>9363.9500000000007</v>
      </c>
    </row>
    <row r="817" spans="1:8">
      <c r="A817" s="102">
        <v>38589</v>
      </c>
      <c r="B817" s="102" t="str">
        <f>TEXT($A817,"mmm")</f>
        <v>Aug</v>
      </c>
      <c r="C817" s="103" t="s">
        <v>104</v>
      </c>
      <c r="D817" s="103" t="s">
        <v>127</v>
      </c>
      <c r="E817" s="103" t="s">
        <v>122</v>
      </c>
      <c r="F817" s="103" t="s">
        <v>907</v>
      </c>
      <c r="G817" s="104">
        <v>4355.7929999999997</v>
      </c>
      <c r="H817" s="105">
        <v>7382.7</v>
      </c>
    </row>
    <row r="818" spans="1:8">
      <c r="A818" s="97">
        <v>38589</v>
      </c>
      <c r="B818" s="97" t="str">
        <f>TEXT($A818,"mmm")</f>
        <v>Aug</v>
      </c>
      <c r="C818" s="99" t="s">
        <v>104</v>
      </c>
      <c r="D818" s="99" t="s">
        <v>98</v>
      </c>
      <c r="E818" s="99" t="s">
        <v>83</v>
      </c>
      <c r="F818" s="99" t="s">
        <v>908</v>
      </c>
      <c r="G818" s="100">
        <v>6362.0567999999994</v>
      </c>
      <c r="H818" s="101">
        <v>7229.61</v>
      </c>
    </row>
    <row r="819" spans="1:8">
      <c r="A819" s="102">
        <v>38589</v>
      </c>
      <c r="B819" s="102" t="str">
        <f>TEXT($A819,"mmm")</f>
        <v>Aug</v>
      </c>
      <c r="C819" s="103" t="s">
        <v>107</v>
      </c>
      <c r="D819" s="103" t="s">
        <v>95</v>
      </c>
      <c r="E819" s="103" t="s">
        <v>108</v>
      </c>
      <c r="F819" s="103" t="s">
        <v>909</v>
      </c>
      <c r="G819" s="104">
        <v>2596.2075000000004</v>
      </c>
      <c r="H819" s="105">
        <v>5769.35</v>
      </c>
    </row>
    <row r="820" spans="1:8">
      <c r="A820" s="97">
        <v>38589</v>
      </c>
      <c r="B820" s="97" t="str">
        <f>TEXT($A820,"mmm")</f>
        <v>Aug</v>
      </c>
      <c r="C820" s="99" t="s">
        <v>104</v>
      </c>
      <c r="D820" s="99" t="s">
        <v>95</v>
      </c>
      <c r="E820" s="99" t="s">
        <v>89</v>
      </c>
      <c r="F820" s="99" t="s">
        <v>910</v>
      </c>
      <c r="G820" s="100">
        <v>2050.4450000000002</v>
      </c>
      <c r="H820" s="101">
        <v>3535.25</v>
      </c>
    </row>
    <row r="821" spans="1:8">
      <c r="A821" s="102">
        <v>38589</v>
      </c>
      <c r="B821" s="102" t="str">
        <f>TEXT($A821,"mmm")</f>
        <v>Aug</v>
      </c>
      <c r="C821" s="103" t="s">
        <v>86</v>
      </c>
      <c r="D821" s="103" t="s">
        <v>95</v>
      </c>
      <c r="E821" s="103" t="s">
        <v>89</v>
      </c>
      <c r="F821" s="103" t="s">
        <v>911</v>
      </c>
      <c r="G821" s="104">
        <v>274.96800000000002</v>
      </c>
      <c r="H821" s="105">
        <v>611.04</v>
      </c>
    </row>
    <row r="822" spans="1:8">
      <c r="A822" s="97">
        <v>38588</v>
      </c>
      <c r="B822" s="97" t="str">
        <f>TEXT($A822,"mmm")</f>
        <v>Aug</v>
      </c>
      <c r="C822" s="99" t="s">
        <v>79</v>
      </c>
      <c r="D822" s="99" t="s">
        <v>127</v>
      </c>
      <c r="E822" s="99" t="s">
        <v>129</v>
      </c>
      <c r="F822" s="99" t="s">
        <v>912</v>
      </c>
      <c r="G822" s="100">
        <v>4788.7173000000003</v>
      </c>
      <c r="H822" s="101">
        <v>8116.47</v>
      </c>
    </row>
    <row r="823" spans="1:8">
      <c r="A823" s="102">
        <v>38588</v>
      </c>
      <c r="B823" s="102" t="str">
        <f>TEXT($A823,"mmm")</f>
        <v>Aug</v>
      </c>
      <c r="C823" s="103" t="s">
        <v>86</v>
      </c>
      <c r="D823" s="103" t="s">
        <v>87</v>
      </c>
      <c r="E823" s="103" t="s">
        <v>99</v>
      </c>
      <c r="F823" s="103" t="s">
        <v>913</v>
      </c>
      <c r="G823" s="104">
        <v>4633.1444000000001</v>
      </c>
      <c r="H823" s="105">
        <v>7988.18</v>
      </c>
    </row>
    <row r="824" spans="1:8">
      <c r="A824" s="97">
        <v>38588</v>
      </c>
      <c r="B824" s="97" t="str">
        <f>TEXT($A824,"mmm")</f>
        <v>Aug</v>
      </c>
      <c r="C824" s="99" t="s">
        <v>107</v>
      </c>
      <c r="D824" s="99" t="s">
        <v>114</v>
      </c>
      <c r="E824" s="99" t="s">
        <v>93</v>
      </c>
      <c r="F824" s="99" t="s">
        <v>914</v>
      </c>
      <c r="G824" s="100">
        <v>923.91200000000003</v>
      </c>
      <c r="H824" s="101">
        <v>1049.9000000000001</v>
      </c>
    </row>
    <row r="825" spans="1:8">
      <c r="A825" s="102">
        <v>38588</v>
      </c>
      <c r="B825" s="102" t="str">
        <f>TEXT($A825,"mmm")</f>
        <v>Aug</v>
      </c>
      <c r="C825" s="103" t="s">
        <v>107</v>
      </c>
      <c r="D825" s="103" t="s">
        <v>127</v>
      </c>
      <c r="E825" s="103" t="s">
        <v>120</v>
      </c>
      <c r="F825" s="103" t="s">
        <v>915</v>
      </c>
      <c r="G825" s="104">
        <v>531.6511999999999</v>
      </c>
      <c r="H825" s="105">
        <v>916.64</v>
      </c>
    </row>
    <row r="826" spans="1:8">
      <c r="A826" s="97">
        <v>38587</v>
      </c>
      <c r="B826" s="97" t="str">
        <f>TEXT($A826,"mmm")</f>
        <v>Aug</v>
      </c>
      <c r="C826" s="99" t="s">
        <v>107</v>
      </c>
      <c r="D826" s="99" t="s">
        <v>98</v>
      </c>
      <c r="E826" s="99" t="s">
        <v>144</v>
      </c>
      <c r="F826" s="99" t="s">
        <v>916</v>
      </c>
      <c r="G826" s="100">
        <v>5301.9169999999995</v>
      </c>
      <c r="H826" s="101">
        <v>8986.2999999999993</v>
      </c>
    </row>
    <row r="827" spans="1:8">
      <c r="A827" s="102">
        <v>38587</v>
      </c>
      <c r="B827" s="102" t="str">
        <f>TEXT($A827,"mmm")</f>
        <v>Aug</v>
      </c>
      <c r="C827" s="103" t="s">
        <v>79</v>
      </c>
      <c r="D827" s="103" t="s">
        <v>95</v>
      </c>
      <c r="E827" s="103" t="s">
        <v>108</v>
      </c>
      <c r="F827" s="103" t="s">
        <v>917</v>
      </c>
      <c r="G827" s="104">
        <v>4906.6270000000004</v>
      </c>
      <c r="H827" s="105">
        <v>8921.14</v>
      </c>
    </row>
    <row r="828" spans="1:8">
      <c r="A828" s="97">
        <v>38587</v>
      </c>
      <c r="B828" s="97" t="str">
        <f>TEXT($A828,"mmm")</f>
        <v>Aug</v>
      </c>
      <c r="C828" s="99" t="s">
        <v>79</v>
      </c>
      <c r="D828" s="99" t="s">
        <v>95</v>
      </c>
      <c r="E828" s="99" t="s">
        <v>158</v>
      </c>
      <c r="F828" s="99" t="s">
        <v>918</v>
      </c>
      <c r="G828" s="100">
        <v>3975.27</v>
      </c>
      <c r="H828" s="101">
        <v>5300.36</v>
      </c>
    </row>
    <row r="829" spans="1:8">
      <c r="A829" s="102">
        <v>38587</v>
      </c>
      <c r="B829" s="102" t="str">
        <f>TEXT($A829,"mmm")</f>
        <v>Aug</v>
      </c>
      <c r="C829" s="103" t="s">
        <v>79</v>
      </c>
      <c r="D829" s="103" t="s">
        <v>98</v>
      </c>
      <c r="E829" s="103" t="s">
        <v>105</v>
      </c>
      <c r="F829" s="103" t="s">
        <v>919</v>
      </c>
      <c r="G829" s="104">
        <v>2798.0359999999996</v>
      </c>
      <c r="H829" s="105">
        <v>4824.2</v>
      </c>
    </row>
    <row r="830" spans="1:8">
      <c r="A830" s="97">
        <v>38587</v>
      </c>
      <c r="B830" s="97" t="str">
        <f>TEXT($A830,"mmm")</f>
        <v>Aug</v>
      </c>
      <c r="C830" s="99" t="s">
        <v>104</v>
      </c>
      <c r="D830" s="99" t="s">
        <v>98</v>
      </c>
      <c r="E830" s="99" t="s">
        <v>144</v>
      </c>
      <c r="F830" s="99" t="s">
        <v>920</v>
      </c>
      <c r="G830" s="100">
        <v>3775.9227000000001</v>
      </c>
      <c r="H830" s="101">
        <v>4038.42</v>
      </c>
    </row>
    <row r="831" spans="1:8">
      <c r="A831" s="102">
        <v>38587</v>
      </c>
      <c r="B831" s="102" t="str">
        <f>TEXT($A831,"mmm")</f>
        <v>Aug</v>
      </c>
      <c r="C831" s="103" t="s">
        <v>104</v>
      </c>
      <c r="D831" s="103" t="s">
        <v>101</v>
      </c>
      <c r="E831" s="103" t="s">
        <v>108</v>
      </c>
      <c r="F831" s="103" t="s">
        <v>921</v>
      </c>
      <c r="G831" s="104">
        <v>1107.1949999999999</v>
      </c>
      <c r="H831" s="105">
        <v>1476.26</v>
      </c>
    </row>
    <row r="832" spans="1:8">
      <c r="A832" s="97">
        <v>38586</v>
      </c>
      <c r="B832" s="97" t="str">
        <f>TEXT($A832,"mmm")</f>
        <v>Aug</v>
      </c>
      <c r="C832" s="99" t="s">
        <v>116</v>
      </c>
      <c r="D832" s="99" t="s">
        <v>92</v>
      </c>
      <c r="E832" s="99" t="s">
        <v>94</v>
      </c>
      <c r="F832" s="99" t="s">
        <v>922</v>
      </c>
      <c r="G832" s="100">
        <v>4442.3175000000001</v>
      </c>
      <c r="H832" s="101">
        <v>5923.09</v>
      </c>
    </row>
    <row r="833" spans="1:8">
      <c r="A833" s="102">
        <v>38586</v>
      </c>
      <c r="B833" s="102" t="str">
        <f>TEXT($A833,"mmm")</f>
        <v>Aug</v>
      </c>
      <c r="C833" s="103" t="s">
        <v>86</v>
      </c>
      <c r="D833" s="103" t="s">
        <v>92</v>
      </c>
      <c r="E833" s="103" t="s">
        <v>93</v>
      </c>
      <c r="F833" s="103" t="s">
        <v>923</v>
      </c>
      <c r="G833" s="104">
        <v>1670.3685</v>
      </c>
      <c r="H833" s="105">
        <v>3711.93</v>
      </c>
    </row>
    <row r="834" spans="1:8">
      <c r="A834" s="97">
        <v>38584</v>
      </c>
      <c r="B834" s="97" t="str">
        <f>TEXT($A834,"mmm")</f>
        <v>Aug</v>
      </c>
      <c r="C834" s="99" t="s">
        <v>79</v>
      </c>
      <c r="D834" s="99" t="s">
        <v>92</v>
      </c>
      <c r="E834" s="99" t="s">
        <v>89</v>
      </c>
      <c r="F834" s="99" t="s">
        <v>924</v>
      </c>
      <c r="G834" s="100">
        <v>4020.2931999999996</v>
      </c>
      <c r="H834" s="101">
        <v>6931.54</v>
      </c>
    </row>
    <row r="835" spans="1:8">
      <c r="A835" s="102">
        <v>38584</v>
      </c>
      <c r="B835" s="102" t="str">
        <f>TEXT($A835,"mmm")</f>
        <v>Aug</v>
      </c>
      <c r="C835" s="103" t="s">
        <v>116</v>
      </c>
      <c r="D835" s="103" t="s">
        <v>98</v>
      </c>
      <c r="E835" s="103" t="s">
        <v>144</v>
      </c>
      <c r="F835" s="103" t="s">
        <v>925</v>
      </c>
      <c r="G835" s="104">
        <v>2368.0572999999999</v>
      </c>
      <c r="H835" s="105">
        <v>5507.11</v>
      </c>
    </row>
    <row r="836" spans="1:8">
      <c r="A836" s="97">
        <v>38584</v>
      </c>
      <c r="B836" s="97" t="str">
        <f>TEXT($A836,"mmm")</f>
        <v>Aug</v>
      </c>
      <c r="C836" s="99" t="s">
        <v>104</v>
      </c>
      <c r="D836" s="99" t="s">
        <v>87</v>
      </c>
      <c r="E836" s="99" t="s">
        <v>108</v>
      </c>
      <c r="F836" s="99" t="s">
        <v>926</v>
      </c>
      <c r="G836" s="100">
        <v>871.995</v>
      </c>
      <c r="H836" s="101">
        <v>1162.6600000000001</v>
      </c>
    </row>
    <row r="837" spans="1:8">
      <c r="A837" s="102">
        <v>38584</v>
      </c>
      <c r="B837" s="102" t="str">
        <f>TEXT($A837,"mmm")</f>
        <v>Aug</v>
      </c>
      <c r="C837" s="103" t="s">
        <v>104</v>
      </c>
      <c r="D837" s="103" t="s">
        <v>98</v>
      </c>
      <c r="E837" s="103" t="s">
        <v>108</v>
      </c>
      <c r="F837" s="103" t="s">
        <v>927</v>
      </c>
      <c r="G837" s="104">
        <v>406.50050000000005</v>
      </c>
      <c r="H837" s="105">
        <v>1098.6500000000001</v>
      </c>
    </row>
    <row r="838" spans="1:8">
      <c r="A838" s="97">
        <v>38584</v>
      </c>
      <c r="B838" s="97" t="str">
        <f>TEXT($A838,"mmm")</f>
        <v>Aug</v>
      </c>
      <c r="C838" s="99" t="s">
        <v>104</v>
      </c>
      <c r="D838" s="99" t="s">
        <v>95</v>
      </c>
      <c r="E838" s="99" t="s">
        <v>158</v>
      </c>
      <c r="F838" s="99" t="s">
        <v>928</v>
      </c>
      <c r="G838" s="100">
        <v>196.45839999999998</v>
      </c>
      <c r="H838" s="101">
        <v>456.88</v>
      </c>
    </row>
    <row r="839" spans="1:8">
      <c r="A839" s="102">
        <v>38583</v>
      </c>
      <c r="B839" s="102" t="str">
        <f>TEXT($A839,"mmm")</f>
        <v>Aug</v>
      </c>
      <c r="C839" s="103" t="s">
        <v>79</v>
      </c>
      <c r="D839" s="103" t="s">
        <v>127</v>
      </c>
      <c r="E839" s="103" t="s">
        <v>122</v>
      </c>
      <c r="F839" s="103" t="s">
        <v>929</v>
      </c>
      <c r="G839" s="104">
        <v>4217.7151999999996</v>
      </c>
      <c r="H839" s="105">
        <v>9808.64</v>
      </c>
    </row>
    <row r="840" spans="1:8">
      <c r="A840" s="97">
        <v>38583</v>
      </c>
      <c r="B840" s="97" t="str">
        <f>TEXT($A840,"mmm")</f>
        <v>Aug</v>
      </c>
      <c r="C840" s="99" t="s">
        <v>79</v>
      </c>
      <c r="D840" s="99" t="s">
        <v>95</v>
      </c>
      <c r="E840" s="99" t="s">
        <v>105</v>
      </c>
      <c r="F840" s="99" t="s">
        <v>930</v>
      </c>
      <c r="G840" s="100">
        <v>7772.2342499999995</v>
      </c>
      <c r="H840" s="101">
        <v>8312.5499999999993</v>
      </c>
    </row>
    <row r="841" spans="1:8">
      <c r="A841" s="102">
        <v>38582</v>
      </c>
      <c r="B841" s="102" t="str">
        <f>TEXT($A841,"mmm")</f>
        <v>Aug</v>
      </c>
      <c r="C841" s="103" t="s">
        <v>79</v>
      </c>
      <c r="D841" s="103" t="s">
        <v>101</v>
      </c>
      <c r="E841" s="103" t="s">
        <v>122</v>
      </c>
      <c r="F841" s="103" t="s">
        <v>931</v>
      </c>
      <c r="G841" s="104">
        <v>5147.4361999999992</v>
      </c>
      <c r="H841" s="105">
        <v>8874.89</v>
      </c>
    </row>
    <row r="842" spans="1:8">
      <c r="A842" s="97">
        <v>38582</v>
      </c>
      <c r="B842" s="97" t="str">
        <f>TEXT($A842,"mmm")</f>
        <v>Aug</v>
      </c>
      <c r="C842" s="99" t="s">
        <v>79</v>
      </c>
      <c r="D842" s="99" t="s">
        <v>92</v>
      </c>
      <c r="E842" s="99" t="s">
        <v>158</v>
      </c>
      <c r="F842" s="99" t="s">
        <v>932</v>
      </c>
      <c r="G842" s="100">
        <v>4025.1111999999998</v>
      </c>
      <c r="H842" s="101">
        <v>4573.99</v>
      </c>
    </row>
    <row r="843" spans="1:8">
      <c r="A843" s="102">
        <v>38582</v>
      </c>
      <c r="B843" s="102" t="str">
        <f>TEXT($A843,"mmm")</f>
        <v>Aug</v>
      </c>
      <c r="C843" s="103" t="s">
        <v>79</v>
      </c>
      <c r="D843" s="103" t="s">
        <v>92</v>
      </c>
      <c r="E843" s="103" t="s">
        <v>83</v>
      </c>
      <c r="F843" s="103" t="s">
        <v>933</v>
      </c>
      <c r="G843" s="104">
        <v>3170.5950000000003</v>
      </c>
      <c r="H843" s="105">
        <v>4227.46</v>
      </c>
    </row>
    <row r="844" spans="1:8">
      <c r="A844" s="97">
        <v>38581</v>
      </c>
      <c r="B844" s="97" t="str">
        <f>TEXT($A844,"mmm")</f>
        <v>Aug</v>
      </c>
      <c r="C844" s="99" t="s">
        <v>104</v>
      </c>
      <c r="D844" s="99" t="s">
        <v>98</v>
      </c>
      <c r="E844" s="99" t="s">
        <v>99</v>
      </c>
      <c r="F844" s="99" t="s">
        <v>934</v>
      </c>
      <c r="G844" s="100">
        <v>3738.9690000000001</v>
      </c>
      <c r="H844" s="101">
        <v>8308.82</v>
      </c>
    </row>
    <row r="845" spans="1:8">
      <c r="A845" s="102">
        <v>38581</v>
      </c>
      <c r="B845" s="102" t="str">
        <f>TEXT($A845,"mmm")</f>
        <v>Aug</v>
      </c>
      <c r="C845" s="103" t="s">
        <v>86</v>
      </c>
      <c r="D845" s="103" t="s">
        <v>80</v>
      </c>
      <c r="E845" s="103" t="s">
        <v>83</v>
      </c>
      <c r="F845" s="103" t="s">
        <v>935</v>
      </c>
      <c r="G845" s="104">
        <v>1738.6240000000003</v>
      </c>
      <c r="H845" s="105">
        <v>2556.8000000000002</v>
      </c>
    </row>
    <row r="846" spans="1:8">
      <c r="A846" s="97">
        <v>38580</v>
      </c>
      <c r="B846" s="97" t="str">
        <f>TEXT($A846,"mmm")</f>
        <v>Aug</v>
      </c>
      <c r="C846" s="99" t="s">
        <v>79</v>
      </c>
      <c r="D846" s="99" t="s">
        <v>87</v>
      </c>
      <c r="E846" s="99" t="s">
        <v>144</v>
      </c>
      <c r="F846" s="99" t="s">
        <v>936</v>
      </c>
      <c r="G846" s="100">
        <v>4670.8316000000004</v>
      </c>
      <c r="H846" s="101">
        <v>6868.87</v>
      </c>
    </row>
    <row r="847" spans="1:8">
      <c r="A847" s="102">
        <v>38580</v>
      </c>
      <c r="B847" s="102" t="str">
        <f>TEXT($A847,"mmm")</f>
        <v>Aug</v>
      </c>
      <c r="C847" s="103" t="s">
        <v>86</v>
      </c>
      <c r="D847" s="103" t="s">
        <v>127</v>
      </c>
      <c r="E847" s="103" t="s">
        <v>94</v>
      </c>
      <c r="F847" s="103" t="s">
        <v>937</v>
      </c>
      <c r="G847" s="104">
        <v>2190.5275000000001</v>
      </c>
      <c r="H847" s="105">
        <v>5094.25</v>
      </c>
    </row>
    <row r="848" spans="1:8">
      <c r="A848" s="97">
        <v>38580</v>
      </c>
      <c r="B848" s="97" t="str">
        <f>TEXT($A848,"mmm")</f>
        <v>Aug</v>
      </c>
      <c r="C848" s="99" t="s">
        <v>116</v>
      </c>
      <c r="D848" s="99" t="s">
        <v>80</v>
      </c>
      <c r="E848" s="99" t="s">
        <v>158</v>
      </c>
      <c r="F848" s="99" t="s">
        <v>938</v>
      </c>
      <c r="G848" s="100">
        <v>1983.9015999999999</v>
      </c>
      <c r="H848" s="101">
        <v>3420.52</v>
      </c>
    </row>
    <row r="849" spans="1:8">
      <c r="A849" s="102">
        <v>38580</v>
      </c>
      <c r="B849" s="102" t="str">
        <f>TEXT($A849,"mmm")</f>
        <v>Aug</v>
      </c>
      <c r="C849" s="103" t="s">
        <v>79</v>
      </c>
      <c r="D849" s="103" t="s">
        <v>92</v>
      </c>
      <c r="E849" s="103" t="s">
        <v>83</v>
      </c>
      <c r="F849" s="103" t="s">
        <v>939</v>
      </c>
      <c r="G849" s="104">
        <v>1384.1959999999999</v>
      </c>
      <c r="H849" s="105">
        <v>2516.7199999999998</v>
      </c>
    </row>
    <row r="850" spans="1:8">
      <c r="A850" s="97">
        <v>38579</v>
      </c>
      <c r="B850" s="97" t="str">
        <f>TEXT($A850,"mmm")</f>
        <v>Aug</v>
      </c>
      <c r="C850" s="99" t="s">
        <v>79</v>
      </c>
      <c r="D850" s="99" t="s">
        <v>98</v>
      </c>
      <c r="E850" s="99" t="s">
        <v>81</v>
      </c>
      <c r="F850" s="99" t="s">
        <v>940</v>
      </c>
      <c r="G850" s="100">
        <v>3745.9923000000003</v>
      </c>
      <c r="H850" s="101">
        <v>8711.61</v>
      </c>
    </row>
    <row r="851" spans="1:8">
      <c r="A851" s="102">
        <v>38579</v>
      </c>
      <c r="B851" s="102" t="str">
        <f>TEXT($A851,"mmm")</f>
        <v>Aug</v>
      </c>
      <c r="C851" s="103" t="s">
        <v>104</v>
      </c>
      <c r="D851" s="103" t="s">
        <v>127</v>
      </c>
      <c r="E851" s="103" t="s">
        <v>129</v>
      </c>
      <c r="F851" s="103" t="s">
        <v>774</v>
      </c>
      <c r="G851" s="104">
        <v>3647.28</v>
      </c>
      <c r="H851" s="105">
        <v>4863.04</v>
      </c>
    </row>
    <row r="852" spans="1:8">
      <c r="A852" s="97">
        <v>38578</v>
      </c>
      <c r="B852" s="97" t="str">
        <f>TEXT($A852,"mmm")</f>
        <v>Aug</v>
      </c>
      <c r="C852" s="99" t="s">
        <v>86</v>
      </c>
      <c r="D852" s="99" t="s">
        <v>87</v>
      </c>
      <c r="E852" s="99" t="s">
        <v>129</v>
      </c>
      <c r="F852" s="99" t="s">
        <v>941</v>
      </c>
      <c r="G852" s="100">
        <v>4049.0132999999996</v>
      </c>
      <c r="H852" s="101">
        <v>9416.31</v>
      </c>
    </row>
    <row r="853" spans="1:8">
      <c r="A853" s="102">
        <v>38577</v>
      </c>
      <c r="B853" s="102" t="str">
        <f>TEXT($A853,"mmm")</f>
        <v>Aug</v>
      </c>
      <c r="C853" s="103" t="s">
        <v>116</v>
      </c>
      <c r="D853" s="103" t="s">
        <v>98</v>
      </c>
      <c r="E853" s="103" t="s">
        <v>89</v>
      </c>
      <c r="F853" s="103" t="s">
        <v>942</v>
      </c>
      <c r="G853" s="104">
        <v>2645.0640000000003</v>
      </c>
      <c r="H853" s="105">
        <v>5877.92</v>
      </c>
    </row>
    <row r="854" spans="1:8">
      <c r="A854" s="97">
        <v>38576</v>
      </c>
      <c r="B854" s="97" t="str">
        <f>TEXT($A854,"mmm")</f>
        <v>Aug</v>
      </c>
      <c r="C854" s="99" t="s">
        <v>79</v>
      </c>
      <c r="D854" s="99" t="s">
        <v>114</v>
      </c>
      <c r="E854" s="99" t="s">
        <v>94</v>
      </c>
      <c r="F854" s="99" t="s">
        <v>943</v>
      </c>
      <c r="G854" s="100">
        <v>6141.74</v>
      </c>
      <c r="H854" s="101">
        <v>6979.25</v>
      </c>
    </row>
    <row r="855" spans="1:8">
      <c r="A855" s="102">
        <v>38576</v>
      </c>
      <c r="B855" s="102" t="str">
        <f>TEXT($A855,"mmm")</f>
        <v>Aug</v>
      </c>
      <c r="C855" s="103" t="s">
        <v>86</v>
      </c>
      <c r="D855" s="103" t="s">
        <v>95</v>
      </c>
      <c r="E855" s="103" t="s">
        <v>89</v>
      </c>
      <c r="F855" s="103" t="s">
        <v>944</v>
      </c>
      <c r="G855" s="104">
        <v>661.54499999999996</v>
      </c>
      <c r="H855" s="105">
        <v>882.06</v>
      </c>
    </row>
    <row r="856" spans="1:8">
      <c r="A856" s="97">
        <v>38575</v>
      </c>
      <c r="B856" s="97" t="str">
        <f>TEXT($A856,"mmm")</f>
        <v>Aug</v>
      </c>
      <c r="C856" s="99" t="s">
        <v>86</v>
      </c>
      <c r="D856" s="99" t="s">
        <v>127</v>
      </c>
      <c r="E856" s="99" t="s">
        <v>93</v>
      </c>
      <c r="F856" s="99" t="s">
        <v>945</v>
      </c>
      <c r="G856" s="100">
        <v>2583.5568000000003</v>
      </c>
      <c r="H856" s="101">
        <v>2935.86</v>
      </c>
    </row>
    <row r="857" spans="1:8">
      <c r="A857" s="102">
        <v>38574</v>
      </c>
      <c r="B857" s="102" t="str">
        <f>TEXT($A857,"mmm")</f>
        <v>Aug</v>
      </c>
      <c r="C857" s="103" t="s">
        <v>104</v>
      </c>
      <c r="D857" s="103" t="s">
        <v>101</v>
      </c>
      <c r="E857" s="103" t="s">
        <v>144</v>
      </c>
      <c r="F857" s="103" t="s">
        <v>946</v>
      </c>
      <c r="G857" s="104">
        <v>2140.5230000000001</v>
      </c>
      <c r="H857" s="105">
        <v>3891.86</v>
      </c>
    </row>
    <row r="858" spans="1:8">
      <c r="A858" s="97">
        <v>38574</v>
      </c>
      <c r="B858" s="97" t="str">
        <f>TEXT($A858,"mmm")</f>
        <v>Aug</v>
      </c>
      <c r="C858" s="99" t="s">
        <v>86</v>
      </c>
      <c r="D858" s="99" t="s">
        <v>80</v>
      </c>
      <c r="E858" s="99" t="s">
        <v>99</v>
      </c>
      <c r="F858" s="99" t="s">
        <v>947</v>
      </c>
      <c r="G858" s="100">
        <v>944.34360000000004</v>
      </c>
      <c r="H858" s="101">
        <v>2552.2800000000002</v>
      </c>
    </row>
    <row r="859" spans="1:8">
      <c r="A859" s="102">
        <v>38574</v>
      </c>
      <c r="B859" s="102" t="str">
        <f>TEXT($A859,"mmm")</f>
        <v>Aug</v>
      </c>
      <c r="C859" s="103" t="s">
        <v>79</v>
      </c>
      <c r="D859" s="103" t="s">
        <v>80</v>
      </c>
      <c r="E859" s="103" t="s">
        <v>93</v>
      </c>
      <c r="F859" s="103" t="s">
        <v>948</v>
      </c>
      <c r="G859" s="104">
        <v>526.07939999999996</v>
      </c>
      <c r="H859" s="105">
        <v>891.66</v>
      </c>
    </row>
    <row r="860" spans="1:8">
      <c r="A860" s="97">
        <v>38574</v>
      </c>
      <c r="B860" s="97" t="str">
        <f>TEXT($A860,"mmm")</f>
        <v>Aug</v>
      </c>
      <c r="C860" s="99" t="s">
        <v>79</v>
      </c>
      <c r="D860" s="99" t="s">
        <v>80</v>
      </c>
      <c r="E860" s="99" t="s">
        <v>81</v>
      </c>
      <c r="F860" s="99" t="s">
        <v>949</v>
      </c>
      <c r="G860" s="100">
        <v>346.71840000000003</v>
      </c>
      <c r="H860" s="101">
        <v>509.88</v>
      </c>
    </row>
    <row r="861" spans="1:8">
      <c r="A861" s="102">
        <v>38573</v>
      </c>
      <c r="B861" s="102" t="str">
        <f>TEXT($A861,"mmm")</f>
        <v>Aug</v>
      </c>
      <c r="C861" s="103" t="s">
        <v>116</v>
      </c>
      <c r="D861" s="103" t="s">
        <v>101</v>
      </c>
      <c r="E861" s="103" t="s">
        <v>99</v>
      </c>
      <c r="F861" s="103" t="s">
        <v>950</v>
      </c>
      <c r="G861" s="104">
        <v>4070.6401000000001</v>
      </c>
      <c r="H861" s="105">
        <v>6899.39</v>
      </c>
    </row>
    <row r="862" spans="1:8">
      <c r="A862" s="97">
        <v>38573</v>
      </c>
      <c r="B862" s="97" t="str">
        <f>TEXT($A862,"mmm")</f>
        <v>Aug</v>
      </c>
      <c r="C862" s="99" t="s">
        <v>116</v>
      </c>
      <c r="D862" s="99" t="s">
        <v>87</v>
      </c>
      <c r="E862" s="99" t="s">
        <v>120</v>
      </c>
      <c r="F862" s="99" t="s">
        <v>951</v>
      </c>
      <c r="G862" s="100">
        <v>3580.6875</v>
      </c>
      <c r="H862" s="101">
        <v>4774.25</v>
      </c>
    </row>
    <row r="863" spans="1:8">
      <c r="A863" s="102">
        <v>38573</v>
      </c>
      <c r="B863" s="102" t="str">
        <f>TEXT($A863,"mmm")</f>
        <v>Aug</v>
      </c>
      <c r="C863" s="103" t="s">
        <v>116</v>
      </c>
      <c r="D863" s="103" t="s">
        <v>92</v>
      </c>
      <c r="E863" s="103" t="s">
        <v>89</v>
      </c>
      <c r="F863" s="103" t="s">
        <v>952</v>
      </c>
      <c r="G863" s="104">
        <v>1327.1233999999999</v>
      </c>
      <c r="H863" s="105">
        <v>3586.82</v>
      </c>
    </row>
    <row r="864" spans="1:8">
      <c r="A864" s="97">
        <v>38572</v>
      </c>
      <c r="B864" s="97" t="str">
        <f>TEXT($A864,"mmm")</f>
        <v>Aug</v>
      </c>
      <c r="C864" s="99" t="s">
        <v>116</v>
      </c>
      <c r="D864" s="99" t="s">
        <v>114</v>
      </c>
      <c r="E864" s="99" t="s">
        <v>108</v>
      </c>
      <c r="F864" s="99" t="s">
        <v>953</v>
      </c>
      <c r="G864" s="100">
        <v>5623.7619999999997</v>
      </c>
      <c r="H864" s="101">
        <v>9531.7999999999993</v>
      </c>
    </row>
    <row r="865" spans="1:8">
      <c r="A865" s="102">
        <v>38572</v>
      </c>
      <c r="B865" s="102" t="str">
        <f>TEXT($A865,"mmm")</f>
        <v>Aug</v>
      </c>
      <c r="C865" s="103" t="s">
        <v>79</v>
      </c>
      <c r="D865" s="103" t="s">
        <v>101</v>
      </c>
      <c r="E865" s="103" t="s">
        <v>129</v>
      </c>
      <c r="F865" s="103" t="s">
        <v>954</v>
      </c>
      <c r="G865" s="104">
        <v>2237.4629</v>
      </c>
      <c r="H865" s="105">
        <v>3792.31</v>
      </c>
    </row>
    <row r="866" spans="1:8">
      <c r="A866" s="97">
        <v>38571</v>
      </c>
      <c r="B866" s="97" t="str">
        <f>TEXT($A866,"mmm")</f>
        <v>Aug</v>
      </c>
      <c r="C866" s="99" t="s">
        <v>107</v>
      </c>
      <c r="D866" s="99" t="s">
        <v>98</v>
      </c>
      <c r="E866" s="99" t="s">
        <v>81</v>
      </c>
      <c r="F866" s="99" t="s">
        <v>955</v>
      </c>
      <c r="G866" s="100">
        <v>4037.3688999999999</v>
      </c>
      <c r="H866" s="101">
        <v>9389.23</v>
      </c>
    </row>
    <row r="867" spans="1:8">
      <c r="A867" s="102">
        <v>38571</v>
      </c>
      <c r="B867" s="102" t="str">
        <f>TEXT($A867,"mmm")</f>
        <v>Aug</v>
      </c>
      <c r="C867" s="103" t="s">
        <v>104</v>
      </c>
      <c r="D867" s="103" t="s">
        <v>87</v>
      </c>
      <c r="E867" s="103" t="s">
        <v>99</v>
      </c>
      <c r="F867" s="103" t="s">
        <v>956</v>
      </c>
      <c r="G867" s="104">
        <v>8482.2452000000012</v>
      </c>
      <c r="H867" s="105">
        <v>9071.92</v>
      </c>
    </row>
    <row r="868" spans="1:8">
      <c r="A868" s="97">
        <v>38571</v>
      </c>
      <c r="B868" s="97" t="str">
        <f>TEXT($A868,"mmm")</f>
        <v>Aug</v>
      </c>
      <c r="C868" s="99" t="s">
        <v>86</v>
      </c>
      <c r="D868" s="99" t="s">
        <v>95</v>
      </c>
      <c r="E868" s="99" t="s">
        <v>96</v>
      </c>
      <c r="F868" s="99" t="s">
        <v>957</v>
      </c>
      <c r="G868" s="100">
        <v>6549.8713500000003</v>
      </c>
      <c r="H868" s="101">
        <v>7005.21</v>
      </c>
    </row>
    <row r="869" spans="1:8">
      <c r="A869" s="102">
        <v>38570</v>
      </c>
      <c r="B869" s="102" t="str">
        <f>TEXT($A869,"mmm")</f>
        <v>Aug</v>
      </c>
      <c r="C869" s="103" t="s">
        <v>79</v>
      </c>
      <c r="D869" s="103" t="s">
        <v>98</v>
      </c>
      <c r="E869" s="103" t="s">
        <v>122</v>
      </c>
      <c r="F869" s="103" t="s">
        <v>958</v>
      </c>
      <c r="G869" s="104">
        <v>4509.1616000000004</v>
      </c>
      <c r="H869" s="105">
        <v>6631.12</v>
      </c>
    </row>
    <row r="870" spans="1:8">
      <c r="A870" s="97">
        <v>38570</v>
      </c>
      <c r="B870" s="97" t="str">
        <f>TEXT($A870,"mmm")</f>
        <v>Aug</v>
      </c>
      <c r="C870" s="99" t="s">
        <v>116</v>
      </c>
      <c r="D870" s="99" t="s">
        <v>92</v>
      </c>
      <c r="E870" s="99" t="s">
        <v>81</v>
      </c>
      <c r="F870" s="99" t="s">
        <v>959</v>
      </c>
      <c r="G870" s="100">
        <v>769.61479999999995</v>
      </c>
      <c r="H870" s="101">
        <v>2080.04</v>
      </c>
    </row>
    <row r="871" spans="1:8">
      <c r="A871" s="102">
        <v>38570</v>
      </c>
      <c r="B871" s="102" t="str">
        <f>TEXT($A871,"mmm")</f>
        <v>Aug</v>
      </c>
      <c r="C871" s="103" t="s">
        <v>79</v>
      </c>
      <c r="D871" s="103" t="s">
        <v>80</v>
      </c>
      <c r="E871" s="103" t="s">
        <v>105</v>
      </c>
      <c r="F871" s="103" t="s">
        <v>960</v>
      </c>
      <c r="G871" s="104">
        <v>607.64859999999999</v>
      </c>
      <c r="H871" s="105">
        <v>1047.67</v>
      </c>
    </row>
    <row r="872" spans="1:8">
      <c r="A872" s="97">
        <v>38570</v>
      </c>
      <c r="B872" s="97" t="str">
        <f>TEXT($A872,"mmm")</f>
        <v>Aug</v>
      </c>
      <c r="C872" s="99" t="s">
        <v>79</v>
      </c>
      <c r="D872" s="99" t="s">
        <v>98</v>
      </c>
      <c r="E872" s="99" t="s">
        <v>99</v>
      </c>
      <c r="F872" s="99" t="s">
        <v>961</v>
      </c>
      <c r="G872" s="100">
        <v>540.80939999999998</v>
      </c>
      <c r="H872" s="101">
        <v>932.43</v>
      </c>
    </row>
    <row r="873" spans="1:8">
      <c r="A873" s="102">
        <v>38569</v>
      </c>
      <c r="B873" s="102" t="str">
        <f>TEXT($A873,"mmm")</f>
        <v>Aug</v>
      </c>
      <c r="C873" s="103" t="s">
        <v>104</v>
      </c>
      <c r="D873" s="103" t="s">
        <v>92</v>
      </c>
      <c r="E873" s="103" t="s">
        <v>108</v>
      </c>
      <c r="F873" s="103" t="s">
        <v>962</v>
      </c>
      <c r="G873" s="104">
        <v>3234.7872000000002</v>
      </c>
      <c r="H873" s="105">
        <v>4757.04</v>
      </c>
    </row>
    <row r="874" spans="1:8">
      <c r="A874" s="97">
        <v>38569</v>
      </c>
      <c r="B874" s="97" t="str">
        <f>TEXT($A874,"mmm")</f>
        <v>Aug</v>
      </c>
      <c r="C874" s="99" t="s">
        <v>86</v>
      </c>
      <c r="D874" s="99" t="s">
        <v>114</v>
      </c>
      <c r="E874" s="99" t="s">
        <v>96</v>
      </c>
      <c r="F874" s="99" t="s">
        <v>963</v>
      </c>
      <c r="G874" s="100">
        <v>1635.0224000000001</v>
      </c>
      <c r="H874" s="101">
        <v>1857.98</v>
      </c>
    </row>
    <row r="875" spans="1:8">
      <c r="A875" s="102">
        <v>38568</v>
      </c>
      <c r="B875" s="102" t="str">
        <f>TEXT($A875,"mmm")</f>
        <v>Aug</v>
      </c>
      <c r="C875" s="103" t="s">
        <v>79</v>
      </c>
      <c r="D875" s="103" t="s">
        <v>98</v>
      </c>
      <c r="E875" s="103" t="s">
        <v>120</v>
      </c>
      <c r="F875" s="103" t="s">
        <v>964</v>
      </c>
      <c r="G875" s="104">
        <v>2881.4256999999998</v>
      </c>
      <c r="H875" s="105">
        <v>6700.99</v>
      </c>
    </row>
    <row r="876" spans="1:8">
      <c r="A876" s="97">
        <v>38568</v>
      </c>
      <c r="B876" s="97" t="str">
        <f>TEXT($A876,"mmm")</f>
        <v>Aug</v>
      </c>
      <c r="C876" s="99" t="s">
        <v>107</v>
      </c>
      <c r="D876" s="99" t="s">
        <v>98</v>
      </c>
      <c r="E876" s="99" t="s">
        <v>122</v>
      </c>
      <c r="F876" s="99" t="s">
        <v>965</v>
      </c>
      <c r="G876" s="100">
        <v>4911.2464500000006</v>
      </c>
      <c r="H876" s="101">
        <v>5252.67</v>
      </c>
    </row>
    <row r="877" spans="1:8">
      <c r="A877" s="102">
        <v>38568</v>
      </c>
      <c r="B877" s="102" t="str">
        <f>TEXT($A877,"mmm")</f>
        <v>Aug</v>
      </c>
      <c r="C877" s="103" t="s">
        <v>104</v>
      </c>
      <c r="D877" s="103" t="s">
        <v>80</v>
      </c>
      <c r="E877" s="103" t="s">
        <v>129</v>
      </c>
      <c r="F877" s="103" t="s">
        <v>966</v>
      </c>
      <c r="G877" s="104">
        <v>872.39240000000007</v>
      </c>
      <c r="H877" s="105">
        <v>1282.93</v>
      </c>
    </row>
    <row r="878" spans="1:8">
      <c r="A878" s="97">
        <v>38567</v>
      </c>
      <c r="B878" s="97" t="str">
        <f>TEXT($A878,"mmm")</f>
        <v>Aug</v>
      </c>
      <c r="C878" s="99" t="s">
        <v>104</v>
      </c>
      <c r="D878" s="99" t="s">
        <v>92</v>
      </c>
      <c r="E878" s="99" t="s">
        <v>122</v>
      </c>
      <c r="F878" s="99" t="s">
        <v>967</v>
      </c>
      <c r="G878" s="100">
        <v>8814.5722500000011</v>
      </c>
      <c r="H878" s="101">
        <v>9427.35</v>
      </c>
    </row>
    <row r="879" spans="1:8">
      <c r="A879" s="102">
        <v>38567</v>
      </c>
      <c r="B879" s="102" t="str">
        <f>TEXT($A879,"mmm")</f>
        <v>Aug</v>
      </c>
      <c r="C879" s="103" t="s">
        <v>107</v>
      </c>
      <c r="D879" s="103" t="s">
        <v>95</v>
      </c>
      <c r="E879" s="103" t="s">
        <v>81</v>
      </c>
      <c r="F879" s="103" t="s">
        <v>968</v>
      </c>
      <c r="G879" s="104">
        <v>2838.2705999999998</v>
      </c>
      <c r="H879" s="105">
        <v>4893.57</v>
      </c>
    </row>
    <row r="880" spans="1:8">
      <c r="A880" s="97">
        <v>38566</v>
      </c>
      <c r="B880" s="97" t="str">
        <f>TEXT($A880,"mmm")</f>
        <v>Aug</v>
      </c>
      <c r="C880" s="99" t="s">
        <v>104</v>
      </c>
      <c r="D880" s="99" t="s">
        <v>98</v>
      </c>
      <c r="E880" s="99" t="s">
        <v>94</v>
      </c>
      <c r="F880" s="99" t="s">
        <v>969</v>
      </c>
      <c r="G880" s="100">
        <v>3695.7671999999998</v>
      </c>
      <c r="H880" s="101">
        <v>9988.56</v>
      </c>
    </row>
    <row r="881" spans="1:8">
      <c r="A881" s="102">
        <v>38566</v>
      </c>
      <c r="B881" s="102" t="str">
        <f>TEXT($A881,"mmm")</f>
        <v>Aug</v>
      </c>
      <c r="C881" s="103" t="s">
        <v>104</v>
      </c>
      <c r="D881" s="103" t="s">
        <v>114</v>
      </c>
      <c r="E881" s="103" t="s">
        <v>158</v>
      </c>
      <c r="F881" s="103" t="s">
        <v>970</v>
      </c>
      <c r="G881" s="104">
        <v>4364.4397500000005</v>
      </c>
      <c r="H881" s="105">
        <v>4667.8500000000004</v>
      </c>
    </row>
    <row r="882" spans="1:8">
      <c r="A882" s="97">
        <v>38565</v>
      </c>
      <c r="B882" s="97" t="str">
        <f>TEXT($A882,"mmm")</f>
        <v>Aug</v>
      </c>
      <c r="C882" s="99" t="s">
        <v>79</v>
      </c>
      <c r="D882" s="99" t="s">
        <v>101</v>
      </c>
      <c r="E882" s="99" t="s">
        <v>158</v>
      </c>
      <c r="F882" s="99" t="s">
        <v>971</v>
      </c>
      <c r="G882" s="100">
        <v>7010.2725000000009</v>
      </c>
      <c r="H882" s="101">
        <v>9347.0300000000007</v>
      </c>
    </row>
    <row r="883" spans="1:8">
      <c r="A883" s="102">
        <v>38565</v>
      </c>
      <c r="B883" s="102" t="str">
        <f>TEXT($A883,"mmm")</f>
        <v>Aug</v>
      </c>
      <c r="C883" s="103" t="s">
        <v>86</v>
      </c>
      <c r="D883" s="103" t="s">
        <v>95</v>
      </c>
      <c r="E883" s="103" t="s">
        <v>108</v>
      </c>
      <c r="F883" s="103" t="s">
        <v>972</v>
      </c>
      <c r="G883" s="104">
        <v>1375.0212000000001</v>
      </c>
      <c r="H883" s="105">
        <v>2022.09</v>
      </c>
    </row>
    <row r="884" spans="1:8">
      <c r="A884" s="97">
        <v>38565</v>
      </c>
      <c r="B884" s="97" t="str">
        <f>TEXT($A884,"mmm")</f>
        <v>Aug</v>
      </c>
      <c r="C884" s="99" t="s">
        <v>104</v>
      </c>
      <c r="D884" s="99" t="s">
        <v>87</v>
      </c>
      <c r="E884" s="99" t="s">
        <v>129</v>
      </c>
      <c r="F884" s="99" t="s">
        <v>973</v>
      </c>
      <c r="G884" s="100">
        <v>295.24549999999999</v>
      </c>
      <c r="H884" s="101">
        <v>536.80999999999995</v>
      </c>
    </row>
    <row r="885" spans="1:8">
      <c r="A885" s="102">
        <v>38563</v>
      </c>
      <c r="B885" s="102" t="str">
        <f>TEXT($A885,"mmm")</f>
        <v>Jul</v>
      </c>
      <c r="C885" s="103" t="s">
        <v>86</v>
      </c>
      <c r="D885" s="103" t="s">
        <v>114</v>
      </c>
      <c r="E885" s="103" t="s">
        <v>81</v>
      </c>
      <c r="F885" s="103" t="s">
        <v>974</v>
      </c>
      <c r="G885" s="104">
        <v>5463.8778999999995</v>
      </c>
      <c r="H885" s="105">
        <v>9260.81</v>
      </c>
    </row>
    <row r="886" spans="1:8">
      <c r="A886" s="97">
        <v>38563</v>
      </c>
      <c r="B886" s="97" t="str">
        <f>TEXT($A886,"mmm")</f>
        <v>Jul</v>
      </c>
      <c r="C886" s="99" t="s">
        <v>107</v>
      </c>
      <c r="D886" s="99" t="s">
        <v>114</v>
      </c>
      <c r="E886" s="99" t="s">
        <v>158</v>
      </c>
      <c r="F886" s="99" t="s">
        <v>975</v>
      </c>
      <c r="G886" s="100">
        <v>5237.0174999999999</v>
      </c>
      <c r="H886" s="101">
        <v>6982.69</v>
      </c>
    </row>
    <row r="887" spans="1:8">
      <c r="A887" s="102">
        <v>38563</v>
      </c>
      <c r="B887" s="102" t="str">
        <f>TEXT($A887,"mmm")</f>
        <v>Jul</v>
      </c>
      <c r="C887" s="103" t="s">
        <v>79</v>
      </c>
      <c r="D887" s="103" t="s">
        <v>87</v>
      </c>
      <c r="E887" s="103" t="s">
        <v>129</v>
      </c>
      <c r="F887" s="103" t="s">
        <v>976</v>
      </c>
      <c r="G887" s="104">
        <v>1054.8079</v>
      </c>
      <c r="H887" s="105">
        <v>1787.81</v>
      </c>
    </row>
    <row r="888" spans="1:8">
      <c r="A888" s="97">
        <v>38562</v>
      </c>
      <c r="B888" s="97" t="str">
        <f>TEXT($A888,"mmm")</f>
        <v>Jul</v>
      </c>
      <c r="C888" s="99" t="s">
        <v>79</v>
      </c>
      <c r="D888" s="99" t="s">
        <v>101</v>
      </c>
      <c r="E888" s="99" t="s">
        <v>94</v>
      </c>
      <c r="F888" s="99" t="s">
        <v>977</v>
      </c>
      <c r="G888" s="100">
        <v>3218.3250000000003</v>
      </c>
      <c r="H888" s="101">
        <v>5851.5</v>
      </c>
    </row>
    <row r="889" spans="1:8">
      <c r="A889" s="102">
        <v>38562</v>
      </c>
      <c r="B889" s="102" t="str">
        <f>TEXT($A889,"mmm")</f>
        <v>Jul</v>
      </c>
      <c r="C889" s="103" t="s">
        <v>79</v>
      </c>
      <c r="D889" s="103" t="s">
        <v>98</v>
      </c>
      <c r="E889" s="103" t="s">
        <v>158</v>
      </c>
      <c r="F889" s="103" t="s">
        <v>978</v>
      </c>
      <c r="G889" s="104">
        <v>2259.4769999999999</v>
      </c>
      <c r="H889" s="105">
        <v>3895.65</v>
      </c>
    </row>
    <row r="890" spans="1:8">
      <c r="A890" s="97">
        <v>38562</v>
      </c>
      <c r="B890" s="97" t="str">
        <f>TEXT($A890,"mmm")</f>
        <v>Jul</v>
      </c>
      <c r="C890" s="99" t="s">
        <v>107</v>
      </c>
      <c r="D890" s="99" t="s">
        <v>101</v>
      </c>
      <c r="E890" s="99" t="s">
        <v>89</v>
      </c>
      <c r="F890" s="99" t="s">
        <v>633</v>
      </c>
      <c r="G890" s="100">
        <v>966.49300000000005</v>
      </c>
      <c r="H890" s="101">
        <v>1757.26</v>
      </c>
    </row>
    <row r="891" spans="1:8">
      <c r="A891" s="102">
        <v>38561</v>
      </c>
      <c r="B891" s="102" t="str">
        <f>TEXT($A891,"mmm")</f>
        <v>Jul</v>
      </c>
      <c r="C891" s="103" t="s">
        <v>79</v>
      </c>
      <c r="D891" s="103" t="s">
        <v>114</v>
      </c>
      <c r="E891" s="103" t="s">
        <v>108</v>
      </c>
      <c r="F891" s="103" t="s">
        <v>979</v>
      </c>
      <c r="G891" s="104">
        <v>7014.8850000000002</v>
      </c>
      <c r="H891" s="105">
        <v>9353.18</v>
      </c>
    </row>
    <row r="892" spans="1:8">
      <c r="A892" s="97">
        <v>38561</v>
      </c>
      <c r="B892" s="97" t="str">
        <f>TEXT($A892,"mmm")</f>
        <v>Jul</v>
      </c>
      <c r="C892" s="99" t="s">
        <v>107</v>
      </c>
      <c r="D892" s="99" t="s">
        <v>101</v>
      </c>
      <c r="E892" s="99" t="s">
        <v>96</v>
      </c>
      <c r="F892" s="99" t="s">
        <v>980</v>
      </c>
      <c r="G892" s="100">
        <v>2898.1956999999998</v>
      </c>
      <c r="H892" s="101">
        <v>6739.99</v>
      </c>
    </row>
    <row r="893" spans="1:8">
      <c r="A893" s="102">
        <v>38561</v>
      </c>
      <c r="B893" s="102" t="str">
        <f>TEXT($A893,"mmm")</f>
        <v>Jul</v>
      </c>
      <c r="C893" s="103" t="s">
        <v>79</v>
      </c>
      <c r="D893" s="103" t="s">
        <v>98</v>
      </c>
      <c r="E893" s="103" t="s">
        <v>105</v>
      </c>
      <c r="F893" s="103" t="s">
        <v>981</v>
      </c>
      <c r="G893" s="104">
        <v>3967.77</v>
      </c>
      <c r="H893" s="105">
        <v>5290.36</v>
      </c>
    </row>
    <row r="894" spans="1:8">
      <c r="A894" s="97">
        <v>38561</v>
      </c>
      <c r="B894" s="97" t="str">
        <f>TEXT($A894,"mmm")</f>
        <v>Jul</v>
      </c>
      <c r="C894" s="99" t="s">
        <v>107</v>
      </c>
      <c r="D894" s="99" t="s">
        <v>92</v>
      </c>
      <c r="E894" s="99" t="s">
        <v>120</v>
      </c>
      <c r="F894" s="99" t="s">
        <v>982</v>
      </c>
      <c r="G894" s="100">
        <v>2875.1250000000005</v>
      </c>
      <c r="H894" s="101">
        <v>5227.5</v>
      </c>
    </row>
    <row r="895" spans="1:8">
      <c r="A895" s="102">
        <v>38561</v>
      </c>
      <c r="B895" s="102" t="str">
        <f>TEXT($A895,"mmm")</f>
        <v>Jul</v>
      </c>
      <c r="C895" s="103" t="s">
        <v>107</v>
      </c>
      <c r="D895" s="103" t="s">
        <v>114</v>
      </c>
      <c r="E895" s="103" t="s">
        <v>129</v>
      </c>
      <c r="F895" s="103" t="s">
        <v>109</v>
      </c>
      <c r="G895" s="104">
        <v>1115.2845</v>
      </c>
      <c r="H895" s="105">
        <v>2027.79</v>
      </c>
    </row>
    <row r="896" spans="1:8">
      <c r="A896" s="97">
        <v>38561</v>
      </c>
      <c r="B896" s="97" t="str">
        <f>TEXT($A896,"mmm")</f>
        <v>Jul</v>
      </c>
      <c r="C896" s="99" t="s">
        <v>86</v>
      </c>
      <c r="D896" s="99" t="s">
        <v>87</v>
      </c>
      <c r="E896" s="99" t="s">
        <v>99</v>
      </c>
      <c r="F896" s="99" t="s">
        <v>983</v>
      </c>
      <c r="G896" s="100">
        <v>500.21839999999997</v>
      </c>
      <c r="H896" s="101">
        <v>568.42999999999995</v>
      </c>
    </row>
    <row r="897" spans="1:8">
      <c r="A897" s="102">
        <v>38560</v>
      </c>
      <c r="B897" s="102" t="str">
        <f>TEXT($A897,"mmm")</f>
        <v>Jul</v>
      </c>
      <c r="C897" s="103" t="s">
        <v>107</v>
      </c>
      <c r="D897" s="103" t="s">
        <v>87</v>
      </c>
      <c r="E897" s="103" t="s">
        <v>81</v>
      </c>
      <c r="F897" s="103" t="s">
        <v>984</v>
      </c>
      <c r="G897" s="104">
        <v>5568.6855000000005</v>
      </c>
      <c r="H897" s="105">
        <v>9438.4500000000007</v>
      </c>
    </row>
    <row r="898" spans="1:8">
      <c r="A898" s="97">
        <v>38560</v>
      </c>
      <c r="B898" s="97" t="str">
        <f>TEXT($A898,"mmm")</f>
        <v>Jul</v>
      </c>
      <c r="C898" s="99" t="s">
        <v>104</v>
      </c>
      <c r="D898" s="99" t="s">
        <v>92</v>
      </c>
      <c r="E898" s="99" t="s">
        <v>93</v>
      </c>
      <c r="F898" s="99" t="s">
        <v>985</v>
      </c>
      <c r="G898" s="100">
        <v>3641.2515000000003</v>
      </c>
      <c r="H898" s="101">
        <v>8091.67</v>
      </c>
    </row>
    <row r="899" spans="1:8">
      <c r="A899" s="102">
        <v>38560</v>
      </c>
      <c r="B899" s="102" t="str">
        <f>TEXT($A899,"mmm")</f>
        <v>Jul</v>
      </c>
      <c r="C899" s="103" t="s">
        <v>79</v>
      </c>
      <c r="D899" s="103" t="s">
        <v>95</v>
      </c>
      <c r="E899" s="103" t="s">
        <v>120</v>
      </c>
      <c r="F899" s="103" t="s">
        <v>986</v>
      </c>
      <c r="G899" s="104">
        <v>2690.7028999999998</v>
      </c>
      <c r="H899" s="105">
        <v>7272.17</v>
      </c>
    </row>
    <row r="900" spans="1:8">
      <c r="A900" s="97">
        <v>38560</v>
      </c>
      <c r="B900" s="97" t="str">
        <f>TEXT($A900,"mmm")</f>
        <v>Jul</v>
      </c>
      <c r="C900" s="99" t="s">
        <v>116</v>
      </c>
      <c r="D900" s="99" t="s">
        <v>92</v>
      </c>
      <c r="E900" s="99" t="s">
        <v>89</v>
      </c>
      <c r="F900" s="99" t="s">
        <v>987</v>
      </c>
      <c r="G900" s="100">
        <v>5352.9696000000004</v>
      </c>
      <c r="H900" s="101">
        <v>6082.92</v>
      </c>
    </row>
    <row r="901" spans="1:8">
      <c r="A901" s="102">
        <v>38560</v>
      </c>
      <c r="B901" s="102" t="str">
        <f>TEXT($A901,"mmm")</f>
        <v>Jul</v>
      </c>
      <c r="C901" s="103" t="s">
        <v>86</v>
      </c>
      <c r="D901" s="103" t="s">
        <v>114</v>
      </c>
      <c r="E901" s="103" t="s">
        <v>93</v>
      </c>
      <c r="F901" s="103" t="s">
        <v>988</v>
      </c>
      <c r="G901" s="104">
        <v>2807.3430000000003</v>
      </c>
      <c r="H901" s="105">
        <v>5104.26</v>
      </c>
    </row>
    <row r="902" spans="1:8">
      <c r="A902" s="97">
        <v>38560</v>
      </c>
      <c r="B902" s="97" t="str">
        <f>TEXT($A902,"mmm")</f>
        <v>Jul</v>
      </c>
      <c r="C902" s="99" t="s">
        <v>116</v>
      </c>
      <c r="D902" s="99" t="s">
        <v>92</v>
      </c>
      <c r="E902" s="99" t="s">
        <v>158</v>
      </c>
      <c r="F902" s="99" t="s">
        <v>989</v>
      </c>
      <c r="G902" s="100">
        <v>1468.2327</v>
      </c>
      <c r="H902" s="101">
        <v>2488.5300000000002</v>
      </c>
    </row>
    <row r="903" spans="1:8">
      <c r="A903" s="102">
        <v>38559</v>
      </c>
      <c r="B903" s="102" t="str">
        <f>TEXT($A903,"mmm")</f>
        <v>Jul</v>
      </c>
      <c r="C903" s="103" t="s">
        <v>86</v>
      </c>
      <c r="D903" s="103" t="s">
        <v>114</v>
      </c>
      <c r="E903" s="103" t="s">
        <v>81</v>
      </c>
      <c r="F903" s="103" t="s">
        <v>990</v>
      </c>
      <c r="G903" s="104">
        <v>4286.4764999999998</v>
      </c>
      <c r="H903" s="105">
        <v>9968.5499999999993</v>
      </c>
    </row>
    <row r="904" spans="1:8">
      <c r="A904" s="97">
        <v>38559</v>
      </c>
      <c r="B904" s="97" t="str">
        <f>TEXT($A904,"mmm")</f>
        <v>Jul</v>
      </c>
      <c r="C904" s="99" t="s">
        <v>79</v>
      </c>
      <c r="D904" s="99" t="s">
        <v>127</v>
      </c>
      <c r="E904" s="99" t="s">
        <v>158</v>
      </c>
      <c r="F904" s="99" t="s">
        <v>991</v>
      </c>
      <c r="G904" s="100">
        <v>6050.4088000000002</v>
      </c>
      <c r="H904" s="101">
        <v>8897.66</v>
      </c>
    </row>
    <row r="905" spans="1:8">
      <c r="A905" s="102">
        <v>38559</v>
      </c>
      <c r="B905" s="102" t="str">
        <f>TEXT($A905,"mmm")</f>
        <v>Jul</v>
      </c>
      <c r="C905" s="103" t="s">
        <v>79</v>
      </c>
      <c r="D905" s="103" t="s">
        <v>87</v>
      </c>
      <c r="E905" s="103" t="s">
        <v>81</v>
      </c>
      <c r="F905" s="103" t="s">
        <v>992</v>
      </c>
      <c r="G905" s="104">
        <v>3562.1960000000004</v>
      </c>
      <c r="H905" s="105">
        <v>6476.72</v>
      </c>
    </row>
    <row r="906" spans="1:8">
      <c r="A906" s="97">
        <v>38559</v>
      </c>
      <c r="B906" s="97" t="str">
        <f>TEXT($A906,"mmm")</f>
        <v>Jul</v>
      </c>
      <c r="C906" s="99" t="s">
        <v>116</v>
      </c>
      <c r="D906" s="99" t="s">
        <v>87</v>
      </c>
      <c r="E906" s="99" t="s">
        <v>89</v>
      </c>
      <c r="F906" s="99" t="s">
        <v>993</v>
      </c>
      <c r="G906" s="100">
        <v>944.04719999999986</v>
      </c>
      <c r="H906" s="101">
        <v>1600.08</v>
      </c>
    </row>
    <row r="907" spans="1:8">
      <c r="A907" s="102">
        <v>38559</v>
      </c>
      <c r="B907" s="102" t="str">
        <f>TEXT($A907,"mmm")</f>
        <v>Jul</v>
      </c>
      <c r="C907" s="103" t="s">
        <v>104</v>
      </c>
      <c r="D907" s="103" t="s">
        <v>92</v>
      </c>
      <c r="E907" s="103" t="s">
        <v>96</v>
      </c>
      <c r="F907" s="103" t="s">
        <v>994</v>
      </c>
      <c r="G907" s="104">
        <v>749.505</v>
      </c>
      <c r="H907" s="105">
        <v>1292.25</v>
      </c>
    </row>
    <row r="908" spans="1:8">
      <c r="A908" s="97">
        <v>38558</v>
      </c>
      <c r="B908" s="97" t="str">
        <f>TEXT($A908,"mmm")</f>
        <v>Jul</v>
      </c>
      <c r="C908" s="99" t="s">
        <v>86</v>
      </c>
      <c r="D908" s="99" t="s">
        <v>114</v>
      </c>
      <c r="E908" s="99" t="s">
        <v>105</v>
      </c>
      <c r="F908" s="99" t="s">
        <v>995</v>
      </c>
      <c r="G908" s="100">
        <v>6673.348</v>
      </c>
      <c r="H908" s="101">
        <v>7583.35</v>
      </c>
    </row>
    <row r="909" spans="1:8">
      <c r="A909" s="102">
        <v>38558</v>
      </c>
      <c r="B909" s="102" t="str">
        <f>TEXT($A909,"mmm")</f>
        <v>Jul</v>
      </c>
      <c r="C909" s="103" t="s">
        <v>104</v>
      </c>
      <c r="D909" s="103" t="s">
        <v>114</v>
      </c>
      <c r="E909" s="103" t="s">
        <v>105</v>
      </c>
      <c r="F909" s="103" t="s">
        <v>996</v>
      </c>
      <c r="G909" s="104">
        <v>3287.614</v>
      </c>
      <c r="H909" s="105">
        <v>5977.48</v>
      </c>
    </row>
    <row r="910" spans="1:8">
      <c r="A910" s="97">
        <v>38558</v>
      </c>
      <c r="B910" s="97" t="str">
        <f>TEXT($A910,"mmm")</f>
        <v>Jul</v>
      </c>
      <c r="C910" s="99" t="s">
        <v>79</v>
      </c>
      <c r="D910" s="99" t="s">
        <v>92</v>
      </c>
      <c r="E910" s="99" t="s">
        <v>105</v>
      </c>
      <c r="F910" s="99" t="s">
        <v>997</v>
      </c>
      <c r="G910" s="100">
        <v>1394.7221999999999</v>
      </c>
      <c r="H910" s="101">
        <v>3243.54</v>
      </c>
    </row>
    <row r="911" spans="1:8">
      <c r="A911" s="102">
        <v>38558</v>
      </c>
      <c r="B911" s="102" t="str">
        <f>TEXT($A911,"mmm")</f>
        <v>Jul</v>
      </c>
      <c r="C911" s="103" t="s">
        <v>79</v>
      </c>
      <c r="D911" s="103" t="s">
        <v>87</v>
      </c>
      <c r="E911" s="103" t="s">
        <v>120</v>
      </c>
      <c r="F911" s="103" t="s">
        <v>998</v>
      </c>
      <c r="G911" s="104">
        <v>1872.4111999999998</v>
      </c>
      <c r="H911" s="105">
        <v>2127.7399999999998</v>
      </c>
    </row>
    <row r="912" spans="1:8">
      <c r="A912" s="97">
        <v>38557</v>
      </c>
      <c r="B912" s="97" t="str">
        <f>TEXT($A912,"mmm")</f>
        <v>Jul</v>
      </c>
      <c r="C912" s="99" t="s">
        <v>86</v>
      </c>
      <c r="D912" s="99" t="s">
        <v>95</v>
      </c>
      <c r="E912" s="99" t="s">
        <v>120</v>
      </c>
      <c r="F912" s="99" t="s">
        <v>999</v>
      </c>
      <c r="G912" s="100">
        <v>3234.2809999999995</v>
      </c>
      <c r="H912" s="101">
        <v>8741.2999999999993</v>
      </c>
    </row>
    <row r="913" spans="1:8">
      <c r="A913" s="102">
        <v>38556</v>
      </c>
      <c r="B913" s="102" t="str">
        <f>TEXT($A913,"mmm")</f>
        <v>Jul</v>
      </c>
      <c r="C913" s="103" t="s">
        <v>79</v>
      </c>
      <c r="D913" s="103" t="s">
        <v>87</v>
      </c>
      <c r="E913" s="103" t="s">
        <v>120</v>
      </c>
      <c r="F913" s="103" t="s">
        <v>1000</v>
      </c>
      <c r="G913" s="104">
        <v>3913.0965000000001</v>
      </c>
      <c r="H913" s="105">
        <v>8695.77</v>
      </c>
    </row>
    <row r="914" spans="1:8">
      <c r="A914" s="97">
        <v>38556</v>
      </c>
      <c r="B914" s="97" t="str">
        <f>TEXT($A914,"mmm")</f>
        <v>Jul</v>
      </c>
      <c r="C914" s="99" t="s">
        <v>116</v>
      </c>
      <c r="D914" s="99" t="s">
        <v>92</v>
      </c>
      <c r="E914" s="99" t="s">
        <v>120</v>
      </c>
      <c r="F914" s="99" t="s">
        <v>1001</v>
      </c>
      <c r="G914" s="100">
        <v>5299.4575999999997</v>
      </c>
      <c r="H914" s="101">
        <v>7793.32</v>
      </c>
    </row>
    <row r="915" spans="1:8">
      <c r="A915" s="102">
        <v>38555</v>
      </c>
      <c r="B915" s="102" t="str">
        <f>TEXT($A915,"mmm")</f>
        <v>Jul</v>
      </c>
      <c r="C915" s="103" t="s">
        <v>116</v>
      </c>
      <c r="D915" s="103" t="s">
        <v>80</v>
      </c>
      <c r="E915" s="103" t="s">
        <v>96</v>
      </c>
      <c r="F915" s="103" t="s">
        <v>1002</v>
      </c>
      <c r="G915" s="104">
        <v>3982.4149000000002</v>
      </c>
      <c r="H915" s="105">
        <v>9261.43</v>
      </c>
    </row>
    <row r="916" spans="1:8">
      <c r="A916" s="97">
        <v>38554</v>
      </c>
      <c r="B916" s="97" t="str">
        <f>TEXT($A916,"mmm")</f>
        <v>Jul</v>
      </c>
      <c r="C916" s="99" t="s">
        <v>116</v>
      </c>
      <c r="D916" s="99" t="s">
        <v>114</v>
      </c>
      <c r="E916" s="99" t="s">
        <v>99</v>
      </c>
      <c r="F916" s="99" t="s">
        <v>1003</v>
      </c>
      <c r="G916" s="100">
        <v>7044.3375000000005</v>
      </c>
      <c r="H916" s="101">
        <v>9392.4500000000007</v>
      </c>
    </row>
    <row r="917" spans="1:8">
      <c r="A917" s="102">
        <v>38554</v>
      </c>
      <c r="B917" s="102" t="str">
        <f>TEXT($A917,"mmm")</f>
        <v>Jul</v>
      </c>
      <c r="C917" s="103" t="s">
        <v>104</v>
      </c>
      <c r="D917" s="103" t="s">
        <v>92</v>
      </c>
      <c r="E917" s="103" t="s">
        <v>83</v>
      </c>
      <c r="F917" s="103" t="s">
        <v>1004</v>
      </c>
      <c r="G917" s="104">
        <v>1625.0625</v>
      </c>
      <c r="H917" s="105">
        <v>2166.75</v>
      </c>
    </row>
    <row r="918" spans="1:8">
      <c r="A918" s="97">
        <v>38554</v>
      </c>
      <c r="B918" s="97" t="str">
        <f>TEXT($A918,"mmm")</f>
        <v>Jul</v>
      </c>
      <c r="C918" s="99" t="s">
        <v>79</v>
      </c>
      <c r="D918" s="99" t="s">
        <v>101</v>
      </c>
      <c r="E918" s="99" t="s">
        <v>158</v>
      </c>
      <c r="F918" s="99" t="s">
        <v>1005</v>
      </c>
      <c r="G918" s="100">
        <v>1641.6136000000001</v>
      </c>
      <c r="H918" s="101">
        <v>1865.47</v>
      </c>
    </row>
    <row r="919" spans="1:8">
      <c r="A919" s="102">
        <v>38553</v>
      </c>
      <c r="B919" s="102" t="str">
        <f>TEXT($A919,"mmm")</f>
        <v>Jul</v>
      </c>
      <c r="C919" s="103" t="s">
        <v>107</v>
      </c>
      <c r="D919" s="103" t="s">
        <v>98</v>
      </c>
      <c r="E919" s="103" t="s">
        <v>89</v>
      </c>
      <c r="F919" s="103" t="s">
        <v>1006</v>
      </c>
      <c r="G919" s="104">
        <v>2051.0527000000002</v>
      </c>
      <c r="H919" s="105">
        <v>4769.8900000000003</v>
      </c>
    </row>
    <row r="920" spans="1:8">
      <c r="A920" s="97">
        <v>38553</v>
      </c>
      <c r="B920" s="97" t="str">
        <f>TEXT($A920,"mmm")</f>
        <v>Jul</v>
      </c>
      <c r="C920" s="99" t="s">
        <v>104</v>
      </c>
      <c r="D920" s="99" t="s">
        <v>114</v>
      </c>
      <c r="E920" s="99" t="s">
        <v>129</v>
      </c>
      <c r="F920" s="99" t="s">
        <v>1007</v>
      </c>
      <c r="G920" s="100">
        <v>3220.41</v>
      </c>
      <c r="H920" s="101">
        <v>4293.88</v>
      </c>
    </row>
    <row r="921" spans="1:8">
      <c r="A921" s="102">
        <v>38553</v>
      </c>
      <c r="B921" s="102" t="str">
        <f>TEXT($A921,"mmm")</f>
        <v>Jul</v>
      </c>
      <c r="C921" s="103" t="s">
        <v>104</v>
      </c>
      <c r="D921" s="103" t="s">
        <v>95</v>
      </c>
      <c r="E921" s="103" t="s">
        <v>105</v>
      </c>
      <c r="F921" s="103" t="s">
        <v>1008</v>
      </c>
      <c r="G921" s="104">
        <v>1118.2211</v>
      </c>
      <c r="H921" s="105">
        <v>1895.29</v>
      </c>
    </row>
    <row r="922" spans="1:8">
      <c r="A922" s="97">
        <v>38553</v>
      </c>
      <c r="B922" s="97" t="str">
        <f>TEXT($A922,"mmm")</f>
        <v>Jul</v>
      </c>
      <c r="C922" s="99" t="s">
        <v>104</v>
      </c>
      <c r="D922" s="99" t="s">
        <v>92</v>
      </c>
      <c r="E922" s="99" t="s">
        <v>81</v>
      </c>
      <c r="F922" s="99" t="s">
        <v>1009</v>
      </c>
      <c r="G922" s="100">
        <v>983.02499999999998</v>
      </c>
      <c r="H922" s="101">
        <v>1310.7</v>
      </c>
    </row>
    <row r="923" spans="1:8">
      <c r="A923" s="102">
        <v>38552</v>
      </c>
      <c r="B923" s="102" t="str">
        <f>TEXT($A923,"mmm")</f>
        <v>Jul</v>
      </c>
      <c r="C923" s="103" t="s">
        <v>104</v>
      </c>
      <c r="D923" s="103" t="s">
        <v>87</v>
      </c>
      <c r="E923" s="103" t="s">
        <v>108</v>
      </c>
      <c r="F923" s="103" t="s">
        <v>1010</v>
      </c>
      <c r="G923" s="104">
        <v>5046</v>
      </c>
      <c r="H923" s="105">
        <v>8700</v>
      </c>
    </row>
    <row r="924" spans="1:8">
      <c r="A924" s="97">
        <v>38552</v>
      </c>
      <c r="B924" s="97" t="str">
        <f>TEXT($A924,"mmm")</f>
        <v>Jul</v>
      </c>
      <c r="C924" s="99" t="s">
        <v>79</v>
      </c>
      <c r="D924" s="99" t="s">
        <v>92</v>
      </c>
      <c r="E924" s="99" t="s">
        <v>83</v>
      </c>
      <c r="F924" s="99" t="s">
        <v>1011</v>
      </c>
      <c r="G924" s="100">
        <v>5064.1163999999999</v>
      </c>
      <c r="H924" s="101">
        <v>7447.23</v>
      </c>
    </row>
    <row r="925" spans="1:8">
      <c r="A925" s="102">
        <v>38551</v>
      </c>
      <c r="B925" s="102" t="str">
        <f>TEXT($A925,"mmm")</f>
        <v>Jul</v>
      </c>
      <c r="C925" s="103" t="s">
        <v>116</v>
      </c>
      <c r="D925" s="103" t="s">
        <v>87</v>
      </c>
      <c r="E925" s="103" t="s">
        <v>129</v>
      </c>
      <c r="F925" s="103" t="s">
        <v>1012</v>
      </c>
      <c r="G925" s="104">
        <v>4445.8333999999995</v>
      </c>
      <c r="H925" s="105">
        <v>7665.23</v>
      </c>
    </row>
    <row r="926" spans="1:8">
      <c r="A926" s="97">
        <v>38551</v>
      </c>
      <c r="B926" s="97" t="str">
        <f>TEXT($A926,"mmm")</f>
        <v>Jul</v>
      </c>
      <c r="C926" s="99" t="s">
        <v>79</v>
      </c>
      <c r="D926" s="99" t="s">
        <v>87</v>
      </c>
      <c r="E926" s="99" t="s">
        <v>94</v>
      </c>
      <c r="F926" s="99" t="s">
        <v>1013</v>
      </c>
      <c r="G926" s="100">
        <v>3885.4750000000004</v>
      </c>
      <c r="H926" s="101">
        <v>7064.5</v>
      </c>
    </row>
    <row r="927" spans="1:8">
      <c r="A927" s="102">
        <v>38551</v>
      </c>
      <c r="B927" s="102" t="str">
        <f>TEXT($A927,"mmm")</f>
        <v>Jul</v>
      </c>
      <c r="C927" s="103" t="s">
        <v>104</v>
      </c>
      <c r="D927" s="103" t="s">
        <v>98</v>
      </c>
      <c r="E927" s="103" t="s">
        <v>83</v>
      </c>
      <c r="F927" s="103" t="s">
        <v>1014</v>
      </c>
      <c r="G927" s="104">
        <v>1068.597</v>
      </c>
      <c r="H927" s="105">
        <v>2888.1</v>
      </c>
    </row>
    <row r="928" spans="1:8">
      <c r="A928" s="97">
        <v>38550</v>
      </c>
      <c r="B928" s="97" t="str">
        <f>TEXT($A928,"mmm")</f>
        <v>Jul</v>
      </c>
      <c r="C928" s="99" t="s">
        <v>116</v>
      </c>
      <c r="D928" s="99" t="s">
        <v>80</v>
      </c>
      <c r="E928" s="99" t="s">
        <v>122</v>
      </c>
      <c r="F928" s="99" t="s">
        <v>1015</v>
      </c>
      <c r="G928" s="100">
        <v>5375.1455999999998</v>
      </c>
      <c r="H928" s="101">
        <v>6108.12</v>
      </c>
    </row>
    <row r="929" spans="1:8">
      <c r="A929" s="102">
        <v>38550</v>
      </c>
      <c r="B929" s="102" t="str">
        <f>TEXT($A929,"mmm")</f>
        <v>Jul</v>
      </c>
      <c r="C929" s="103" t="s">
        <v>79</v>
      </c>
      <c r="D929" s="103" t="s">
        <v>80</v>
      </c>
      <c r="E929" s="103" t="s">
        <v>83</v>
      </c>
      <c r="F929" s="103" t="s">
        <v>1016</v>
      </c>
      <c r="G929" s="104">
        <v>4164.3374999999996</v>
      </c>
      <c r="H929" s="105">
        <v>5552.45</v>
      </c>
    </row>
    <row r="930" spans="1:8">
      <c r="A930" s="97">
        <v>38550</v>
      </c>
      <c r="B930" s="97" t="str">
        <f>TEXT($A930,"mmm")</f>
        <v>Jul</v>
      </c>
      <c r="C930" s="99" t="s">
        <v>79</v>
      </c>
      <c r="D930" s="99" t="s">
        <v>80</v>
      </c>
      <c r="E930" s="99" t="s">
        <v>122</v>
      </c>
      <c r="F930" s="99" t="s">
        <v>1017</v>
      </c>
      <c r="G930" s="100">
        <v>1869.8098</v>
      </c>
      <c r="H930" s="101">
        <v>5053.54</v>
      </c>
    </row>
    <row r="931" spans="1:8">
      <c r="A931" s="102">
        <v>38550</v>
      </c>
      <c r="B931" s="102" t="str">
        <f>TEXT($A931,"mmm")</f>
        <v>Jul</v>
      </c>
      <c r="C931" s="103" t="s">
        <v>107</v>
      </c>
      <c r="D931" s="103" t="s">
        <v>127</v>
      </c>
      <c r="E931" s="103" t="s">
        <v>83</v>
      </c>
      <c r="F931" s="103" t="s">
        <v>1018</v>
      </c>
      <c r="G931" s="104">
        <v>2341.1550000000002</v>
      </c>
      <c r="H931" s="105">
        <v>3121.54</v>
      </c>
    </row>
    <row r="932" spans="1:8">
      <c r="A932" s="97">
        <v>38550</v>
      </c>
      <c r="B932" s="97" t="str">
        <f>TEXT($A932,"mmm")</f>
        <v>Jul</v>
      </c>
      <c r="C932" s="99" t="s">
        <v>79</v>
      </c>
      <c r="D932" s="99" t="s">
        <v>92</v>
      </c>
      <c r="E932" s="99" t="s">
        <v>83</v>
      </c>
      <c r="F932" s="99" t="s">
        <v>1019</v>
      </c>
      <c r="G932" s="100">
        <v>245.7825</v>
      </c>
      <c r="H932" s="101">
        <v>327.71</v>
      </c>
    </row>
    <row r="933" spans="1:8">
      <c r="A933" s="102">
        <v>38549</v>
      </c>
      <c r="B933" s="102" t="str">
        <f>TEXT($A933,"mmm")</f>
        <v>Jul</v>
      </c>
      <c r="C933" s="103" t="s">
        <v>79</v>
      </c>
      <c r="D933" s="103" t="s">
        <v>127</v>
      </c>
      <c r="E933" s="103" t="s">
        <v>83</v>
      </c>
      <c r="F933" s="103" t="s">
        <v>1020</v>
      </c>
      <c r="G933" s="104">
        <v>6263.6175000000003</v>
      </c>
      <c r="H933" s="105">
        <v>8351.49</v>
      </c>
    </row>
    <row r="934" spans="1:8">
      <c r="A934" s="97">
        <v>38549</v>
      </c>
      <c r="B934" s="97" t="str">
        <f>TEXT($A934,"mmm")</f>
        <v>Jul</v>
      </c>
      <c r="C934" s="99" t="s">
        <v>86</v>
      </c>
      <c r="D934" s="99" t="s">
        <v>98</v>
      </c>
      <c r="E934" s="99" t="s">
        <v>120</v>
      </c>
      <c r="F934" s="99" t="s">
        <v>1021</v>
      </c>
      <c r="G934" s="100">
        <v>2287.7325000000001</v>
      </c>
      <c r="H934" s="101">
        <v>3050.31</v>
      </c>
    </row>
    <row r="935" spans="1:8">
      <c r="A935" s="102">
        <v>38548</v>
      </c>
      <c r="B935" s="102" t="str">
        <f>TEXT($A935,"mmm")</f>
        <v>Jul</v>
      </c>
      <c r="C935" s="103" t="s">
        <v>86</v>
      </c>
      <c r="D935" s="103" t="s">
        <v>80</v>
      </c>
      <c r="E935" s="103" t="s">
        <v>83</v>
      </c>
      <c r="F935" s="103" t="s">
        <v>1022</v>
      </c>
      <c r="G935" s="104">
        <v>3145.57375</v>
      </c>
      <c r="H935" s="105">
        <v>3364.25</v>
      </c>
    </row>
    <row r="936" spans="1:8">
      <c r="A936" s="97">
        <v>38548</v>
      </c>
      <c r="B936" s="97" t="str">
        <f>TEXT($A936,"mmm")</f>
        <v>Jul</v>
      </c>
      <c r="C936" s="99" t="s">
        <v>86</v>
      </c>
      <c r="D936" s="99" t="s">
        <v>95</v>
      </c>
      <c r="E936" s="99" t="s">
        <v>89</v>
      </c>
      <c r="F936" s="99" t="s">
        <v>1023</v>
      </c>
      <c r="G936" s="100">
        <v>2844.6792</v>
      </c>
      <c r="H936" s="101">
        <v>3232.59</v>
      </c>
    </row>
    <row r="937" spans="1:8">
      <c r="A937" s="102">
        <v>38548</v>
      </c>
      <c r="B937" s="102" t="str">
        <f>TEXT($A937,"mmm")</f>
        <v>Jul</v>
      </c>
      <c r="C937" s="103" t="s">
        <v>107</v>
      </c>
      <c r="D937" s="103" t="s">
        <v>101</v>
      </c>
      <c r="E937" s="103" t="s">
        <v>81</v>
      </c>
      <c r="F937" s="103" t="s">
        <v>1024</v>
      </c>
      <c r="G937" s="104">
        <v>1908.5475000000001</v>
      </c>
      <c r="H937" s="105">
        <v>2544.73</v>
      </c>
    </row>
    <row r="938" spans="1:8">
      <c r="A938" s="97">
        <v>38548</v>
      </c>
      <c r="B938" s="97" t="str">
        <f>TEXT($A938,"mmm")</f>
        <v>Jul</v>
      </c>
      <c r="C938" s="99" t="s">
        <v>79</v>
      </c>
      <c r="D938" s="99" t="s">
        <v>114</v>
      </c>
      <c r="E938" s="99" t="s">
        <v>108</v>
      </c>
      <c r="F938" s="99" t="s">
        <v>1025</v>
      </c>
      <c r="G938" s="100">
        <v>989.75449999999989</v>
      </c>
      <c r="H938" s="101">
        <v>1677.55</v>
      </c>
    </row>
    <row r="939" spans="1:8">
      <c r="A939" s="102">
        <v>38547</v>
      </c>
      <c r="B939" s="102" t="str">
        <f>TEXT($A939,"mmm")</f>
        <v>Jul</v>
      </c>
      <c r="C939" s="103" t="s">
        <v>79</v>
      </c>
      <c r="D939" s="103" t="s">
        <v>95</v>
      </c>
      <c r="E939" s="103" t="s">
        <v>120</v>
      </c>
      <c r="F939" s="103" t="s">
        <v>1026</v>
      </c>
      <c r="G939" s="104">
        <v>7702.4739000000009</v>
      </c>
      <c r="H939" s="105">
        <v>8237.94</v>
      </c>
    </row>
    <row r="940" spans="1:8">
      <c r="A940" s="97">
        <v>38547</v>
      </c>
      <c r="B940" s="97" t="str">
        <f>TEXT($A940,"mmm")</f>
        <v>Jul</v>
      </c>
      <c r="C940" s="99" t="s">
        <v>107</v>
      </c>
      <c r="D940" s="99" t="s">
        <v>87</v>
      </c>
      <c r="E940" s="99" t="s">
        <v>94</v>
      </c>
      <c r="F940" s="99" t="s">
        <v>1027</v>
      </c>
      <c r="G940" s="100">
        <v>4235.5335000000005</v>
      </c>
      <c r="H940" s="101">
        <v>7700.97</v>
      </c>
    </row>
    <row r="941" spans="1:8">
      <c r="A941" s="102">
        <v>38547</v>
      </c>
      <c r="B941" s="102" t="str">
        <f>TEXT($A941,"mmm")</f>
        <v>Jul</v>
      </c>
      <c r="C941" s="103" t="s">
        <v>86</v>
      </c>
      <c r="D941" s="103" t="s">
        <v>127</v>
      </c>
      <c r="E941" s="103" t="s">
        <v>122</v>
      </c>
      <c r="F941" s="103" t="s">
        <v>1028</v>
      </c>
      <c r="G941" s="104">
        <v>2178.7928000000002</v>
      </c>
      <c r="H941" s="105">
        <v>5066.96</v>
      </c>
    </row>
    <row r="942" spans="1:8">
      <c r="A942" s="97">
        <v>38547</v>
      </c>
      <c r="B942" s="97" t="str">
        <f>TEXT($A942,"mmm")</f>
        <v>Jul</v>
      </c>
      <c r="C942" s="99" t="s">
        <v>86</v>
      </c>
      <c r="D942" s="99" t="s">
        <v>98</v>
      </c>
      <c r="E942" s="99" t="s">
        <v>144</v>
      </c>
      <c r="F942" s="99" t="s">
        <v>1029</v>
      </c>
      <c r="G942" s="100">
        <v>2148.5971</v>
      </c>
      <c r="H942" s="101">
        <v>3641.69</v>
      </c>
    </row>
    <row r="943" spans="1:8">
      <c r="A943" s="102">
        <v>38546</v>
      </c>
      <c r="B943" s="102" t="str">
        <f>TEXT($A943,"mmm")</f>
        <v>Jul</v>
      </c>
      <c r="C943" s="103" t="s">
        <v>107</v>
      </c>
      <c r="D943" s="103" t="s">
        <v>114</v>
      </c>
      <c r="E943" s="103" t="s">
        <v>81</v>
      </c>
      <c r="F943" s="103" t="s">
        <v>1030</v>
      </c>
      <c r="G943" s="104">
        <v>5510.9539999999997</v>
      </c>
      <c r="H943" s="105">
        <v>9340.6</v>
      </c>
    </row>
    <row r="944" spans="1:8">
      <c r="A944" s="97">
        <v>38546</v>
      </c>
      <c r="B944" s="97" t="str">
        <f>TEXT($A944,"mmm")</f>
        <v>Jul</v>
      </c>
      <c r="C944" s="99" t="s">
        <v>116</v>
      </c>
      <c r="D944" s="99" t="s">
        <v>95</v>
      </c>
      <c r="E944" s="99" t="s">
        <v>99</v>
      </c>
      <c r="F944" s="99" t="s">
        <v>1031</v>
      </c>
      <c r="G944" s="100">
        <v>6877.98</v>
      </c>
      <c r="H944" s="101">
        <v>9170.64</v>
      </c>
    </row>
    <row r="945" spans="1:8">
      <c r="A945" s="102">
        <v>38546</v>
      </c>
      <c r="B945" s="102" t="str">
        <f>TEXT($A945,"mmm")</f>
        <v>Jul</v>
      </c>
      <c r="C945" s="103" t="s">
        <v>86</v>
      </c>
      <c r="D945" s="103" t="s">
        <v>95</v>
      </c>
      <c r="E945" s="103" t="s">
        <v>94</v>
      </c>
      <c r="F945" s="103" t="s">
        <v>1032</v>
      </c>
      <c r="G945" s="104">
        <v>1612.1085</v>
      </c>
      <c r="H945" s="105">
        <v>4357.05</v>
      </c>
    </row>
    <row r="946" spans="1:8">
      <c r="A946" s="97">
        <v>38545</v>
      </c>
      <c r="B946" s="97" t="str">
        <f>TEXT($A946,"mmm")</f>
        <v>Jul</v>
      </c>
      <c r="C946" s="99" t="s">
        <v>116</v>
      </c>
      <c r="D946" s="99" t="s">
        <v>95</v>
      </c>
      <c r="E946" s="99" t="s">
        <v>129</v>
      </c>
      <c r="F946" s="99" t="s">
        <v>1033</v>
      </c>
      <c r="G946" s="100">
        <v>3653.8683999999998</v>
      </c>
      <c r="H946" s="101">
        <v>9875.32</v>
      </c>
    </row>
    <row r="947" spans="1:8">
      <c r="A947" s="102">
        <v>38545</v>
      </c>
      <c r="B947" s="102" t="str">
        <f>TEXT($A947,"mmm")</f>
        <v>Jul</v>
      </c>
      <c r="C947" s="103" t="s">
        <v>79</v>
      </c>
      <c r="D947" s="103" t="s">
        <v>80</v>
      </c>
      <c r="E947" s="103" t="s">
        <v>93</v>
      </c>
      <c r="F947" s="103" t="s">
        <v>1034</v>
      </c>
      <c r="G947" s="104">
        <v>2880.9</v>
      </c>
      <c r="H947" s="105">
        <v>3273.75</v>
      </c>
    </row>
    <row r="948" spans="1:8">
      <c r="A948" s="97">
        <v>38545</v>
      </c>
      <c r="B948" s="97" t="str">
        <f>TEXT($A948,"mmm")</f>
        <v>Jul</v>
      </c>
      <c r="C948" s="99" t="s">
        <v>107</v>
      </c>
      <c r="D948" s="99" t="s">
        <v>80</v>
      </c>
      <c r="E948" s="99" t="s">
        <v>122</v>
      </c>
      <c r="F948" s="99" t="s">
        <v>1035</v>
      </c>
      <c r="G948" s="100">
        <v>287.65440000000001</v>
      </c>
      <c r="H948" s="101">
        <v>326.88</v>
      </c>
    </row>
    <row r="949" spans="1:8">
      <c r="A949" s="102">
        <v>38544</v>
      </c>
      <c r="B949" s="102" t="str">
        <f>TEXT($A949,"mmm")</f>
        <v>Jul</v>
      </c>
      <c r="C949" s="103" t="s">
        <v>79</v>
      </c>
      <c r="D949" s="103" t="s">
        <v>101</v>
      </c>
      <c r="E949" s="103" t="s">
        <v>93</v>
      </c>
      <c r="F949" s="103" t="s">
        <v>1036</v>
      </c>
      <c r="G949" s="104">
        <v>5096.5380000000005</v>
      </c>
      <c r="H949" s="105">
        <v>8638.2000000000007</v>
      </c>
    </row>
    <row r="950" spans="1:8">
      <c r="A950" s="97">
        <v>38544</v>
      </c>
      <c r="B950" s="97" t="str">
        <f>TEXT($A950,"mmm")</f>
        <v>Jul</v>
      </c>
      <c r="C950" s="99" t="s">
        <v>79</v>
      </c>
      <c r="D950" s="99" t="s">
        <v>98</v>
      </c>
      <c r="E950" s="99" t="s">
        <v>93</v>
      </c>
      <c r="F950" s="99" t="s">
        <v>1037</v>
      </c>
      <c r="G950" s="100">
        <v>4211.1827999999996</v>
      </c>
      <c r="H950" s="101">
        <v>7260.66</v>
      </c>
    </row>
    <row r="951" spans="1:8">
      <c r="A951" s="102">
        <v>38544</v>
      </c>
      <c r="B951" s="102" t="str">
        <f>TEXT($A951,"mmm")</f>
        <v>Jul</v>
      </c>
      <c r="C951" s="103" t="s">
        <v>104</v>
      </c>
      <c r="D951" s="103" t="s">
        <v>101</v>
      </c>
      <c r="E951" s="103" t="s">
        <v>158</v>
      </c>
      <c r="F951" s="103" t="s">
        <v>1038</v>
      </c>
      <c r="G951" s="104">
        <v>3107.2788999999998</v>
      </c>
      <c r="H951" s="105">
        <v>7226.23</v>
      </c>
    </row>
    <row r="952" spans="1:8">
      <c r="A952" s="97">
        <v>38543</v>
      </c>
      <c r="B952" s="97" t="str">
        <f>TEXT($A952,"mmm")</f>
        <v>Jul</v>
      </c>
      <c r="C952" s="99" t="s">
        <v>104</v>
      </c>
      <c r="D952" s="99" t="s">
        <v>101</v>
      </c>
      <c r="E952" s="99" t="s">
        <v>108</v>
      </c>
      <c r="F952" s="99" t="s">
        <v>1039</v>
      </c>
      <c r="G952" s="100">
        <v>8429.3263999999999</v>
      </c>
      <c r="H952" s="101">
        <v>9578.7800000000007</v>
      </c>
    </row>
    <row r="953" spans="1:8">
      <c r="A953" s="102">
        <v>38543</v>
      </c>
      <c r="B953" s="102" t="str">
        <f>TEXT($A953,"mmm")</f>
        <v>Jul</v>
      </c>
      <c r="C953" s="103" t="s">
        <v>116</v>
      </c>
      <c r="D953" s="103" t="s">
        <v>127</v>
      </c>
      <c r="E953" s="103" t="s">
        <v>122</v>
      </c>
      <c r="F953" s="103" t="s">
        <v>1040</v>
      </c>
      <c r="G953" s="104">
        <v>3381.0748000000003</v>
      </c>
      <c r="H953" s="105">
        <v>9138.0400000000009</v>
      </c>
    </row>
    <row r="954" spans="1:8">
      <c r="A954" s="97">
        <v>38543</v>
      </c>
      <c r="B954" s="97" t="str">
        <f>TEXT($A954,"mmm")</f>
        <v>Jul</v>
      </c>
      <c r="C954" s="99" t="s">
        <v>107</v>
      </c>
      <c r="D954" s="99" t="s">
        <v>127</v>
      </c>
      <c r="E954" s="99" t="s">
        <v>158</v>
      </c>
      <c r="F954" s="99" t="s">
        <v>1041</v>
      </c>
      <c r="G954" s="100">
        <v>4941.5079999999998</v>
      </c>
      <c r="H954" s="101">
        <v>8984.56</v>
      </c>
    </row>
    <row r="955" spans="1:8">
      <c r="A955" s="102">
        <v>38543</v>
      </c>
      <c r="B955" s="102" t="str">
        <f>TEXT($A955,"mmm")</f>
        <v>Jul</v>
      </c>
      <c r="C955" s="103" t="s">
        <v>86</v>
      </c>
      <c r="D955" s="103" t="s">
        <v>87</v>
      </c>
      <c r="E955" s="103" t="s">
        <v>94</v>
      </c>
      <c r="F955" s="103" t="s">
        <v>1042</v>
      </c>
      <c r="G955" s="104">
        <v>5686.064800000001</v>
      </c>
      <c r="H955" s="105">
        <v>8361.86</v>
      </c>
    </row>
    <row r="956" spans="1:8">
      <c r="A956" s="97">
        <v>38543</v>
      </c>
      <c r="B956" s="97" t="str">
        <f>TEXT($A956,"mmm")</f>
        <v>Jul</v>
      </c>
      <c r="C956" s="99" t="s">
        <v>104</v>
      </c>
      <c r="D956" s="99" t="s">
        <v>114</v>
      </c>
      <c r="E956" s="99" t="s">
        <v>96</v>
      </c>
      <c r="F956" s="99" t="s">
        <v>1043</v>
      </c>
      <c r="G956" s="100">
        <v>310.10989999999998</v>
      </c>
      <c r="H956" s="101">
        <v>525.61</v>
      </c>
    </row>
    <row r="957" spans="1:8">
      <c r="A957" s="102">
        <v>38542</v>
      </c>
      <c r="B957" s="102" t="str">
        <f>TEXT($A957,"mmm")</f>
        <v>Jul</v>
      </c>
      <c r="C957" s="103" t="s">
        <v>107</v>
      </c>
      <c r="D957" s="103" t="s">
        <v>80</v>
      </c>
      <c r="E957" s="103" t="s">
        <v>99</v>
      </c>
      <c r="F957" s="103" t="s">
        <v>1044</v>
      </c>
      <c r="G957" s="104">
        <v>2437.0160999999998</v>
      </c>
      <c r="H957" s="105">
        <v>6586.53</v>
      </c>
    </row>
    <row r="958" spans="1:8">
      <c r="A958" s="97">
        <v>38542</v>
      </c>
      <c r="B958" s="97" t="str">
        <f>TEXT($A958,"mmm")</f>
        <v>Jul</v>
      </c>
      <c r="C958" s="99" t="s">
        <v>116</v>
      </c>
      <c r="D958" s="99" t="s">
        <v>98</v>
      </c>
      <c r="E958" s="99" t="s">
        <v>144</v>
      </c>
      <c r="F958" s="99" t="s">
        <v>1045</v>
      </c>
      <c r="G958" s="100">
        <v>3730.9585500000003</v>
      </c>
      <c r="H958" s="101">
        <v>3990.33</v>
      </c>
    </row>
    <row r="959" spans="1:8">
      <c r="A959" s="102">
        <v>38541</v>
      </c>
      <c r="B959" s="102" t="str">
        <f>TEXT($A959,"mmm")</f>
        <v>Jul</v>
      </c>
      <c r="C959" s="103" t="s">
        <v>86</v>
      </c>
      <c r="D959" s="103" t="s">
        <v>98</v>
      </c>
      <c r="E959" s="103" t="s">
        <v>108</v>
      </c>
      <c r="F959" s="103" t="s">
        <v>1046</v>
      </c>
      <c r="G959" s="104">
        <v>5691.5341999999991</v>
      </c>
      <c r="H959" s="105">
        <v>9812.99</v>
      </c>
    </row>
    <row r="960" spans="1:8">
      <c r="A960" s="97">
        <v>38541</v>
      </c>
      <c r="B960" s="97" t="str">
        <f>TEXT($A960,"mmm")</f>
        <v>Jul</v>
      </c>
      <c r="C960" s="99" t="s">
        <v>79</v>
      </c>
      <c r="D960" s="99" t="s">
        <v>95</v>
      </c>
      <c r="E960" s="99" t="s">
        <v>89</v>
      </c>
      <c r="F960" s="99" t="s">
        <v>1047</v>
      </c>
      <c r="G960" s="100">
        <v>365.05700000000002</v>
      </c>
      <c r="H960" s="101">
        <v>663.74</v>
      </c>
    </row>
    <row r="961" spans="1:8">
      <c r="A961" s="102">
        <v>38541</v>
      </c>
      <c r="B961" s="102" t="str">
        <f>TEXT($A961,"mmm")</f>
        <v>Jul</v>
      </c>
      <c r="C961" s="103" t="s">
        <v>116</v>
      </c>
      <c r="D961" s="103" t="s">
        <v>92</v>
      </c>
      <c r="E961" s="103" t="s">
        <v>120</v>
      </c>
      <c r="F961" s="103" t="s">
        <v>1048</v>
      </c>
      <c r="G961" s="104">
        <v>558.38200000000006</v>
      </c>
      <c r="H961" s="105">
        <v>597.20000000000005</v>
      </c>
    </row>
    <row r="962" spans="1:8">
      <c r="A962" s="97">
        <v>38540</v>
      </c>
      <c r="B962" s="97" t="str">
        <f>TEXT($A962,"mmm")</f>
        <v>Jul</v>
      </c>
      <c r="C962" s="99" t="s">
        <v>86</v>
      </c>
      <c r="D962" s="99" t="s">
        <v>114</v>
      </c>
      <c r="E962" s="99" t="s">
        <v>96</v>
      </c>
      <c r="F962" s="99" t="s">
        <v>1049</v>
      </c>
      <c r="G962" s="100">
        <v>3014.3905000000004</v>
      </c>
      <c r="H962" s="101">
        <v>5480.71</v>
      </c>
    </row>
    <row r="963" spans="1:8">
      <c r="A963" s="102">
        <v>38540</v>
      </c>
      <c r="B963" s="102" t="str">
        <f>TEXT($A963,"mmm")</f>
        <v>Jul</v>
      </c>
      <c r="C963" s="103" t="s">
        <v>79</v>
      </c>
      <c r="D963" s="103" t="s">
        <v>127</v>
      </c>
      <c r="E963" s="103" t="s">
        <v>120</v>
      </c>
      <c r="F963" s="103" t="s">
        <v>1050</v>
      </c>
      <c r="G963" s="104">
        <v>1964.0377000000001</v>
      </c>
      <c r="H963" s="105">
        <v>5308.21</v>
      </c>
    </row>
    <row r="964" spans="1:8">
      <c r="A964" s="97">
        <v>38539</v>
      </c>
      <c r="B964" s="97" t="str">
        <f>TEXT($A964,"mmm")</f>
        <v>Jul</v>
      </c>
      <c r="C964" s="99" t="s">
        <v>104</v>
      </c>
      <c r="D964" s="99" t="s">
        <v>101</v>
      </c>
      <c r="E964" s="99" t="s">
        <v>89</v>
      </c>
      <c r="F964" s="99" t="s">
        <v>1051</v>
      </c>
      <c r="G964" s="100">
        <v>8824.3991000000005</v>
      </c>
      <c r="H964" s="101">
        <v>9437.86</v>
      </c>
    </row>
    <row r="965" spans="1:8">
      <c r="A965" s="102">
        <v>38539</v>
      </c>
      <c r="B965" s="102" t="str">
        <f>TEXT($A965,"mmm")</f>
        <v>Jul</v>
      </c>
      <c r="C965" s="103" t="s">
        <v>79</v>
      </c>
      <c r="D965" s="103" t="s">
        <v>80</v>
      </c>
      <c r="E965" s="103" t="s">
        <v>89</v>
      </c>
      <c r="F965" s="103" t="s">
        <v>1052</v>
      </c>
      <c r="G965" s="104">
        <v>8.9384999999999994</v>
      </c>
      <c r="H965" s="105">
        <v>15.15</v>
      </c>
    </row>
    <row r="966" spans="1:8">
      <c r="A966" s="97">
        <v>38538</v>
      </c>
      <c r="B966" s="97" t="str">
        <f>TEXT($A966,"mmm")</f>
        <v>Jul</v>
      </c>
      <c r="C966" s="99" t="s">
        <v>116</v>
      </c>
      <c r="D966" s="99" t="s">
        <v>95</v>
      </c>
      <c r="E966" s="99" t="s">
        <v>94</v>
      </c>
      <c r="F966" s="99" t="s">
        <v>1053</v>
      </c>
      <c r="G966" s="100">
        <v>700.90404999999998</v>
      </c>
      <c r="H966" s="101">
        <v>749.63</v>
      </c>
    </row>
    <row r="967" spans="1:8">
      <c r="A967" s="102">
        <v>38537</v>
      </c>
      <c r="B967" s="102" t="str">
        <f>TEXT($A967,"mmm")</f>
        <v>Jul</v>
      </c>
      <c r="C967" s="103" t="s">
        <v>79</v>
      </c>
      <c r="D967" s="103" t="s">
        <v>80</v>
      </c>
      <c r="E967" s="103" t="s">
        <v>120</v>
      </c>
      <c r="F967" s="103" t="s">
        <v>1054</v>
      </c>
      <c r="G967" s="104">
        <v>6603.42</v>
      </c>
      <c r="H967" s="105">
        <v>8804.56</v>
      </c>
    </row>
    <row r="968" spans="1:8">
      <c r="A968" s="97">
        <v>38537</v>
      </c>
      <c r="B968" s="97" t="str">
        <f>TEXT($A968,"mmm")</f>
        <v>Jul</v>
      </c>
      <c r="C968" s="99" t="s">
        <v>79</v>
      </c>
      <c r="D968" s="99" t="s">
        <v>114</v>
      </c>
      <c r="E968" s="99" t="s">
        <v>89</v>
      </c>
      <c r="F968" s="99" t="s">
        <v>1055</v>
      </c>
      <c r="G968" s="100">
        <v>3442.4258</v>
      </c>
      <c r="H968" s="101">
        <v>5834.62</v>
      </c>
    </row>
    <row r="969" spans="1:8">
      <c r="A969" s="102">
        <v>38537</v>
      </c>
      <c r="B969" s="102" t="str">
        <f>TEXT($A969,"mmm")</f>
        <v>Jul</v>
      </c>
      <c r="C969" s="103" t="s">
        <v>104</v>
      </c>
      <c r="D969" s="103" t="s">
        <v>80</v>
      </c>
      <c r="E969" s="103" t="s">
        <v>99</v>
      </c>
      <c r="F969" s="103" t="s">
        <v>1056</v>
      </c>
      <c r="G969" s="104">
        <v>2910.9562000000001</v>
      </c>
      <c r="H969" s="105">
        <v>5018.8900000000003</v>
      </c>
    </row>
    <row r="970" spans="1:8">
      <c r="A970" s="97">
        <v>38537</v>
      </c>
      <c r="B970" s="97" t="str">
        <f>TEXT($A970,"mmm")</f>
        <v>Jul</v>
      </c>
      <c r="C970" s="99" t="s">
        <v>107</v>
      </c>
      <c r="D970" s="99" t="s">
        <v>127</v>
      </c>
      <c r="E970" s="99" t="s">
        <v>158</v>
      </c>
      <c r="F970" s="99" t="s">
        <v>1057</v>
      </c>
      <c r="G970" s="100">
        <v>344.94020000000006</v>
      </c>
      <c r="H970" s="101">
        <v>368.92</v>
      </c>
    </row>
    <row r="971" spans="1:8">
      <c r="A971" s="102">
        <v>38536</v>
      </c>
      <c r="B971" s="102" t="str">
        <f>TEXT($A971,"mmm")</f>
        <v>Jul</v>
      </c>
      <c r="C971" s="103" t="s">
        <v>116</v>
      </c>
      <c r="D971" s="103" t="s">
        <v>98</v>
      </c>
      <c r="E971" s="103" t="s">
        <v>108</v>
      </c>
      <c r="F971" s="103" t="s">
        <v>1058</v>
      </c>
      <c r="G971" s="104">
        <v>1598.1743000000001</v>
      </c>
      <c r="H971" s="105">
        <v>4319.3900000000003</v>
      </c>
    </row>
    <row r="972" spans="1:8">
      <c r="A972" s="97">
        <v>38536</v>
      </c>
      <c r="B972" s="97" t="str">
        <f>TEXT($A972,"mmm")</f>
        <v>Jul</v>
      </c>
      <c r="C972" s="99" t="s">
        <v>107</v>
      </c>
      <c r="D972" s="99" t="s">
        <v>80</v>
      </c>
      <c r="E972" s="99" t="s">
        <v>93</v>
      </c>
      <c r="F972" s="99" t="s">
        <v>1059</v>
      </c>
      <c r="G972" s="100">
        <v>1034.1458</v>
      </c>
      <c r="H972" s="101">
        <v>1783.01</v>
      </c>
    </row>
    <row r="973" spans="1:8">
      <c r="A973" s="102">
        <v>38535</v>
      </c>
      <c r="B973" s="102" t="str">
        <f>TEXT($A973,"mmm")</f>
        <v>Jul</v>
      </c>
      <c r="C973" s="103" t="s">
        <v>104</v>
      </c>
      <c r="D973" s="103" t="s">
        <v>127</v>
      </c>
      <c r="E973" s="103" t="s">
        <v>81</v>
      </c>
      <c r="F973" s="103" t="s">
        <v>625</v>
      </c>
      <c r="G973" s="104">
        <v>2727.48</v>
      </c>
      <c r="H973" s="105">
        <v>3636.64</v>
      </c>
    </row>
    <row r="974" spans="1:8">
      <c r="A974" s="97">
        <v>38535</v>
      </c>
      <c r="B974" s="97" t="str">
        <f>TEXT($A974,"mmm")</f>
        <v>Jul</v>
      </c>
      <c r="C974" s="99" t="s">
        <v>79</v>
      </c>
      <c r="D974" s="99" t="s">
        <v>95</v>
      </c>
      <c r="E974" s="99" t="s">
        <v>105</v>
      </c>
      <c r="F974" s="99" t="s">
        <v>1060</v>
      </c>
      <c r="G974" s="100">
        <v>2249.06</v>
      </c>
      <c r="H974" s="101">
        <v>2555.75</v>
      </c>
    </row>
    <row r="975" spans="1:8">
      <c r="A975" s="102">
        <v>38534</v>
      </c>
      <c r="B975" s="102" t="str">
        <f>TEXT($A975,"mmm")</f>
        <v>Jul</v>
      </c>
      <c r="C975" s="103" t="s">
        <v>116</v>
      </c>
      <c r="D975" s="103" t="s">
        <v>95</v>
      </c>
      <c r="E975" s="103" t="s">
        <v>129</v>
      </c>
      <c r="F975" s="103" t="s">
        <v>1061</v>
      </c>
      <c r="G975" s="104">
        <v>7429.1272000000008</v>
      </c>
      <c r="H975" s="105">
        <v>8442.19</v>
      </c>
    </row>
    <row r="976" spans="1:8">
      <c r="A976" s="97">
        <v>38534</v>
      </c>
      <c r="B976" s="97" t="str">
        <f>TEXT($A976,"mmm")</f>
        <v>Jul</v>
      </c>
      <c r="C976" s="99" t="s">
        <v>79</v>
      </c>
      <c r="D976" s="99" t="s">
        <v>95</v>
      </c>
      <c r="E976" s="99" t="s">
        <v>122</v>
      </c>
      <c r="F976" s="99" t="s">
        <v>1062</v>
      </c>
      <c r="G976" s="100">
        <v>5412.7864</v>
      </c>
      <c r="H976" s="101">
        <v>7959.98</v>
      </c>
    </row>
    <row r="977" spans="1:8">
      <c r="A977" s="102">
        <v>38534</v>
      </c>
      <c r="B977" s="102" t="str">
        <f>TEXT($A977,"mmm")</f>
        <v>Jul</v>
      </c>
      <c r="C977" s="103" t="s">
        <v>79</v>
      </c>
      <c r="D977" s="103" t="s">
        <v>101</v>
      </c>
      <c r="E977" s="103" t="s">
        <v>99</v>
      </c>
      <c r="F977" s="103" t="s">
        <v>1063</v>
      </c>
      <c r="G977" s="104">
        <v>2807.01</v>
      </c>
      <c r="H977" s="105">
        <v>6237.8</v>
      </c>
    </row>
    <row r="978" spans="1:8">
      <c r="A978" s="97">
        <v>38534</v>
      </c>
      <c r="B978" s="97" t="str">
        <f>TEXT($A978,"mmm")</f>
        <v>Jul</v>
      </c>
      <c r="C978" s="99" t="s">
        <v>107</v>
      </c>
      <c r="D978" s="99" t="s">
        <v>95</v>
      </c>
      <c r="E978" s="99" t="s">
        <v>144</v>
      </c>
      <c r="F978" s="99" t="s">
        <v>1064</v>
      </c>
      <c r="G978" s="100">
        <v>2448.4097000000002</v>
      </c>
      <c r="H978" s="101">
        <v>2618.62</v>
      </c>
    </row>
    <row r="979" spans="1:8">
      <c r="A979" s="102">
        <v>38531</v>
      </c>
      <c r="B979" s="102" t="str">
        <f>TEXT($A979,"mmm")</f>
        <v>Jun</v>
      </c>
      <c r="C979" s="103" t="s">
        <v>79</v>
      </c>
      <c r="D979" s="103" t="s">
        <v>127</v>
      </c>
      <c r="E979" s="103" t="s">
        <v>120</v>
      </c>
      <c r="F979" s="103" t="s">
        <v>1065</v>
      </c>
      <c r="G979" s="104">
        <v>3354.5776000000001</v>
      </c>
      <c r="H979" s="105">
        <v>3812.02</v>
      </c>
    </row>
    <row r="980" spans="1:8">
      <c r="A980" s="97">
        <v>38531</v>
      </c>
      <c r="B980" s="97" t="str">
        <f>TEXT($A980,"mmm")</f>
        <v>Jun</v>
      </c>
      <c r="C980" s="99" t="s">
        <v>79</v>
      </c>
      <c r="D980" s="99" t="s">
        <v>87</v>
      </c>
      <c r="E980" s="99" t="s">
        <v>96</v>
      </c>
      <c r="F980" s="99" t="s">
        <v>1066</v>
      </c>
      <c r="G980" s="100">
        <v>351.81819999999999</v>
      </c>
      <c r="H980" s="101">
        <v>950.86</v>
      </c>
    </row>
    <row r="981" spans="1:8">
      <c r="A981" s="102">
        <v>38530</v>
      </c>
      <c r="B981" s="102" t="str">
        <f>TEXT($A981,"mmm")</f>
        <v>Jun</v>
      </c>
      <c r="C981" s="103" t="s">
        <v>116</v>
      </c>
      <c r="D981" s="103" t="s">
        <v>101</v>
      </c>
      <c r="E981" s="103" t="s">
        <v>108</v>
      </c>
      <c r="F981" s="103" t="s">
        <v>1067</v>
      </c>
      <c r="G981" s="104">
        <v>3976.5967999999998</v>
      </c>
      <c r="H981" s="105">
        <v>4518.8599999999997</v>
      </c>
    </row>
    <row r="982" spans="1:8">
      <c r="A982" s="97">
        <v>38530</v>
      </c>
      <c r="B982" s="97" t="str">
        <f>TEXT($A982,"mmm")</f>
        <v>Jun</v>
      </c>
      <c r="C982" s="99" t="s">
        <v>104</v>
      </c>
      <c r="D982" s="99" t="s">
        <v>87</v>
      </c>
      <c r="E982" s="99" t="s">
        <v>158</v>
      </c>
      <c r="F982" s="99" t="s">
        <v>1068</v>
      </c>
      <c r="G982" s="100">
        <v>2180.67</v>
      </c>
      <c r="H982" s="101">
        <v>2907.56</v>
      </c>
    </row>
    <row r="983" spans="1:8">
      <c r="A983" s="102">
        <v>38530</v>
      </c>
      <c r="B983" s="102" t="str">
        <f>TEXT($A983,"mmm")</f>
        <v>Jun</v>
      </c>
      <c r="C983" s="103" t="s">
        <v>116</v>
      </c>
      <c r="D983" s="103" t="s">
        <v>127</v>
      </c>
      <c r="E983" s="103" t="s">
        <v>94</v>
      </c>
      <c r="F983" s="103" t="s">
        <v>1069</v>
      </c>
      <c r="G983" s="104">
        <v>1074.6909000000001</v>
      </c>
      <c r="H983" s="105">
        <v>2904.57</v>
      </c>
    </row>
    <row r="984" spans="1:8">
      <c r="A984" s="97">
        <v>38530</v>
      </c>
      <c r="B984" s="97" t="str">
        <f>TEXT($A984,"mmm")</f>
        <v>Jun</v>
      </c>
      <c r="C984" s="99" t="s">
        <v>104</v>
      </c>
      <c r="D984" s="99" t="s">
        <v>114</v>
      </c>
      <c r="E984" s="99" t="s">
        <v>144</v>
      </c>
      <c r="F984" s="99" t="s">
        <v>1070</v>
      </c>
      <c r="G984" s="100">
        <v>1647.2456000000002</v>
      </c>
      <c r="H984" s="101">
        <v>1761.76</v>
      </c>
    </row>
    <row r="985" spans="1:8">
      <c r="A985" s="102">
        <v>38529</v>
      </c>
      <c r="B985" s="102" t="str">
        <f>TEXT($A985,"mmm")</f>
        <v>Jun</v>
      </c>
      <c r="C985" s="103" t="s">
        <v>79</v>
      </c>
      <c r="D985" s="103" t="s">
        <v>98</v>
      </c>
      <c r="E985" s="103" t="s">
        <v>96</v>
      </c>
      <c r="F985" s="103" t="s">
        <v>1071</v>
      </c>
      <c r="G985" s="104">
        <v>6849.3216000000002</v>
      </c>
      <c r="H985" s="105">
        <v>7783.32</v>
      </c>
    </row>
    <row r="986" spans="1:8">
      <c r="A986" s="97">
        <v>38529</v>
      </c>
      <c r="B986" s="97" t="str">
        <f>TEXT($A986,"mmm")</f>
        <v>Jun</v>
      </c>
      <c r="C986" s="99" t="s">
        <v>79</v>
      </c>
      <c r="D986" s="99" t="s">
        <v>92</v>
      </c>
      <c r="E986" s="99" t="s">
        <v>108</v>
      </c>
      <c r="F986" s="99" t="s">
        <v>1072</v>
      </c>
      <c r="G986" s="100">
        <v>1522.3184999999999</v>
      </c>
      <c r="H986" s="101">
        <v>3382.93</v>
      </c>
    </row>
    <row r="987" spans="1:8">
      <c r="A987" s="102">
        <v>38528</v>
      </c>
      <c r="B987" s="102" t="str">
        <f>TEXT($A987,"mmm")</f>
        <v>Jun</v>
      </c>
      <c r="C987" s="103" t="s">
        <v>79</v>
      </c>
      <c r="D987" s="103" t="s">
        <v>101</v>
      </c>
      <c r="E987" s="103" t="s">
        <v>122</v>
      </c>
      <c r="F987" s="103" t="s">
        <v>1073</v>
      </c>
      <c r="G987" s="104">
        <v>3282.3225000000002</v>
      </c>
      <c r="H987" s="105">
        <v>7294.05</v>
      </c>
    </row>
    <row r="988" spans="1:8">
      <c r="A988" s="97">
        <v>38528</v>
      </c>
      <c r="B988" s="97" t="str">
        <f>TEXT($A988,"mmm")</f>
        <v>Jun</v>
      </c>
      <c r="C988" s="99" t="s">
        <v>116</v>
      </c>
      <c r="D988" s="99" t="s">
        <v>92</v>
      </c>
      <c r="E988" s="99" t="s">
        <v>144</v>
      </c>
      <c r="F988" s="99" t="s">
        <v>1074</v>
      </c>
      <c r="G988" s="100">
        <v>3633.498</v>
      </c>
      <c r="H988" s="101">
        <v>6606.36</v>
      </c>
    </row>
    <row r="989" spans="1:8">
      <c r="A989" s="102">
        <v>38527</v>
      </c>
      <c r="B989" s="102" t="str">
        <f>TEXT($A989,"mmm")</f>
        <v>Jun</v>
      </c>
      <c r="C989" s="103" t="s">
        <v>116</v>
      </c>
      <c r="D989" s="103" t="s">
        <v>101</v>
      </c>
      <c r="E989" s="103" t="s">
        <v>108</v>
      </c>
      <c r="F989" s="103" t="s">
        <v>1075</v>
      </c>
      <c r="G989" s="104">
        <v>3189.3504500000004</v>
      </c>
      <c r="H989" s="105">
        <v>3411.07</v>
      </c>
    </row>
    <row r="990" spans="1:8">
      <c r="A990" s="97">
        <v>38527</v>
      </c>
      <c r="B990" s="97" t="str">
        <f>TEXT($A990,"mmm")</f>
        <v>Jun</v>
      </c>
      <c r="C990" s="99" t="s">
        <v>79</v>
      </c>
      <c r="D990" s="99" t="s">
        <v>92</v>
      </c>
      <c r="E990" s="99" t="s">
        <v>129</v>
      </c>
      <c r="F990" s="99" t="s">
        <v>1076</v>
      </c>
      <c r="G990" s="100">
        <v>1264.4820999999999</v>
      </c>
      <c r="H990" s="101">
        <v>2143.19</v>
      </c>
    </row>
    <row r="991" spans="1:8">
      <c r="A991" s="102">
        <v>38527</v>
      </c>
      <c r="B991" s="102" t="str">
        <f>TEXT($A991,"mmm")</f>
        <v>Jun</v>
      </c>
      <c r="C991" s="103" t="s">
        <v>107</v>
      </c>
      <c r="D991" s="103" t="s">
        <v>101</v>
      </c>
      <c r="E991" s="103" t="s">
        <v>93</v>
      </c>
      <c r="F991" s="103" t="s">
        <v>1077</v>
      </c>
      <c r="G991" s="104">
        <v>1402.9664</v>
      </c>
      <c r="H991" s="105">
        <v>1594.28</v>
      </c>
    </row>
    <row r="992" spans="1:8">
      <c r="A992" s="97">
        <v>38527</v>
      </c>
      <c r="B992" s="97" t="str">
        <f>TEXT($A992,"mmm")</f>
        <v>Jun</v>
      </c>
      <c r="C992" s="99" t="s">
        <v>116</v>
      </c>
      <c r="D992" s="99" t="s">
        <v>87</v>
      </c>
      <c r="E992" s="99" t="s">
        <v>144</v>
      </c>
      <c r="F992" s="99" t="s">
        <v>282</v>
      </c>
      <c r="G992" s="100">
        <v>555.73869999999999</v>
      </c>
      <c r="H992" s="101">
        <v>941.93</v>
      </c>
    </row>
    <row r="993" spans="1:8">
      <c r="A993" s="102">
        <v>38526</v>
      </c>
      <c r="B993" s="102" t="str">
        <f>TEXT($A993,"mmm")</f>
        <v>Jun</v>
      </c>
      <c r="C993" s="103" t="s">
        <v>79</v>
      </c>
      <c r="D993" s="103" t="s">
        <v>127</v>
      </c>
      <c r="E993" s="103" t="s">
        <v>158</v>
      </c>
      <c r="F993" s="103" t="s">
        <v>1078</v>
      </c>
      <c r="G993" s="104">
        <v>4777.3332</v>
      </c>
      <c r="H993" s="105">
        <v>7025.49</v>
      </c>
    </row>
    <row r="994" spans="1:8">
      <c r="A994" s="97">
        <v>38525</v>
      </c>
      <c r="B994" s="97" t="str">
        <f>TEXT($A994,"mmm")</f>
        <v>Jun</v>
      </c>
      <c r="C994" s="99" t="s">
        <v>86</v>
      </c>
      <c r="D994" s="99" t="s">
        <v>98</v>
      </c>
      <c r="E994" s="99" t="s">
        <v>83</v>
      </c>
      <c r="F994" s="99" t="s">
        <v>1079</v>
      </c>
      <c r="G994" s="100">
        <v>6892.1624999999995</v>
      </c>
      <c r="H994" s="101">
        <v>9189.5499999999993</v>
      </c>
    </row>
    <row r="995" spans="1:8">
      <c r="A995" s="102">
        <v>38525</v>
      </c>
      <c r="B995" s="102" t="str">
        <f>TEXT($A995,"mmm")</f>
        <v>Jun</v>
      </c>
      <c r="C995" s="103" t="s">
        <v>107</v>
      </c>
      <c r="D995" s="103" t="s">
        <v>92</v>
      </c>
      <c r="E995" s="103" t="s">
        <v>108</v>
      </c>
      <c r="F995" s="103" t="s">
        <v>1080</v>
      </c>
      <c r="G995" s="104">
        <v>1658.9013</v>
      </c>
      <c r="H995" s="105">
        <v>3857.91</v>
      </c>
    </row>
    <row r="996" spans="1:8">
      <c r="A996" s="97">
        <v>38525</v>
      </c>
      <c r="B996" s="97" t="str">
        <f>TEXT($A996,"mmm")</f>
        <v>Jun</v>
      </c>
      <c r="C996" s="99" t="s">
        <v>79</v>
      </c>
      <c r="D996" s="99" t="s">
        <v>114</v>
      </c>
      <c r="E996" s="99" t="s">
        <v>144</v>
      </c>
      <c r="F996" s="99" t="s">
        <v>1081</v>
      </c>
      <c r="G996" s="100">
        <v>656.57560000000001</v>
      </c>
      <c r="H996" s="101">
        <v>1526.92</v>
      </c>
    </row>
    <row r="997" spans="1:8">
      <c r="A997" s="102">
        <v>38524</v>
      </c>
      <c r="B997" s="102" t="str">
        <f>TEXT($A997,"mmm")</f>
        <v>Jun</v>
      </c>
      <c r="C997" s="103" t="s">
        <v>86</v>
      </c>
      <c r="D997" s="103" t="s">
        <v>80</v>
      </c>
      <c r="E997" s="103" t="s">
        <v>89</v>
      </c>
      <c r="F997" s="103" t="s">
        <v>1082</v>
      </c>
      <c r="G997" s="104">
        <v>3237.6377000000002</v>
      </c>
      <c r="H997" s="105">
        <v>7529.39</v>
      </c>
    </row>
    <row r="998" spans="1:8">
      <c r="A998" s="97">
        <v>38524</v>
      </c>
      <c r="B998" s="97" t="str">
        <f>TEXT($A998,"mmm")</f>
        <v>Jun</v>
      </c>
      <c r="C998" s="99" t="s">
        <v>79</v>
      </c>
      <c r="D998" s="99" t="s">
        <v>98</v>
      </c>
      <c r="E998" s="99" t="s">
        <v>120</v>
      </c>
      <c r="F998" s="99" t="s">
        <v>1083</v>
      </c>
      <c r="G998" s="100">
        <v>1874.0120000000002</v>
      </c>
      <c r="H998" s="101">
        <v>2755.9</v>
      </c>
    </row>
    <row r="999" spans="1:8">
      <c r="A999" s="102">
        <v>38522</v>
      </c>
      <c r="B999" s="102" t="str">
        <f>TEXT($A999,"mmm")</f>
        <v>Jun</v>
      </c>
      <c r="C999" s="103" t="s">
        <v>79</v>
      </c>
      <c r="D999" s="103" t="s">
        <v>114</v>
      </c>
      <c r="E999" s="103" t="s">
        <v>81</v>
      </c>
      <c r="F999" s="103" t="s">
        <v>1084</v>
      </c>
      <c r="G999" s="104">
        <v>4611.6785000000009</v>
      </c>
      <c r="H999" s="105">
        <v>8384.8700000000008</v>
      </c>
    </row>
    <row r="1000" spans="1:8">
      <c r="A1000" s="97">
        <v>38522</v>
      </c>
      <c r="B1000" s="97" t="str">
        <f>TEXT($A1000,"mmm")</f>
        <v>Jun</v>
      </c>
      <c r="C1000" s="99" t="s">
        <v>79</v>
      </c>
      <c r="D1000" s="99" t="s">
        <v>101</v>
      </c>
      <c r="E1000" s="99" t="s">
        <v>96</v>
      </c>
      <c r="F1000" s="99" t="s">
        <v>1085</v>
      </c>
      <c r="G1000" s="100">
        <v>3281.5376000000001</v>
      </c>
      <c r="H1000" s="101">
        <v>3729.02</v>
      </c>
    </row>
    <row r="1001" spans="1:8">
      <c r="A1001" s="102">
        <v>38522</v>
      </c>
      <c r="B1001" s="102" t="str">
        <f>TEXT($A1001,"mmm")</f>
        <v>Jun</v>
      </c>
      <c r="C1001" s="103" t="s">
        <v>116</v>
      </c>
      <c r="D1001" s="103" t="s">
        <v>87</v>
      </c>
      <c r="E1001" s="103" t="s">
        <v>108</v>
      </c>
      <c r="F1001" s="103" t="s">
        <v>1086</v>
      </c>
      <c r="G1001" s="104">
        <v>1521.4518</v>
      </c>
      <c r="H1001" s="105">
        <v>3538.26</v>
      </c>
    </row>
    <row r="1002" spans="1:8">
      <c r="A1002" s="97">
        <v>38522</v>
      </c>
      <c r="B1002" s="97" t="str">
        <f>TEXT($A1002,"mmm")</f>
        <v>Jun</v>
      </c>
      <c r="C1002" s="99" t="s">
        <v>79</v>
      </c>
      <c r="D1002" s="99" t="s">
        <v>98</v>
      </c>
      <c r="E1002" s="99" t="s">
        <v>81</v>
      </c>
      <c r="F1002" s="99" t="s">
        <v>1087</v>
      </c>
      <c r="G1002" s="100">
        <v>1255.9912999999999</v>
      </c>
      <c r="H1002" s="101">
        <v>2920.91</v>
      </c>
    </row>
    <row r="1003" spans="1:8">
      <c r="A1003" s="102">
        <v>38521</v>
      </c>
      <c r="B1003" s="102" t="str">
        <f>TEXT($A1003,"mmm")</f>
        <v>Jun</v>
      </c>
      <c r="C1003" s="103" t="s">
        <v>116</v>
      </c>
      <c r="D1003" s="103" t="s">
        <v>101</v>
      </c>
      <c r="E1003" s="103" t="s">
        <v>129</v>
      </c>
      <c r="F1003" s="103" t="s">
        <v>1088</v>
      </c>
      <c r="G1003" s="104">
        <v>4302.009</v>
      </c>
      <c r="H1003" s="105">
        <v>9560.02</v>
      </c>
    </row>
    <row r="1004" spans="1:8">
      <c r="A1004" s="97">
        <v>38521</v>
      </c>
      <c r="B1004" s="97" t="str">
        <f>TEXT($A1004,"mmm")</f>
        <v>Jun</v>
      </c>
      <c r="C1004" s="99" t="s">
        <v>79</v>
      </c>
      <c r="D1004" s="99" t="s">
        <v>127</v>
      </c>
      <c r="E1004" s="99" t="s">
        <v>144</v>
      </c>
      <c r="F1004" s="99" t="s">
        <v>1089</v>
      </c>
      <c r="G1004" s="100">
        <v>2042.1115</v>
      </c>
      <c r="H1004" s="101">
        <v>3712.93</v>
      </c>
    </row>
    <row r="1005" spans="1:8">
      <c r="A1005" s="102">
        <v>38521</v>
      </c>
      <c r="B1005" s="102" t="str">
        <f>TEXT($A1005,"mmm")</f>
        <v>Jun</v>
      </c>
      <c r="C1005" s="103" t="s">
        <v>107</v>
      </c>
      <c r="D1005" s="103" t="s">
        <v>114</v>
      </c>
      <c r="E1005" s="103" t="s">
        <v>94</v>
      </c>
      <c r="F1005" s="103" t="s">
        <v>1090</v>
      </c>
      <c r="G1005" s="104">
        <v>1527.2820000000002</v>
      </c>
      <c r="H1005" s="105">
        <v>3393.96</v>
      </c>
    </row>
    <row r="1006" spans="1:8">
      <c r="A1006" s="97">
        <v>38521</v>
      </c>
      <c r="B1006" s="97" t="str">
        <f>TEXT($A1006,"mmm")</f>
        <v>Jun</v>
      </c>
      <c r="C1006" s="99" t="s">
        <v>79</v>
      </c>
      <c r="D1006" s="99" t="s">
        <v>127</v>
      </c>
      <c r="E1006" s="99" t="s">
        <v>120</v>
      </c>
      <c r="F1006" s="99" t="s">
        <v>1091</v>
      </c>
      <c r="G1006" s="100">
        <v>1911.5412000000003</v>
      </c>
      <c r="H1006" s="101">
        <v>2811.09</v>
      </c>
    </row>
    <row r="1007" spans="1:8">
      <c r="A1007" s="102">
        <v>38521</v>
      </c>
      <c r="B1007" s="102" t="str">
        <f>TEXT($A1007,"mmm")</f>
        <v>Jun</v>
      </c>
      <c r="C1007" s="103" t="s">
        <v>116</v>
      </c>
      <c r="D1007" s="103" t="s">
        <v>80</v>
      </c>
      <c r="E1007" s="103" t="s">
        <v>99</v>
      </c>
      <c r="F1007" s="103" t="s">
        <v>1092</v>
      </c>
      <c r="G1007" s="104">
        <v>175.79639999999998</v>
      </c>
      <c r="H1007" s="105">
        <v>297.95999999999998</v>
      </c>
    </row>
    <row r="1008" spans="1:8">
      <c r="A1008" s="97">
        <v>38520</v>
      </c>
      <c r="B1008" s="97" t="str">
        <f>TEXT($A1008,"mmm")</f>
        <v>Jun</v>
      </c>
      <c r="C1008" s="99" t="s">
        <v>107</v>
      </c>
      <c r="D1008" s="99" t="s">
        <v>80</v>
      </c>
      <c r="E1008" s="99" t="s">
        <v>99</v>
      </c>
      <c r="F1008" s="99" t="s">
        <v>1093</v>
      </c>
      <c r="G1008" s="100">
        <v>6311.3180000000011</v>
      </c>
      <c r="H1008" s="101">
        <v>9281.35</v>
      </c>
    </row>
    <row r="1009" spans="1:8">
      <c r="A1009" s="102">
        <v>38520</v>
      </c>
      <c r="B1009" s="102" t="str">
        <f>TEXT($A1009,"mmm")</f>
        <v>Jun</v>
      </c>
      <c r="C1009" s="103" t="s">
        <v>104</v>
      </c>
      <c r="D1009" s="103" t="s">
        <v>95</v>
      </c>
      <c r="E1009" s="103" t="s">
        <v>122</v>
      </c>
      <c r="F1009" s="103" t="s">
        <v>1094</v>
      </c>
      <c r="G1009" s="104">
        <v>676.90699999999993</v>
      </c>
      <c r="H1009" s="105">
        <v>1147.3</v>
      </c>
    </row>
    <row r="1010" spans="1:8">
      <c r="A1010" s="97">
        <v>38519</v>
      </c>
      <c r="B1010" s="97" t="str">
        <f>TEXT($A1010,"mmm")</f>
        <v>Jun</v>
      </c>
      <c r="C1010" s="99" t="s">
        <v>79</v>
      </c>
      <c r="D1010" s="99" t="s">
        <v>95</v>
      </c>
      <c r="E1010" s="99" t="s">
        <v>122</v>
      </c>
      <c r="F1010" s="99" t="s">
        <v>1095</v>
      </c>
      <c r="G1010" s="100">
        <v>4949.5349999999999</v>
      </c>
      <c r="H1010" s="101">
        <v>6599.38</v>
      </c>
    </row>
    <row r="1011" spans="1:8">
      <c r="A1011" s="102">
        <v>38519</v>
      </c>
      <c r="B1011" s="102" t="str">
        <f>TEXT($A1011,"mmm")</f>
        <v>Jun</v>
      </c>
      <c r="C1011" s="103" t="s">
        <v>86</v>
      </c>
      <c r="D1011" s="103" t="s">
        <v>80</v>
      </c>
      <c r="E1011" s="103" t="s">
        <v>81</v>
      </c>
      <c r="F1011" s="103" t="s">
        <v>1096</v>
      </c>
      <c r="G1011" s="104">
        <v>3398.3272000000002</v>
      </c>
      <c r="H1011" s="105">
        <v>4997.54</v>
      </c>
    </row>
    <row r="1012" spans="1:8">
      <c r="A1012" s="97">
        <v>38519</v>
      </c>
      <c r="B1012" s="97" t="str">
        <f>TEXT($A1012,"mmm")</f>
        <v>Jun</v>
      </c>
      <c r="C1012" s="99" t="s">
        <v>107</v>
      </c>
      <c r="D1012" s="99" t="s">
        <v>101</v>
      </c>
      <c r="E1012" s="99" t="s">
        <v>108</v>
      </c>
      <c r="F1012" s="99" t="s">
        <v>1097</v>
      </c>
      <c r="G1012" s="100">
        <v>4235.8008</v>
      </c>
      <c r="H1012" s="101">
        <v>4813.41</v>
      </c>
    </row>
    <row r="1013" spans="1:8">
      <c r="A1013" s="102">
        <v>38518</v>
      </c>
      <c r="B1013" s="102" t="str">
        <f>TEXT($A1013,"mmm")</f>
        <v>Jun</v>
      </c>
      <c r="C1013" s="103" t="s">
        <v>104</v>
      </c>
      <c r="D1013" s="103" t="s">
        <v>101</v>
      </c>
      <c r="E1013" s="103" t="s">
        <v>81</v>
      </c>
      <c r="F1013" s="103" t="s">
        <v>1098</v>
      </c>
      <c r="G1013" s="104">
        <v>3301.6350000000002</v>
      </c>
      <c r="H1013" s="105">
        <v>4402.18</v>
      </c>
    </row>
    <row r="1014" spans="1:8">
      <c r="A1014" s="97">
        <v>38517</v>
      </c>
      <c r="B1014" s="97" t="str">
        <f>TEXT($A1014,"mmm")</f>
        <v>Jun</v>
      </c>
      <c r="C1014" s="99" t="s">
        <v>79</v>
      </c>
      <c r="D1014" s="99" t="s">
        <v>80</v>
      </c>
      <c r="E1014" s="99" t="s">
        <v>158</v>
      </c>
      <c r="F1014" s="99" t="s">
        <v>1099</v>
      </c>
      <c r="G1014" s="100">
        <v>4333.6535000000003</v>
      </c>
      <c r="H1014" s="101">
        <v>7879.37</v>
      </c>
    </row>
    <row r="1015" spans="1:8">
      <c r="A1015" s="102">
        <v>38517</v>
      </c>
      <c r="B1015" s="102" t="str">
        <f>TEXT($A1015,"mmm")</f>
        <v>Jun</v>
      </c>
      <c r="C1015" s="103" t="s">
        <v>107</v>
      </c>
      <c r="D1015" s="103" t="s">
        <v>101</v>
      </c>
      <c r="E1015" s="103" t="s">
        <v>120</v>
      </c>
      <c r="F1015" s="103" t="s">
        <v>1100</v>
      </c>
      <c r="G1015" s="104">
        <v>1378.2446</v>
      </c>
      <c r="H1015" s="105">
        <v>3205.22</v>
      </c>
    </row>
    <row r="1016" spans="1:8">
      <c r="A1016" s="97">
        <v>38516</v>
      </c>
      <c r="B1016" s="97" t="str">
        <f>TEXT($A1016,"mmm")</f>
        <v>Jun</v>
      </c>
      <c r="C1016" s="99" t="s">
        <v>79</v>
      </c>
      <c r="D1016" s="99" t="s">
        <v>101</v>
      </c>
      <c r="E1016" s="99" t="s">
        <v>99</v>
      </c>
      <c r="F1016" s="99" t="s">
        <v>1101</v>
      </c>
      <c r="G1016" s="100">
        <v>5643.7452999999996</v>
      </c>
      <c r="H1016" s="101">
        <v>9565.67</v>
      </c>
    </row>
    <row r="1017" spans="1:8">
      <c r="A1017" s="102">
        <v>38515</v>
      </c>
      <c r="B1017" s="102" t="str">
        <f>TEXT($A1017,"mmm")</f>
        <v>Jun</v>
      </c>
      <c r="C1017" s="103" t="s">
        <v>86</v>
      </c>
      <c r="D1017" s="103" t="s">
        <v>114</v>
      </c>
      <c r="E1017" s="103" t="s">
        <v>99</v>
      </c>
      <c r="F1017" s="103" t="s">
        <v>1102</v>
      </c>
      <c r="G1017" s="104">
        <v>3438.0891999999994</v>
      </c>
      <c r="H1017" s="105">
        <v>5927.74</v>
      </c>
    </row>
    <row r="1018" spans="1:8">
      <c r="A1018" s="97">
        <v>38514</v>
      </c>
      <c r="B1018" s="97" t="str">
        <f>TEXT($A1018,"mmm")</f>
        <v>Jun</v>
      </c>
      <c r="C1018" s="99" t="s">
        <v>107</v>
      </c>
      <c r="D1018" s="99" t="s">
        <v>95</v>
      </c>
      <c r="E1018" s="99" t="s">
        <v>105</v>
      </c>
      <c r="F1018" s="99" t="s">
        <v>1103</v>
      </c>
      <c r="G1018" s="100">
        <v>3079.0034999999998</v>
      </c>
      <c r="H1018" s="101">
        <v>6842.23</v>
      </c>
    </row>
    <row r="1019" spans="1:8">
      <c r="A1019" s="102">
        <v>38514</v>
      </c>
      <c r="B1019" s="102" t="str">
        <f>TEXT($A1019,"mmm")</f>
        <v>Jun</v>
      </c>
      <c r="C1019" s="103" t="s">
        <v>79</v>
      </c>
      <c r="D1019" s="103" t="s">
        <v>92</v>
      </c>
      <c r="E1019" s="103" t="s">
        <v>129</v>
      </c>
      <c r="F1019" s="103" t="s">
        <v>1104</v>
      </c>
      <c r="G1019" s="104">
        <v>2204.4645</v>
      </c>
      <c r="H1019" s="105">
        <v>4898.8100000000004</v>
      </c>
    </row>
    <row r="1020" spans="1:8">
      <c r="A1020" s="97">
        <v>38514</v>
      </c>
      <c r="B1020" s="97" t="str">
        <f>TEXT($A1020,"mmm")</f>
        <v>Jun</v>
      </c>
      <c r="C1020" s="99" t="s">
        <v>116</v>
      </c>
      <c r="D1020" s="99" t="s">
        <v>80</v>
      </c>
      <c r="E1020" s="99" t="s">
        <v>158</v>
      </c>
      <c r="F1020" s="99" t="s">
        <v>1105</v>
      </c>
      <c r="G1020" s="100">
        <v>2170.674</v>
      </c>
      <c r="H1020" s="101">
        <v>4823.72</v>
      </c>
    </row>
    <row r="1021" spans="1:8">
      <c r="A1021" s="102">
        <v>38513</v>
      </c>
      <c r="B1021" s="102" t="str">
        <f>TEXT($A1021,"mmm")</f>
        <v>Jun</v>
      </c>
      <c r="C1021" s="103" t="s">
        <v>104</v>
      </c>
      <c r="D1021" s="103" t="s">
        <v>87</v>
      </c>
      <c r="E1021" s="103" t="s">
        <v>99</v>
      </c>
      <c r="F1021" s="103" t="s">
        <v>1106</v>
      </c>
      <c r="G1021" s="104">
        <v>3657.6316000000002</v>
      </c>
      <c r="H1021" s="105">
        <v>8506.1200000000008</v>
      </c>
    </row>
    <row r="1022" spans="1:8">
      <c r="A1022" s="97">
        <v>38513</v>
      </c>
      <c r="B1022" s="97" t="str">
        <f>TEXT($A1022,"mmm")</f>
        <v>Jun</v>
      </c>
      <c r="C1022" s="99" t="s">
        <v>79</v>
      </c>
      <c r="D1022" s="99" t="s">
        <v>127</v>
      </c>
      <c r="E1022" s="99" t="s">
        <v>93</v>
      </c>
      <c r="F1022" s="99" t="s">
        <v>1107</v>
      </c>
      <c r="G1022" s="100">
        <v>5331.8281500000003</v>
      </c>
      <c r="H1022" s="101">
        <v>5702.49</v>
      </c>
    </row>
    <row r="1023" spans="1:8">
      <c r="A1023" s="102">
        <v>38513</v>
      </c>
      <c r="B1023" s="102" t="str">
        <f>TEXT($A1023,"mmm")</f>
        <v>Jun</v>
      </c>
      <c r="C1023" s="103" t="s">
        <v>116</v>
      </c>
      <c r="D1023" s="103" t="s">
        <v>92</v>
      </c>
      <c r="E1023" s="103" t="s">
        <v>144</v>
      </c>
      <c r="F1023" s="103" t="s">
        <v>1108</v>
      </c>
      <c r="G1023" s="104">
        <v>1411.174</v>
      </c>
      <c r="H1023" s="105">
        <v>3281.8</v>
      </c>
    </row>
    <row r="1024" spans="1:8">
      <c r="A1024" s="97">
        <v>38513</v>
      </c>
      <c r="B1024" s="97" t="str">
        <f>TEXT($A1024,"mmm")</f>
        <v>Jun</v>
      </c>
      <c r="C1024" s="99" t="s">
        <v>79</v>
      </c>
      <c r="D1024" s="99" t="s">
        <v>87</v>
      </c>
      <c r="E1024" s="99" t="s">
        <v>96</v>
      </c>
      <c r="F1024" s="99" t="s">
        <v>1109</v>
      </c>
      <c r="G1024" s="100">
        <v>1619.6174999999998</v>
      </c>
      <c r="H1024" s="101">
        <v>2159.4899999999998</v>
      </c>
    </row>
    <row r="1025" spans="1:8">
      <c r="A1025" s="102">
        <v>38512</v>
      </c>
      <c r="B1025" s="102" t="str">
        <f>TEXT($A1025,"mmm")</f>
        <v>Jun</v>
      </c>
      <c r="C1025" s="103" t="s">
        <v>116</v>
      </c>
      <c r="D1025" s="103" t="s">
        <v>98</v>
      </c>
      <c r="E1025" s="103" t="s">
        <v>94</v>
      </c>
      <c r="F1025" s="103" t="s">
        <v>1110</v>
      </c>
      <c r="G1025" s="104">
        <v>5771</v>
      </c>
      <c r="H1025" s="105">
        <v>9950</v>
      </c>
    </row>
    <row r="1026" spans="1:8">
      <c r="A1026" s="97">
        <v>38512</v>
      </c>
      <c r="B1026" s="97" t="str">
        <f>TEXT($A1026,"mmm")</f>
        <v>Jun</v>
      </c>
      <c r="C1026" s="99" t="s">
        <v>86</v>
      </c>
      <c r="D1026" s="99" t="s">
        <v>114</v>
      </c>
      <c r="E1026" s="99" t="s">
        <v>158</v>
      </c>
      <c r="F1026" s="99" t="s">
        <v>1111</v>
      </c>
      <c r="G1026" s="100">
        <v>3481.2759999999998</v>
      </c>
      <c r="H1026" s="101">
        <v>6002.2</v>
      </c>
    </row>
    <row r="1027" spans="1:8">
      <c r="A1027" s="102">
        <v>38512</v>
      </c>
      <c r="B1027" s="102" t="str">
        <f>TEXT($A1027,"mmm")</f>
        <v>Jun</v>
      </c>
      <c r="C1027" s="103" t="s">
        <v>79</v>
      </c>
      <c r="D1027" s="103" t="s">
        <v>92</v>
      </c>
      <c r="E1027" s="103" t="s">
        <v>122</v>
      </c>
      <c r="F1027" s="103" t="s">
        <v>1112</v>
      </c>
      <c r="G1027" s="104">
        <v>1201.1828</v>
      </c>
      <c r="H1027" s="105">
        <v>3246.44</v>
      </c>
    </row>
    <row r="1028" spans="1:8">
      <c r="A1028" s="97">
        <v>38511</v>
      </c>
      <c r="B1028" s="97" t="str">
        <f>TEXT($A1028,"mmm")</f>
        <v>Jun</v>
      </c>
      <c r="C1028" s="99" t="s">
        <v>79</v>
      </c>
      <c r="D1028" s="99" t="s">
        <v>80</v>
      </c>
      <c r="E1028" s="99" t="s">
        <v>120</v>
      </c>
      <c r="F1028" s="99" t="s">
        <v>1113</v>
      </c>
      <c r="G1028" s="100">
        <v>2426.346</v>
      </c>
      <c r="H1028" s="101">
        <v>5391.88</v>
      </c>
    </row>
    <row r="1029" spans="1:8">
      <c r="A1029" s="102">
        <v>38511</v>
      </c>
      <c r="B1029" s="102" t="str">
        <f>TEXT($A1029,"mmm")</f>
        <v>Jun</v>
      </c>
      <c r="C1029" s="103" t="s">
        <v>79</v>
      </c>
      <c r="D1029" s="103" t="s">
        <v>80</v>
      </c>
      <c r="E1029" s="103" t="s">
        <v>120</v>
      </c>
      <c r="F1029" s="103" t="s">
        <v>1114</v>
      </c>
      <c r="G1029" s="104">
        <v>1030.26</v>
      </c>
      <c r="H1029" s="105">
        <v>1873.2</v>
      </c>
    </row>
    <row r="1030" spans="1:8">
      <c r="A1030" s="97">
        <v>38510</v>
      </c>
      <c r="B1030" s="97" t="str">
        <f>TEXT($A1030,"mmm")</f>
        <v>Jun</v>
      </c>
      <c r="C1030" s="99" t="s">
        <v>79</v>
      </c>
      <c r="D1030" s="99" t="s">
        <v>87</v>
      </c>
      <c r="E1030" s="99" t="s">
        <v>99</v>
      </c>
      <c r="F1030" s="99" t="s">
        <v>1115</v>
      </c>
      <c r="G1030" s="100">
        <v>5256.0640000000003</v>
      </c>
      <c r="H1030" s="101">
        <v>9556.48</v>
      </c>
    </row>
    <row r="1031" spans="1:8">
      <c r="A1031" s="102">
        <v>38510</v>
      </c>
      <c r="B1031" s="102" t="str">
        <f>TEXT($A1031,"mmm")</f>
        <v>Jun</v>
      </c>
      <c r="C1031" s="103" t="s">
        <v>104</v>
      </c>
      <c r="D1031" s="103" t="s">
        <v>95</v>
      </c>
      <c r="E1031" s="103" t="s">
        <v>144</v>
      </c>
      <c r="F1031" s="103" t="s">
        <v>1116</v>
      </c>
      <c r="G1031" s="104">
        <v>4687.9021999999995</v>
      </c>
      <c r="H1031" s="105">
        <v>8082.59</v>
      </c>
    </row>
    <row r="1032" spans="1:8">
      <c r="A1032" s="97">
        <v>38510</v>
      </c>
      <c r="B1032" s="97" t="str">
        <f>TEXT($A1032,"mmm")</f>
        <v>Jun</v>
      </c>
      <c r="C1032" s="99" t="s">
        <v>79</v>
      </c>
      <c r="D1032" s="99" t="s">
        <v>114</v>
      </c>
      <c r="E1032" s="99" t="s">
        <v>122</v>
      </c>
      <c r="F1032" s="99" t="s">
        <v>1117</v>
      </c>
      <c r="G1032" s="100">
        <v>3387.0825000000004</v>
      </c>
      <c r="H1032" s="101">
        <v>7526.85</v>
      </c>
    </row>
    <row r="1033" spans="1:8">
      <c r="A1033" s="102">
        <v>38510</v>
      </c>
      <c r="B1033" s="102" t="str">
        <f>TEXT($A1033,"mmm")</f>
        <v>Jun</v>
      </c>
      <c r="C1033" s="103" t="s">
        <v>116</v>
      </c>
      <c r="D1033" s="103" t="s">
        <v>80</v>
      </c>
      <c r="E1033" s="103" t="s">
        <v>83</v>
      </c>
      <c r="F1033" s="103" t="s">
        <v>1118</v>
      </c>
      <c r="G1033" s="104">
        <v>2763.3285000000001</v>
      </c>
      <c r="H1033" s="105">
        <v>6140.73</v>
      </c>
    </row>
    <row r="1034" spans="1:8">
      <c r="A1034" s="97">
        <v>38510</v>
      </c>
      <c r="B1034" s="97" t="str">
        <f>TEXT($A1034,"mmm")</f>
        <v>Jun</v>
      </c>
      <c r="C1034" s="99" t="s">
        <v>116</v>
      </c>
      <c r="D1034" s="99" t="s">
        <v>127</v>
      </c>
      <c r="E1034" s="99" t="s">
        <v>129</v>
      </c>
      <c r="F1034" s="99" t="s">
        <v>1119</v>
      </c>
      <c r="G1034" s="100">
        <v>4825.2511999999997</v>
      </c>
      <c r="H1034" s="101">
        <v>5483.24</v>
      </c>
    </row>
    <row r="1035" spans="1:8">
      <c r="A1035" s="102">
        <v>38510</v>
      </c>
      <c r="B1035" s="102" t="str">
        <f>TEXT($A1035,"mmm")</f>
        <v>Jun</v>
      </c>
      <c r="C1035" s="103" t="s">
        <v>116</v>
      </c>
      <c r="D1035" s="103" t="s">
        <v>95</v>
      </c>
      <c r="E1035" s="103" t="s">
        <v>158</v>
      </c>
      <c r="F1035" s="103" t="s">
        <v>526</v>
      </c>
      <c r="G1035" s="104">
        <v>3612.1940000000004</v>
      </c>
      <c r="H1035" s="105">
        <v>5312.05</v>
      </c>
    </row>
    <row r="1036" spans="1:8">
      <c r="A1036" s="97">
        <v>38509</v>
      </c>
      <c r="B1036" s="97" t="str">
        <f>TEXT($A1036,"mmm")</f>
        <v>Jun</v>
      </c>
      <c r="C1036" s="99" t="s">
        <v>116</v>
      </c>
      <c r="D1036" s="99" t="s">
        <v>95</v>
      </c>
      <c r="E1036" s="99" t="s">
        <v>120</v>
      </c>
      <c r="F1036" s="99" t="s">
        <v>1120</v>
      </c>
      <c r="G1036" s="100">
        <v>3305.3670000000002</v>
      </c>
      <c r="H1036" s="101">
        <v>7345.26</v>
      </c>
    </row>
    <row r="1037" spans="1:8">
      <c r="A1037" s="102">
        <v>38509</v>
      </c>
      <c r="B1037" s="102" t="str">
        <f>TEXT($A1037,"mmm")</f>
        <v>Jun</v>
      </c>
      <c r="C1037" s="103" t="s">
        <v>107</v>
      </c>
      <c r="D1037" s="103" t="s">
        <v>95</v>
      </c>
      <c r="E1037" s="103" t="s">
        <v>96</v>
      </c>
      <c r="F1037" s="103" t="s">
        <v>1121</v>
      </c>
      <c r="G1037" s="104">
        <v>989.70189999999991</v>
      </c>
      <c r="H1037" s="105">
        <v>2674.87</v>
      </c>
    </row>
    <row r="1038" spans="1:8">
      <c r="A1038" s="97">
        <v>38509</v>
      </c>
      <c r="B1038" s="97" t="str">
        <f>TEXT($A1038,"mmm")</f>
        <v>Jun</v>
      </c>
      <c r="C1038" s="99" t="s">
        <v>86</v>
      </c>
      <c r="D1038" s="99" t="s">
        <v>95</v>
      </c>
      <c r="E1038" s="99" t="s">
        <v>105</v>
      </c>
      <c r="F1038" s="99" t="s">
        <v>1122</v>
      </c>
      <c r="G1038" s="100">
        <v>1802.8735999999999</v>
      </c>
      <c r="H1038" s="101">
        <v>2048.7199999999998</v>
      </c>
    </row>
    <row r="1039" spans="1:8">
      <c r="A1039" s="102">
        <v>38508</v>
      </c>
      <c r="B1039" s="102" t="str">
        <f>TEXT($A1039,"mmm")</f>
        <v>Jun</v>
      </c>
      <c r="C1039" s="103" t="s">
        <v>86</v>
      </c>
      <c r="D1039" s="103" t="s">
        <v>98</v>
      </c>
      <c r="E1039" s="103" t="s">
        <v>81</v>
      </c>
      <c r="F1039" s="103" t="s">
        <v>1123</v>
      </c>
      <c r="G1039" s="104">
        <v>246.18359999999998</v>
      </c>
      <c r="H1039" s="105">
        <v>572.52</v>
      </c>
    </row>
    <row r="1040" spans="1:8">
      <c r="A1040" s="97">
        <v>38507</v>
      </c>
      <c r="B1040" s="97" t="str">
        <f>TEXT($A1040,"mmm")</f>
        <v>Jun</v>
      </c>
      <c r="C1040" s="99" t="s">
        <v>79</v>
      </c>
      <c r="D1040" s="99" t="s">
        <v>87</v>
      </c>
      <c r="E1040" s="99" t="s">
        <v>96</v>
      </c>
      <c r="F1040" s="99" t="s">
        <v>1124</v>
      </c>
      <c r="G1040" s="100">
        <v>7251.8688000000002</v>
      </c>
      <c r="H1040" s="101">
        <v>8240.76</v>
      </c>
    </row>
    <row r="1041" spans="1:8">
      <c r="A1041" s="102">
        <v>38507</v>
      </c>
      <c r="B1041" s="102" t="str">
        <f>TEXT($A1041,"mmm")</f>
        <v>Jun</v>
      </c>
      <c r="C1041" s="103" t="s">
        <v>104</v>
      </c>
      <c r="D1041" s="103" t="s">
        <v>92</v>
      </c>
      <c r="E1041" s="103" t="s">
        <v>81</v>
      </c>
      <c r="F1041" s="103" t="s">
        <v>1125</v>
      </c>
      <c r="G1041" s="104">
        <v>3178.3290000000002</v>
      </c>
      <c r="H1041" s="105">
        <v>5778.78</v>
      </c>
    </row>
    <row r="1042" spans="1:8">
      <c r="A1042" s="97">
        <v>38507</v>
      </c>
      <c r="B1042" s="97" t="str">
        <f>TEXT($A1042,"mmm")</f>
        <v>Jun</v>
      </c>
      <c r="C1042" s="99" t="s">
        <v>107</v>
      </c>
      <c r="D1042" s="99" t="s">
        <v>114</v>
      </c>
      <c r="E1042" s="99" t="s">
        <v>94</v>
      </c>
      <c r="F1042" s="99" t="s">
        <v>1126</v>
      </c>
      <c r="G1042" s="100">
        <v>1895.9930000000002</v>
      </c>
      <c r="H1042" s="101">
        <v>3447.26</v>
      </c>
    </row>
    <row r="1043" spans="1:8">
      <c r="A1043" s="102">
        <v>38506</v>
      </c>
      <c r="B1043" s="102" t="str">
        <f>TEXT($A1043,"mmm")</f>
        <v>Jun</v>
      </c>
      <c r="C1043" s="103" t="s">
        <v>116</v>
      </c>
      <c r="D1043" s="103" t="s">
        <v>98</v>
      </c>
      <c r="E1043" s="103" t="s">
        <v>108</v>
      </c>
      <c r="F1043" s="103" t="s">
        <v>1127</v>
      </c>
      <c r="G1043" s="104">
        <v>4050.4580999999998</v>
      </c>
      <c r="H1043" s="105">
        <v>9419.67</v>
      </c>
    </row>
    <row r="1044" spans="1:8">
      <c r="A1044" s="97">
        <v>38506</v>
      </c>
      <c r="B1044" s="97" t="str">
        <f>TEXT($A1044,"mmm")</f>
        <v>Jun</v>
      </c>
      <c r="C1044" s="99" t="s">
        <v>116</v>
      </c>
      <c r="D1044" s="99" t="s">
        <v>114</v>
      </c>
      <c r="E1044" s="99" t="s">
        <v>89</v>
      </c>
      <c r="F1044" s="99" t="s">
        <v>1128</v>
      </c>
      <c r="G1044" s="100">
        <v>6306.4724999999999</v>
      </c>
      <c r="H1044" s="101">
        <v>8408.6299999999992</v>
      </c>
    </row>
    <row r="1045" spans="1:8">
      <c r="A1045" s="102">
        <v>38505</v>
      </c>
      <c r="B1045" s="102" t="str">
        <f>TEXT($A1045,"mmm")</f>
        <v>Jun</v>
      </c>
      <c r="C1045" s="103" t="s">
        <v>79</v>
      </c>
      <c r="D1045" s="103" t="s">
        <v>101</v>
      </c>
      <c r="E1045" s="103" t="s">
        <v>89</v>
      </c>
      <c r="F1045" s="103" t="s">
        <v>1129</v>
      </c>
      <c r="G1045" s="104">
        <v>6662.5244000000002</v>
      </c>
      <c r="H1045" s="105">
        <v>9797.83</v>
      </c>
    </row>
    <row r="1046" spans="1:8">
      <c r="A1046" s="97">
        <v>38505</v>
      </c>
      <c r="B1046" s="97" t="str">
        <f>TEXT($A1046,"mmm")</f>
        <v>Jun</v>
      </c>
      <c r="C1046" s="99" t="s">
        <v>79</v>
      </c>
      <c r="D1046" s="99" t="s">
        <v>87</v>
      </c>
      <c r="E1046" s="99" t="s">
        <v>144</v>
      </c>
      <c r="F1046" s="99" t="s">
        <v>1130</v>
      </c>
      <c r="G1046" s="100">
        <v>6767.9475000000002</v>
      </c>
      <c r="H1046" s="101">
        <v>9023.93</v>
      </c>
    </row>
    <row r="1047" spans="1:8">
      <c r="A1047" s="102">
        <v>38505</v>
      </c>
      <c r="B1047" s="102" t="str">
        <f>TEXT($A1047,"mmm")</f>
        <v>Jun</v>
      </c>
      <c r="C1047" s="103" t="s">
        <v>116</v>
      </c>
      <c r="D1047" s="103" t="s">
        <v>80</v>
      </c>
      <c r="E1047" s="103" t="s">
        <v>122</v>
      </c>
      <c r="F1047" s="103" t="s">
        <v>1131</v>
      </c>
      <c r="G1047" s="104">
        <v>4484.9023999999999</v>
      </c>
      <c r="H1047" s="105">
        <v>5096.4799999999996</v>
      </c>
    </row>
    <row r="1048" spans="1:8">
      <c r="A1048" s="97">
        <v>38504</v>
      </c>
      <c r="B1048" s="97" t="str">
        <f>TEXT($A1048,"mmm")</f>
        <v>Jun</v>
      </c>
      <c r="C1048" s="99" t="s">
        <v>107</v>
      </c>
      <c r="D1048" s="99" t="s">
        <v>101</v>
      </c>
      <c r="E1048" s="99" t="s">
        <v>129</v>
      </c>
      <c r="F1048" s="99" t="s">
        <v>1132</v>
      </c>
      <c r="G1048" s="100">
        <v>8346.0905000000002</v>
      </c>
      <c r="H1048" s="101">
        <v>8926.2999999999993</v>
      </c>
    </row>
    <row r="1049" spans="1:8">
      <c r="A1049" s="102">
        <v>38504</v>
      </c>
      <c r="B1049" s="102" t="str">
        <f>TEXT($A1049,"mmm")</f>
        <v>Jun</v>
      </c>
      <c r="C1049" s="103" t="s">
        <v>86</v>
      </c>
      <c r="D1049" s="103" t="s">
        <v>98</v>
      </c>
      <c r="E1049" s="103" t="s">
        <v>144</v>
      </c>
      <c r="F1049" s="103" t="s">
        <v>1133</v>
      </c>
      <c r="G1049" s="104">
        <v>4504.0275000000001</v>
      </c>
      <c r="H1049" s="105">
        <v>6005.37</v>
      </c>
    </row>
    <row r="1050" spans="1:8">
      <c r="A1050" s="97">
        <v>38504</v>
      </c>
      <c r="B1050" s="97" t="str">
        <f>TEXT($A1050,"mmm")</f>
        <v>Jun</v>
      </c>
      <c r="C1050" s="99" t="s">
        <v>104</v>
      </c>
      <c r="D1050" s="99" t="s">
        <v>114</v>
      </c>
      <c r="E1050" s="99" t="s">
        <v>89</v>
      </c>
      <c r="F1050" s="99" t="s">
        <v>596</v>
      </c>
      <c r="G1050" s="100">
        <v>1205.9256</v>
      </c>
      <c r="H1050" s="101">
        <v>1773.42</v>
      </c>
    </row>
    <row r="1051" spans="1:8">
      <c r="A1051" s="102">
        <v>38502</v>
      </c>
      <c r="B1051" s="102" t="str">
        <f>TEXT($A1051,"mmm")</f>
        <v>May</v>
      </c>
      <c r="C1051" s="103" t="s">
        <v>116</v>
      </c>
      <c r="D1051" s="103" t="s">
        <v>95</v>
      </c>
      <c r="E1051" s="103" t="s">
        <v>83</v>
      </c>
      <c r="F1051" s="103" t="s">
        <v>1134</v>
      </c>
      <c r="G1051" s="104">
        <v>1004.5194</v>
      </c>
      <c r="H1051" s="105">
        <v>1731.93</v>
      </c>
    </row>
    <row r="1052" spans="1:8">
      <c r="A1052" s="97">
        <v>38502</v>
      </c>
      <c r="B1052" s="97" t="str">
        <f>TEXT($A1052,"mmm")</f>
        <v>May</v>
      </c>
      <c r="C1052" s="99" t="s">
        <v>107</v>
      </c>
      <c r="D1052" s="99" t="s">
        <v>98</v>
      </c>
      <c r="E1052" s="99" t="s">
        <v>93</v>
      </c>
      <c r="F1052" s="99" t="s">
        <v>1135</v>
      </c>
      <c r="G1052" s="100">
        <v>222.678</v>
      </c>
      <c r="H1052" s="101">
        <v>494.84</v>
      </c>
    </row>
    <row r="1053" spans="1:8">
      <c r="A1053" s="102">
        <v>38501</v>
      </c>
      <c r="B1053" s="102" t="str">
        <f>TEXT($A1053,"mmm")</f>
        <v>May</v>
      </c>
      <c r="C1053" s="103" t="s">
        <v>79</v>
      </c>
      <c r="D1053" s="103" t="s">
        <v>95</v>
      </c>
      <c r="E1053" s="103" t="s">
        <v>120</v>
      </c>
      <c r="F1053" s="103" t="s">
        <v>1136</v>
      </c>
      <c r="G1053" s="104">
        <v>2669.8870000000002</v>
      </c>
      <c r="H1053" s="105">
        <v>4854.34</v>
      </c>
    </row>
    <row r="1054" spans="1:8">
      <c r="A1054" s="97">
        <v>38501</v>
      </c>
      <c r="B1054" s="97" t="str">
        <f>TEXT($A1054,"mmm")</f>
        <v>May</v>
      </c>
      <c r="C1054" s="99" t="s">
        <v>116</v>
      </c>
      <c r="D1054" s="99" t="s">
        <v>92</v>
      </c>
      <c r="E1054" s="99" t="s">
        <v>94</v>
      </c>
      <c r="F1054" s="99" t="s">
        <v>1137</v>
      </c>
      <c r="G1054" s="100">
        <v>3938.09845</v>
      </c>
      <c r="H1054" s="101">
        <v>4211.87</v>
      </c>
    </row>
    <row r="1055" spans="1:8">
      <c r="A1055" s="102">
        <v>38501</v>
      </c>
      <c r="B1055" s="102" t="str">
        <f>TEXT($A1055,"mmm")</f>
        <v>May</v>
      </c>
      <c r="C1055" s="103" t="s">
        <v>104</v>
      </c>
      <c r="D1055" s="103" t="s">
        <v>114</v>
      </c>
      <c r="E1055" s="103" t="s">
        <v>99</v>
      </c>
      <c r="F1055" s="103" t="s">
        <v>1138</v>
      </c>
      <c r="G1055" s="104">
        <v>2052.7092000000002</v>
      </c>
      <c r="H1055" s="105">
        <v>3018.69</v>
      </c>
    </row>
    <row r="1056" spans="1:8">
      <c r="A1056" s="97">
        <v>38500</v>
      </c>
      <c r="B1056" s="97" t="str">
        <f>TEXT($A1056,"mmm")</f>
        <v>May</v>
      </c>
      <c r="C1056" s="99" t="s">
        <v>107</v>
      </c>
      <c r="D1056" s="99" t="s">
        <v>92</v>
      </c>
      <c r="E1056" s="99" t="s">
        <v>93</v>
      </c>
      <c r="F1056" s="99" t="s">
        <v>1139</v>
      </c>
      <c r="G1056" s="100">
        <v>4924.26</v>
      </c>
      <c r="H1056" s="101">
        <v>8953.2000000000007</v>
      </c>
    </row>
    <row r="1057" spans="1:8">
      <c r="A1057" s="102">
        <v>38500</v>
      </c>
      <c r="B1057" s="102" t="str">
        <f>TEXT($A1057,"mmm")</f>
        <v>May</v>
      </c>
      <c r="C1057" s="103" t="s">
        <v>104</v>
      </c>
      <c r="D1057" s="103" t="s">
        <v>114</v>
      </c>
      <c r="E1057" s="103" t="s">
        <v>96</v>
      </c>
      <c r="F1057" s="103" t="s">
        <v>1140</v>
      </c>
      <c r="G1057" s="104">
        <v>6919.7480000000005</v>
      </c>
      <c r="H1057" s="105">
        <v>7863.35</v>
      </c>
    </row>
    <row r="1058" spans="1:8">
      <c r="A1058" s="97">
        <v>38500</v>
      </c>
      <c r="B1058" s="97" t="str">
        <f>TEXT($A1058,"mmm")</f>
        <v>May</v>
      </c>
      <c r="C1058" s="99" t="s">
        <v>107</v>
      </c>
      <c r="D1058" s="99" t="s">
        <v>80</v>
      </c>
      <c r="E1058" s="99" t="s">
        <v>94</v>
      </c>
      <c r="F1058" s="99" t="s">
        <v>1141</v>
      </c>
      <c r="G1058" s="100">
        <v>2445.4150999999997</v>
      </c>
      <c r="H1058" s="101">
        <v>6609.23</v>
      </c>
    </row>
    <row r="1059" spans="1:8">
      <c r="A1059" s="102">
        <v>38500</v>
      </c>
      <c r="B1059" s="102" t="str">
        <f>TEXT($A1059,"mmm")</f>
        <v>May</v>
      </c>
      <c r="C1059" s="103" t="s">
        <v>104</v>
      </c>
      <c r="D1059" s="103" t="s">
        <v>92</v>
      </c>
      <c r="E1059" s="103" t="s">
        <v>81</v>
      </c>
      <c r="F1059" s="103" t="s">
        <v>1142</v>
      </c>
      <c r="G1059" s="104">
        <v>3591.7915000000003</v>
      </c>
      <c r="H1059" s="105">
        <v>6530.53</v>
      </c>
    </row>
    <row r="1060" spans="1:8">
      <c r="A1060" s="97">
        <v>38500</v>
      </c>
      <c r="B1060" s="97" t="str">
        <f>TEXT($A1060,"mmm")</f>
        <v>May</v>
      </c>
      <c r="C1060" s="99" t="s">
        <v>104</v>
      </c>
      <c r="D1060" s="99" t="s">
        <v>80</v>
      </c>
      <c r="E1060" s="99" t="s">
        <v>93</v>
      </c>
      <c r="F1060" s="99" t="s">
        <v>1143</v>
      </c>
      <c r="G1060" s="100">
        <v>1681.5464999999999</v>
      </c>
      <c r="H1060" s="101">
        <v>3736.77</v>
      </c>
    </row>
    <row r="1061" spans="1:8">
      <c r="A1061" s="102">
        <v>38499</v>
      </c>
      <c r="B1061" s="102" t="str">
        <f>TEXT($A1061,"mmm")</f>
        <v>May</v>
      </c>
      <c r="C1061" s="103" t="s">
        <v>79</v>
      </c>
      <c r="D1061" s="103" t="s">
        <v>98</v>
      </c>
      <c r="E1061" s="103" t="s">
        <v>94</v>
      </c>
      <c r="F1061" s="103" t="s">
        <v>1144</v>
      </c>
      <c r="G1061" s="104">
        <v>3352.4146000000001</v>
      </c>
      <c r="H1061" s="105">
        <v>9060.58</v>
      </c>
    </row>
    <row r="1062" spans="1:8">
      <c r="A1062" s="97">
        <v>38499</v>
      </c>
      <c r="B1062" s="97" t="str">
        <f>TEXT($A1062,"mmm")</f>
        <v>May</v>
      </c>
      <c r="C1062" s="99" t="s">
        <v>107</v>
      </c>
      <c r="D1062" s="99" t="s">
        <v>98</v>
      </c>
      <c r="E1062" s="99" t="s">
        <v>105</v>
      </c>
      <c r="F1062" s="99" t="s">
        <v>1145</v>
      </c>
      <c r="G1062" s="100">
        <v>2116.3997999999997</v>
      </c>
      <c r="H1062" s="101">
        <v>4921.8599999999997</v>
      </c>
    </row>
    <row r="1063" spans="1:8">
      <c r="A1063" s="102">
        <v>38497</v>
      </c>
      <c r="B1063" s="102" t="str">
        <f>TEXT($A1063,"mmm")</f>
        <v>May</v>
      </c>
      <c r="C1063" s="103" t="s">
        <v>79</v>
      </c>
      <c r="D1063" s="103" t="s">
        <v>80</v>
      </c>
      <c r="E1063" s="103" t="s">
        <v>81</v>
      </c>
      <c r="F1063" s="103" t="s">
        <v>1146</v>
      </c>
      <c r="G1063" s="104">
        <v>4315.6025000000009</v>
      </c>
      <c r="H1063" s="105">
        <v>7846.55</v>
      </c>
    </row>
    <row r="1064" spans="1:8">
      <c r="A1064" s="97">
        <v>38497</v>
      </c>
      <c r="B1064" s="97" t="str">
        <f>TEXT($A1064,"mmm")</f>
        <v>May</v>
      </c>
      <c r="C1064" s="99" t="s">
        <v>79</v>
      </c>
      <c r="D1064" s="99" t="s">
        <v>127</v>
      </c>
      <c r="E1064" s="99" t="s">
        <v>99</v>
      </c>
      <c r="F1064" s="99" t="s">
        <v>1147</v>
      </c>
      <c r="G1064" s="100">
        <v>1310.3708000000001</v>
      </c>
      <c r="H1064" s="101">
        <v>2259.2600000000002</v>
      </c>
    </row>
    <row r="1065" spans="1:8">
      <c r="A1065" s="102">
        <v>38497</v>
      </c>
      <c r="B1065" s="102" t="str">
        <f>TEXT($A1065,"mmm")</f>
        <v>May</v>
      </c>
      <c r="C1065" s="103" t="s">
        <v>86</v>
      </c>
      <c r="D1065" s="103" t="s">
        <v>95</v>
      </c>
      <c r="E1065" s="103" t="s">
        <v>83</v>
      </c>
      <c r="F1065" s="103" t="s">
        <v>1148</v>
      </c>
      <c r="G1065" s="104">
        <v>454.23</v>
      </c>
      <c r="H1065" s="105">
        <v>1009.4</v>
      </c>
    </row>
    <row r="1066" spans="1:8">
      <c r="A1066" s="97">
        <v>38496</v>
      </c>
      <c r="B1066" s="97" t="str">
        <f>TEXT($A1066,"mmm")</f>
        <v>May</v>
      </c>
      <c r="C1066" s="99" t="s">
        <v>86</v>
      </c>
      <c r="D1066" s="99" t="s">
        <v>98</v>
      </c>
      <c r="E1066" s="99" t="s">
        <v>96</v>
      </c>
      <c r="F1066" s="99" t="s">
        <v>1149</v>
      </c>
      <c r="G1066" s="100">
        <v>6515.34</v>
      </c>
      <c r="H1066" s="101">
        <v>8687.1200000000008</v>
      </c>
    </row>
    <row r="1067" spans="1:8">
      <c r="A1067" s="102">
        <v>38496</v>
      </c>
      <c r="B1067" s="102" t="str">
        <f>TEXT($A1067,"mmm")</f>
        <v>May</v>
      </c>
      <c r="C1067" s="103" t="s">
        <v>79</v>
      </c>
      <c r="D1067" s="103" t="s">
        <v>127</v>
      </c>
      <c r="E1067" s="103" t="s">
        <v>99</v>
      </c>
      <c r="F1067" s="103" t="s">
        <v>1150</v>
      </c>
      <c r="G1067" s="104">
        <v>3591.2772000000004</v>
      </c>
      <c r="H1067" s="105">
        <v>5281.29</v>
      </c>
    </row>
    <row r="1068" spans="1:8">
      <c r="A1068" s="97">
        <v>38494</v>
      </c>
      <c r="B1068" s="97" t="str">
        <f>TEXT($A1068,"mmm")</f>
        <v>May</v>
      </c>
      <c r="C1068" s="99" t="s">
        <v>116</v>
      </c>
      <c r="D1068" s="99" t="s">
        <v>127</v>
      </c>
      <c r="E1068" s="99" t="s">
        <v>83</v>
      </c>
      <c r="F1068" s="99" t="s">
        <v>1151</v>
      </c>
      <c r="G1068" s="100">
        <v>6011.2204000000011</v>
      </c>
      <c r="H1068" s="101">
        <v>8840.0300000000007</v>
      </c>
    </row>
    <row r="1069" spans="1:8">
      <c r="A1069" s="102">
        <v>38494</v>
      </c>
      <c r="B1069" s="102" t="str">
        <f>TEXT($A1069,"mmm")</f>
        <v>May</v>
      </c>
      <c r="C1069" s="103" t="s">
        <v>116</v>
      </c>
      <c r="D1069" s="103" t="s">
        <v>101</v>
      </c>
      <c r="E1069" s="103" t="s">
        <v>81</v>
      </c>
      <c r="F1069" s="103" t="s">
        <v>312</v>
      </c>
      <c r="G1069" s="104">
        <v>1444.0581999999999</v>
      </c>
      <c r="H1069" s="105">
        <v>3902.86</v>
      </c>
    </row>
    <row r="1070" spans="1:8">
      <c r="A1070" s="97">
        <v>38493</v>
      </c>
      <c r="B1070" s="97" t="str">
        <f>TEXT($A1070,"mmm")</f>
        <v>May</v>
      </c>
      <c r="C1070" s="99" t="s">
        <v>116</v>
      </c>
      <c r="D1070" s="99" t="s">
        <v>127</v>
      </c>
      <c r="E1070" s="99" t="s">
        <v>83</v>
      </c>
      <c r="F1070" s="99" t="s">
        <v>1152</v>
      </c>
      <c r="G1070" s="100">
        <v>4149.348500000001</v>
      </c>
      <c r="H1070" s="101">
        <v>7544.27</v>
      </c>
    </row>
    <row r="1071" spans="1:8">
      <c r="A1071" s="102">
        <v>38493</v>
      </c>
      <c r="B1071" s="102" t="str">
        <f>TEXT($A1071,"mmm")</f>
        <v>May</v>
      </c>
      <c r="C1071" s="103" t="s">
        <v>79</v>
      </c>
      <c r="D1071" s="103" t="s">
        <v>80</v>
      </c>
      <c r="E1071" s="103" t="s">
        <v>122</v>
      </c>
      <c r="F1071" s="103" t="s">
        <v>778</v>
      </c>
      <c r="G1071" s="104">
        <v>1886.9037999999998</v>
      </c>
      <c r="H1071" s="105">
        <v>5099.74</v>
      </c>
    </row>
    <row r="1072" spans="1:8">
      <c r="A1072" s="97">
        <v>38493</v>
      </c>
      <c r="B1072" s="97" t="str">
        <f>TEXT($A1072,"mmm")</f>
        <v>May</v>
      </c>
      <c r="C1072" s="99" t="s">
        <v>79</v>
      </c>
      <c r="D1072" s="99" t="s">
        <v>92</v>
      </c>
      <c r="E1072" s="99" t="s">
        <v>93</v>
      </c>
      <c r="F1072" s="99" t="s">
        <v>1153</v>
      </c>
      <c r="G1072" s="100">
        <v>2149.3636000000001</v>
      </c>
      <c r="H1072" s="101">
        <v>4998.5200000000004</v>
      </c>
    </row>
    <row r="1073" spans="1:8">
      <c r="A1073" s="102">
        <v>38493</v>
      </c>
      <c r="B1073" s="102" t="str">
        <f>TEXT($A1073,"mmm")</f>
        <v>May</v>
      </c>
      <c r="C1073" s="103" t="s">
        <v>104</v>
      </c>
      <c r="D1073" s="103" t="s">
        <v>92</v>
      </c>
      <c r="E1073" s="103" t="s">
        <v>93</v>
      </c>
      <c r="F1073" s="103" t="s">
        <v>1154</v>
      </c>
      <c r="G1073" s="104">
        <v>1242.0676000000001</v>
      </c>
      <c r="H1073" s="105">
        <v>1826.57</v>
      </c>
    </row>
    <row r="1074" spans="1:8">
      <c r="A1074" s="97">
        <v>38493</v>
      </c>
      <c r="B1074" s="97" t="str">
        <f>TEXT($A1074,"mmm")</f>
        <v>May</v>
      </c>
      <c r="C1074" s="99" t="s">
        <v>86</v>
      </c>
      <c r="D1074" s="99" t="s">
        <v>80</v>
      </c>
      <c r="E1074" s="99" t="s">
        <v>129</v>
      </c>
      <c r="F1074" s="99" t="s">
        <v>1155</v>
      </c>
      <c r="G1074" s="100">
        <v>268.97250000000003</v>
      </c>
      <c r="H1074" s="101">
        <v>358.63</v>
      </c>
    </row>
    <row r="1075" spans="1:8">
      <c r="A1075" s="102">
        <v>38492</v>
      </c>
      <c r="B1075" s="102" t="str">
        <f>TEXT($A1075,"mmm")</f>
        <v>May</v>
      </c>
      <c r="C1075" s="103" t="s">
        <v>79</v>
      </c>
      <c r="D1075" s="103" t="s">
        <v>98</v>
      </c>
      <c r="E1075" s="103" t="s">
        <v>158</v>
      </c>
      <c r="F1075" s="103" t="s">
        <v>1156</v>
      </c>
      <c r="G1075" s="104">
        <v>3633.7236000000003</v>
      </c>
      <c r="H1075" s="105">
        <v>8450.52</v>
      </c>
    </row>
    <row r="1076" spans="1:8">
      <c r="A1076" s="97">
        <v>38492</v>
      </c>
      <c r="B1076" s="97" t="str">
        <f>TEXT($A1076,"mmm")</f>
        <v>May</v>
      </c>
      <c r="C1076" s="99" t="s">
        <v>107</v>
      </c>
      <c r="D1076" s="99" t="s">
        <v>101</v>
      </c>
      <c r="E1076" s="99" t="s">
        <v>94</v>
      </c>
      <c r="F1076" s="99" t="s">
        <v>609</v>
      </c>
      <c r="G1076" s="100">
        <v>3636.0837999999994</v>
      </c>
      <c r="H1076" s="101">
        <v>6269.11</v>
      </c>
    </row>
    <row r="1077" spans="1:8">
      <c r="A1077" s="102">
        <v>38492</v>
      </c>
      <c r="B1077" s="102" t="str">
        <f>TEXT($A1077,"mmm")</f>
        <v>May</v>
      </c>
      <c r="C1077" s="103" t="s">
        <v>116</v>
      </c>
      <c r="D1077" s="103" t="s">
        <v>92</v>
      </c>
      <c r="E1077" s="103" t="s">
        <v>83</v>
      </c>
      <c r="F1077" s="103" t="s">
        <v>1157</v>
      </c>
      <c r="G1077" s="104">
        <v>2929.712</v>
      </c>
      <c r="H1077" s="105">
        <v>4308.3999999999996</v>
      </c>
    </row>
    <row r="1078" spans="1:8">
      <c r="A1078" s="97">
        <v>38492</v>
      </c>
      <c r="B1078" s="97" t="str">
        <f>TEXT($A1078,"mmm")</f>
        <v>May</v>
      </c>
      <c r="C1078" s="99" t="s">
        <v>104</v>
      </c>
      <c r="D1078" s="99" t="s">
        <v>98</v>
      </c>
      <c r="E1078" s="99" t="s">
        <v>129</v>
      </c>
      <c r="F1078" s="99" t="s">
        <v>1158</v>
      </c>
      <c r="G1078" s="100">
        <v>3266.3488000000002</v>
      </c>
      <c r="H1078" s="101">
        <v>3711.76</v>
      </c>
    </row>
    <row r="1079" spans="1:8">
      <c r="A1079" s="102">
        <v>38491</v>
      </c>
      <c r="B1079" s="102" t="str">
        <f>TEXT($A1079,"mmm")</f>
        <v>May</v>
      </c>
      <c r="C1079" s="103" t="s">
        <v>86</v>
      </c>
      <c r="D1079" s="103" t="s">
        <v>95</v>
      </c>
      <c r="E1079" s="103" t="s">
        <v>81</v>
      </c>
      <c r="F1079" s="103" t="s">
        <v>1159</v>
      </c>
      <c r="G1079" s="104">
        <v>4965.8156000000008</v>
      </c>
      <c r="H1079" s="105">
        <v>7302.67</v>
      </c>
    </row>
    <row r="1080" spans="1:8">
      <c r="A1080" s="97">
        <v>38491</v>
      </c>
      <c r="B1080" s="97" t="str">
        <f>TEXT($A1080,"mmm")</f>
        <v>May</v>
      </c>
      <c r="C1080" s="99" t="s">
        <v>107</v>
      </c>
      <c r="D1080" s="99" t="s">
        <v>87</v>
      </c>
      <c r="E1080" s="99" t="s">
        <v>93</v>
      </c>
      <c r="F1080" s="99" t="s">
        <v>1160</v>
      </c>
      <c r="G1080" s="100">
        <v>5267.8741500000006</v>
      </c>
      <c r="H1080" s="101">
        <v>5634.09</v>
      </c>
    </row>
    <row r="1081" spans="1:8">
      <c r="A1081" s="102">
        <v>38491</v>
      </c>
      <c r="B1081" s="102" t="str">
        <f>TEXT($A1081,"mmm")</f>
        <v>May</v>
      </c>
      <c r="C1081" s="103" t="s">
        <v>79</v>
      </c>
      <c r="D1081" s="103" t="s">
        <v>92</v>
      </c>
      <c r="E1081" s="103" t="s">
        <v>99</v>
      </c>
      <c r="F1081" s="103" t="s">
        <v>1161</v>
      </c>
      <c r="G1081" s="104">
        <v>1319.846</v>
      </c>
      <c r="H1081" s="105">
        <v>2399.7199999999998</v>
      </c>
    </row>
    <row r="1082" spans="1:8">
      <c r="A1082" s="97">
        <v>38491</v>
      </c>
      <c r="B1082" s="97" t="str">
        <f>TEXT($A1082,"mmm")</f>
        <v>May</v>
      </c>
      <c r="C1082" s="99" t="s">
        <v>79</v>
      </c>
      <c r="D1082" s="99" t="s">
        <v>80</v>
      </c>
      <c r="E1082" s="99" t="s">
        <v>81</v>
      </c>
      <c r="F1082" s="99" t="s">
        <v>1162</v>
      </c>
      <c r="G1082" s="100">
        <v>589.88699999999994</v>
      </c>
      <c r="H1082" s="101">
        <v>1310.86</v>
      </c>
    </row>
    <row r="1083" spans="1:8">
      <c r="A1083" s="102">
        <v>38491</v>
      </c>
      <c r="B1083" s="102" t="str">
        <f>TEXT($A1083,"mmm")</f>
        <v>May</v>
      </c>
      <c r="C1083" s="103" t="s">
        <v>107</v>
      </c>
      <c r="D1083" s="103" t="s">
        <v>95</v>
      </c>
      <c r="E1083" s="103" t="s">
        <v>99</v>
      </c>
      <c r="F1083" s="103" t="s">
        <v>1163</v>
      </c>
      <c r="G1083" s="104">
        <v>348.73200000000003</v>
      </c>
      <c r="H1083" s="105">
        <v>774.96</v>
      </c>
    </row>
    <row r="1084" spans="1:8">
      <c r="A1084" s="97">
        <v>38490</v>
      </c>
      <c r="B1084" s="97" t="str">
        <f>TEXT($A1084,"mmm")</f>
        <v>May</v>
      </c>
      <c r="C1084" s="99" t="s">
        <v>79</v>
      </c>
      <c r="D1084" s="99" t="s">
        <v>95</v>
      </c>
      <c r="E1084" s="99" t="s">
        <v>122</v>
      </c>
      <c r="F1084" s="99" t="s">
        <v>1164</v>
      </c>
      <c r="G1084" s="100">
        <v>3795.6056999999996</v>
      </c>
      <c r="H1084" s="101">
        <v>6433.23</v>
      </c>
    </row>
    <row r="1085" spans="1:8">
      <c r="A1085" s="102">
        <v>38490</v>
      </c>
      <c r="B1085" s="102" t="str">
        <f>TEXT($A1085,"mmm")</f>
        <v>May</v>
      </c>
      <c r="C1085" s="103" t="s">
        <v>116</v>
      </c>
      <c r="D1085" s="103" t="s">
        <v>127</v>
      </c>
      <c r="E1085" s="103" t="s">
        <v>120</v>
      </c>
      <c r="F1085" s="103" t="s">
        <v>1165</v>
      </c>
      <c r="G1085" s="104">
        <v>567.88160000000005</v>
      </c>
      <c r="H1085" s="105">
        <v>607.36</v>
      </c>
    </row>
    <row r="1086" spans="1:8">
      <c r="A1086" s="97">
        <v>38489</v>
      </c>
      <c r="B1086" s="97" t="str">
        <f>TEXT($A1086,"mmm")</f>
        <v>May</v>
      </c>
      <c r="C1086" s="99" t="s">
        <v>86</v>
      </c>
      <c r="D1086" s="99" t="s">
        <v>114</v>
      </c>
      <c r="E1086" s="99" t="s">
        <v>96</v>
      </c>
      <c r="F1086" s="99" t="s">
        <v>1166</v>
      </c>
      <c r="G1086" s="100">
        <v>2952.6008000000006</v>
      </c>
      <c r="H1086" s="101">
        <v>4342.0600000000004</v>
      </c>
    </row>
    <row r="1087" spans="1:8">
      <c r="A1087" s="102">
        <v>38489</v>
      </c>
      <c r="B1087" s="102" t="str">
        <f>TEXT($A1087,"mmm")</f>
        <v>May</v>
      </c>
      <c r="C1087" s="103" t="s">
        <v>104</v>
      </c>
      <c r="D1087" s="103" t="s">
        <v>95</v>
      </c>
      <c r="E1087" s="103" t="s">
        <v>93</v>
      </c>
      <c r="F1087" s="103" t="s">
        <v>1167</v>
      </c>
      <c r="G1087" s="104">
        <v>1123.72975</v>
      </c>
      <c r="H1087" s="105">
        <v>1201.8499999999999</v>
      </c>
    </row>
    <row r="1088" spans="1:8">
      <c r="A1088" s="97">
        <v>38488</v>
      </c>
      <c r="B1088" s="97" t="str">
        <f>TEXT($A1088,"mmm")</f>
        <v>May</v>
      </c>
      <c r="C1088" s="99" t="s">
        <v>79</v>
      </c>
      <c r="D1088" s="99" t="s">
        <v>87</v>
      </c>
      <c r="E1088" s="99" t="s">
        <v>81</v>
      </c>
      <c r="F1088" s="99" t="s">
        <v>1168</v>
      </c>
      <c r="G1088" s="100">
        <v>2887.7213999999999</v>
      </c>
      <c r="H1088" s="101">
        <v>4978.83</v>
      </c>
    </row>
    <row r="1089" spans="1:8">
      <c r="A1089" s="102">
        <v>38488</v>
      </c>
      <c r="B1089" s="102" t="str">
        <f>TEXT($A1089,"mmm")</f>
        <v>May</v>
      </c>
      <c r="C1089" s="103" t="s">
        <v>116</v>
      </c>
      <c r="D1089" s="103" t="s">
        <v>127</v>
      </c>
      <c r="E1089" s="103" t="s">
        <v>129</v>
      </c>
      <c r="F1089" s="103" t="s">
        <v>1169</v>
      </c>
      <c r="G1089" s="104">
        <v>2000.2825999999998</v>
      </c>
      <c r="H1089" s="105">
        <v>4651.82</v>
      </c>
    </row>
    <row r="1090" spans="1:8">
      <c r="A1090" s="97">
        <v>38488</v>
      </c>
      <c r="B1090" s="97" t="str">
        <f>TEXT($A1090,"mmm")</f>
        <v>May</v>
      </c>
      <c r="C1090" s="99" t="s">
        <v>104</v>
      </c>
      <c r="D1090" s="99" t="s">
        <v>127</v>
      </c>
      <c r="E1090" s="99" t="s">
        <v>89</v>
      </c>
      <c r="F1090" s="99" t="s">
        <v>1170</v>
      </c>
      <c r="G1090" s="100">
        <v>3632.2319000000002</v>
      </c>
      <c r="H1090" s="101">
        <v>3884.74</v>
      </c>
    </row>
    <row r="1091" spans="1:8">
      <c r="A1091" s="102">
        <v>38487</v>
      </c>
      <c r="B1091" s="102" t="str">
        <f>TEXT($A1091,"mmm")</f>
        <v>May</v>
      </c>
      <c r="C1091" s="103" t="s">
        <v>86</v>
      </c>
      <c r="D1091" s="103" t="s">
        <v>80</v>
      </c>
      <c r="E1091" s="103" t="s">
        <v>144</v>
      </c>
      <c r="F1091" s="103" t="s">
        <v>798</v>
      </c>
      <c r="G1091" s="104">
        <v>5428.2831999999999</v>
      </c>
      <c r="H1091" s="105">
        <v>9200.48</v>
      </c>
    </row>
    <row r="1092" spans="1:8">
      <c r="A1092" s="97">
        <v>38487</v>
      </c>
      <c r="B1092" s="97" t="str">
        <f>TEXT($A1092,"mmm")</f>
        <v>May</v>
      </c>
      <c r="C1092" s="99" t="s">
        <v>79</v>
      </c>
      <c r="D1092" s="99" t="s">
        <v>87</v>
      </c>
      <c r="E1092" s="99" t="s">
        <v>96</v>
      </c>
      <c r="F1092" s="99" t="s">
        <v>1171</v>
      </c>
      <c r="G1092" s="100">
        <v>2720.7565000000004</v>
      </c>
      <c r="H1092" s="101">
        <v>2909.9</v>
      </c>
    </row>
    <row r="1093" spans="1:8">
      <c r="A1093" s="102">
        <v>38486</v>
      </c>
      <c r="B1093" s="102" t="str">
        <f>TEXT($A1093,"mmm")</f>
        <v>May</v>
      </c>
      <c r="C1093" s="103" t="s">
        <v>86</v>
      </c>
      <c r="D1093" s="103" t="s">
        <v>87</v>
      </c>
      <c r="E1093" s="103" t="s">
        <v>99</v>
      </c>
      <c r="F1093" s="103" t="s">
        <v>1172</v>
      </c>
      <c r="G1093" s="104">
        <v>4811.7553999999991</v>
      </c>
      <c r="H1093" s="105">
        <v>8296.1299999999992</v>
      </c>
    </row>
    <row r="1094" spans="1:8">
      <c r="A1094" s="97">
        <v>38486</v>
      </c>
      <c r="B1094" s="97" t="str">
        <f>TEXT($A1094,"mmm")</f>
        <v>May</v>
      </c>
      <c r="C1094" s="99" t="s">
        <v>116</v>
      </c>
      <c r="D1094" s="99" t="s">
        <v>80</v>
      </c>
      <c r="E1094" s="99" t="s">
        <v>129</v>
      </c>
      <c r="F1094" s="99" t="s">
        <v>1173</v>
      </c>
      <c r="G1094" s="100">
        <v>4029.0627999999997</v>
      </c>
      <c r="H1094" s="101">
        <v>6828.92</v>
      </c>
    </row>
    <row r="1095" spans="1:8">
      <c r="A1095" s="102">
        <v>38485</v>
      </c>
      <c r="B1095" s="102" t="str">
        <f>TEXT($A1095,"mmm")</f>
        <v>May</v>
      </c>
      <c r="C1095" s="103" t="s">
        <v>104</v>
      </c>
      <c r="D1095" s="103" t="s">
        <v>80</v>
      </c>
      <c r="E1095" s="103" t="s">
        <v>96</v>
      </c>
      <c r="F1095" s="103" t="s">
        <v>1174</v>
      </c>
      <c r="G1095" s="104">
        <v>5089.4166999999989</v>
      </c>
      <c r="H1095" s="105">
        <v>8626.1299999999992</v>
      </c>
    </row>
    <row r="1096" spans="1:8">
      <c r="A1096" s="97">
        <v>38485</v>
      </c>
      <c r="B1096" s="97" t="str">
        <f>TEXT($A1096,"mmm")</f>
        <v>May</v>
      </c>
      <c r="C1096" s="99" t="s">
        <v>79</v>
      </c>
      <c r="D1096" s="99" t="s">
        <v>98</v>
      </c>
      <c r="E1096" s="99" t="s">
        <v>99</v>
      </c>
      <c r="F1096" s="99" t="s">
        <v>1175</v>
      </c>
      <c r="G1096" s="100">
        <v>4431.1187999999993</v>
      </c>
      <c r="H1096" s="101">
        <v>7639.86</v>
      </c>
    </row>
    <row r="1097" spans="1:8">
      <c r="A1097" s="102">
        <v>38485</v>
      </c>
      <c r="B1097" s="102" t="str">
        <f>TEXT($A1097,"mmm")</f>
        <v>May</v>
      </c>
      <c r="C1097" s="103" t="s">
        <v>86</v>
      </c>
      <c r="D1097" s="103" t="s">
        <v>87</v>
      </c>
      <c r="E1097" s="103" t="s">
        <v>120</v>
      </c>
      <c r="F1097" s="103" t="s">
        <v>1176</v>
      </c>
      <c r="G1097" s="104">
        <v>1873.41</v>
      </c>
      <c r="H1097" s="105">
        <v>3406.2</v>
      </c>
    </row>
    <row r="1098" spans="1:8">
      <c r="A1098" s="97">
        <v>38484</v>
      </c>
      <c r="B1098" s="97" t="str">
        <f>TEXT($A1098,"mmm")</f>
        <v>May</v>
      </c>
      <c r="C1098" s="99" t="s">
        <v>79</v>
      </c>
      <c r="D1098" s="99" t="s">
        <v>98</v>
      </c>
      <c r="E1098" s="99" t="s">
        <v>89</v>
      </c>
      <c r="F1098" s="99" t="s">
        <v>1177</v>
      </c>
      <c r="G1098" s="100">
        <v>4937.5344000000005</v>
      </c>
      <c r="H1098" s="101">
        <v>7261.08</v>
      </c>
    </row>
    <row r="1099" spans="1:8">
      <c r="A1099" s="102">
        <v>38484</v>
      </c>
      <c r="B1099" s="102" t="str">
        <f>TEXT($A1099,"mmm")</f>
        <v>May</v>
      </c>
      <c r="C1099" s="103" t="s">
        <v>79</v>
      </c>
      <c r="D1099" s="103" t="s">
        <v>95</v>
      </c>
      <c r="E1099" s="103" t="s">
        <v>93</v>
      </c>
      <c r="F1099" s="103" t="s">
        <v>1178</v>
      </c>
      <c r="G1099" s="104">
        <v>366.03380000000004</v>
      </c>
      <c r="H1099" s="105">
        <v>391.48</v>
      </c>
    </row>
    <row r="1100" spans="1:8">
      <c r="A1100" s="97">
        <v>38483</v>
      </c>
      <c r="B1100" s="97" t="str">
        <f>TEXT($A1100,"mmm")</f>
        <v>May</v>
      </c>
      <c r="C1100" s="99" t="s">
        <v>79</v>
      </c>
      <c r="D1100" s="99" t="s">
        <v>98</v>
      </c>
      <c r="E1100" s="99" t="s">
        <v>96</v>
      </c>
      <c r="F1100" s="99" t="s">
        <v>1179</v>
      </c>
      <c r="G1100" s="100">
        <v>6236.3576000000003</v>
      </c>
      <c r="H1100" s="101">
        <v>7086.77</v>
      </c>
    </row>
    <row r="1101" spans="1:8">
      <c r="A1101" s="102">
        <v>38482</v>
      </c>
      <c r="B1101" s="102" t="str">
        <f>TEXT($A1101,"mmm")</f>
        <v>May</v>
      </c>
      <c r="C1101" s="103" t="s">
        <v>86</v>
      </c>
      <c r="D1101" s="103" t="s">
        <v>95</v>
      </c>
      <c r="E1101" s="103" t="s">
        <v>99</v>
      </c>
      <c r="F1101" s="103" t="s">
        <v>1180</v>
      </c>
      <c r="G1101" s="104">
        <v>2553.4272000000001</v>
      </c>
      <c r="H1101" s="105">
        <v>3755.04</v>
      </c>
    </row>
    <row r="1102" spans="1:8">
      <c r="A1102" s="97">
        <v>38481</v>
      </c>
      <c r="B1102" s="97" t="str">
        <f>TEXT($A1102,"mmm")</f>
        <v>May</v>
      </c>
      <c r="C1102" s="99" t="s">
        <v>79</v>
      </c>
      <c r="D1102" s="99" t="s">
        <v>92</v>
      </c>
      <c r="E1102" s="99" t="s">
        <v>158</v>
      </c>
      <c r="F1102" s="99" t="s">
        <v>765</v>
      </c>
      <c r="G1102" s="100">
        <v>2723.9467999999997</v>
      </c>
      <c r="H1102" s="101">
        <v>4696.46</v>
      </c>
    </row>
    <row r="1103" spans="1:8">
      <c r="A1103" s="102">
        <v>38481</v>
      </c>
      <c r="B1103" s="102" t="str">
        <f>TEXT($A1103,"mmm")</f>
        <v>May</v>
      </c>
      <c r="C1103" s="103" t="s">
        <v>79</v>
      </c>
      <c r="D1103" s="103" t="s">
        <v>80</v>
      </c>
      <c r="E1103" s="103" t="s">
        <v>81</v>
      </c>
      <c r="F1103" s="103" t="s">
        <v>1181</v>
      </c>
      <c r="G1103" s="104">
        <v>1858.3438999999998</v>
      </c>
      <c r="H1103" s="105">
        <v>4321.7299999999996</v>
      </c>
    </row>
    <row r="1104" spans="1:8">
      <c r="A1104" s="97">
        <v>38481</v>
      </c>
      <c r="B1104" s="97" t="str">
        <f>TEXT($A1104,"mmm")</f>
        <v>May</v>
      </c>
      <c r="C1104" s="99" t="s">
        <v>104</v>
      </c>
      <c r="D1104" s="99" t="s">
        <v>87</v>
      </c>
      <c r="E1104" s="99" t="s">
        <v>96</v>
      </c>
      <c r="F1104" s="99" t="s">
        <v>1182</v>
      </c>
      <c r="G1104" s="100">
        <v>1059.3137000000002</v>
      </c>
      <c r="H1104" s="101">
        <v>2863.01</v>
      </c>
    </row>
    <row r="1105" spans="1:8">
      <c r="A1105" s="102">
        <v>38481</v>
      </c>
      <c r="B1105" s="102" t="str">
        <f>TEXT($A1105,"mmm")</f>
        <v>May</v>
      </c>
      <c r="C1105" s="103" t="s">
        <v>79</v>
      </c>
      <c r="D1105" s="103" t="s">
        <v>80</v>
      </c>
      <c r="E1105" s="103" t="s">
        <v>108</v>
      </c>
      <c r="F1105" s="103" t="s">
        <v>1183</v>
      </c>
      <c r="G1105" s="104">
        <v>810.82520000000011</v>
      </c>
      <c r="H1105" s="105">
        <v>1192.3900000000001</v>
      </c>
    </row>
    <row r="1106" spans="1:8">
      <c r="A1106" s="97">
        <v>38480</v>
      </c>
      <c r="B1106" s="97" t="str">
        <f>TEXT($A1106,"mmm")</f>
        <v>May</v>
      </c>
      <c r="C1106" s="99" t="s">
        <v>79</v>
      </c>
      <c r="D1106" s="99" t="s">
        <v>80</v>
      </c>
      <c r="E1106" s="99" t="s">
        <v>94</v>
      </c>
      <c r="F1106" s="99" t="s">
        <v>1184</v>
      </c>
      <c r="G1106" s="100">
        <v>4109.1316000000006</v>
      </c>
      <c r="H1106" s="101">
        <v>9556.1200000000008</v>
      </c>
    </row>
    <row r="1107" spans="1:8">
      <c r="A1107" s="102">
        <v>38480</v>
      </c>
      <c r="B1107" s="102" t="str">
        <f>TEXT($A1107,"mmm")</f>
        <v>May</v>
      </c>
      <c r="C1107" s="103" t="s">
        <v>86</v>
      </c>
      <c r="D1107" s="103" t="s">
        <v>80</v>
      </c>
      <c r="E1107" s="103" t="s">
        <v>83</v>
      </c>
      <c r="F1107" s="103" t="s">
        <v>1185</v>
      </c>
      <c r="G1107" s="104">
        <v>2864.6399000000001</v>
      </c>
      <c r="H1107" s="105">
        <v>7742.27</v>
      </c>
    </row>
    <row r="1108" spans="1:8">
      <c r="A1108" s="97">
        <v>38480</v>
      </c>
      <c r="B1108" s="97" t="str">
        <f>TEXT($A1108,"mmm")</f>
        <v>May</v>
      </c>
      <c r="C1108" s="99" t="s">
        <v>107</v>
      </c>
      <c r="D1108" s="99" t="s">
        <v>127</v>
      </c>
      <c r="E1108" s="99" t="s">
        <v>122</v>
      </c>
      <c r="F1108" s="99" t="s">
        <v>1186</v>
      </c>
      <c r="G1108" s="100">
        <v>814.51800000000003</v>
      </c>
      <c r="H1108" s="101">
        <v>1810.04</v>
      </c>
    </row>
    <row r="1109" spans="1:8">
      <c r="A1109" s="102">
        <v>38479</v>
      </c>
      <c r="B1109" s="102" t="str">
        <f>TEXT($A1109,"mmm")</f>
        <v>May</v>
      </c>
      <c r="C1109" s="103" t="s">
        <v>116</v>
      </c>
      <c r="D1109" s="103" t="s">
        <v>98</v>
      </c>
      <c r="E1109" s="103" t="s">
        <v>108</v>
      </c>
      <c r="F1109" s="103" t="s">
        <v>1187</v>
      </c>
      <c r="G1109" s="104">
        <v>3897.7180000000003</v>
      </c>
      <c r="H1109" s="105">
        <v>7086.76</v>
      </c>
    </row>
    <row r="1110" spans="1:8">
      <c r="A1110" s="97">
        <v>38479</v>
      </c>
      <c r="B1110" s="97" t="str">
        <f>TEXT($A1110,"mmm")</f>
        <v>May</v>
      </c>
      <c r="C1110" s="99" t="s">
        <v>116</v>
      </c>
      <c r="D1110" s="99" t="s">
        <v>114</v>
      </c>
      <c r="E1110" s="99" t="s">
        <v>94</v>
      </c>
      <c r="F1110" s="99" t="s">
        <v>1188</v>
      </c>
      <c r="G1110" s="100">
        <v>2608.9359999999997</v>
      </c>
      <c r="H1110" s="101">
        <v>2964.7</v>
      </c>
    </row>
    <row r="1111" spans="1:8">
      <c r="A1111" s="102">
        <v>38478</v>
      </c>
      <c r="B1111" s="102" t="str">
        <f>TEXT($A1111,"mmm")</f>
        <v>May</v>
      </c>
      <c r="C1111" s="103" t="s">
        <v>79</v>
      </c>
      <c r="D1111" s="103" t="s">
        <v>114</v>
      </c>
      <c r="E1111" s="103" t="s">
        <v>120</v>
      </c>
      <c r="F1111" s="103" t="s">
        <v>628</v>
      </c>
      <c r="G1111" s="104">
        <v>3437.8080000000004</v>
      </c>
      <c r="H1111" s="105">
        <v>3676.8</v>
      </c>
    </row>
    <row r="1112" spans="1:8">
      <c r="A1112" s="97">
        <v>38477</v>
      </c>
      <c r="B1112" s="97" t="str">
        <f>TEXT($A1112,"mmm")</f>
        <v>May</v>
      </c>
      <c r="C1112" s="99" t="s">
        <v>107</v>
      </c>
      <c r="D1112" s="99" t="s">
        <v>114</v>
      </c>
      <c r="E1112" s="99" t="s">
        <v>89</v>
      </c>
      <c r="F1112" s="99" t="s">
        <v>1189</v>
      </c>
      <c r="G1112" s="100">
        <v>5754.9366999999993</v>
      </c>
      <c r="H1112" s="101">
        <v>9754.1299999999992</v>
      </c>
    </row>
    <row r="1113" spans="1:8">
      <c r="A1113" s="102">
        <v>38477</v>
      </c>
      <c r="B1113" s="102" t="str">
        <f>TEXT($A1113,"mmm")</f>
        <v>May</v>
      </c>
      <c r="C1113" s="103" t="s">
        <v>116</v>
      </c>
      <c r="D1113" s="103" t="s">
        <v>95</v>
      </c>
      <c r="E1113" s="103" t="s">
        <v>96</v>
      </c>
      <c r="F1113" s="103" t="s">
        <v>1190</v>
      </c>
      <c r="G1113" s="104">
        <v>742.9754999999999</v>
      </c>
      <c r="H1113" s="105">
        <v>1727.85</v>
      </c>
    </row>
    <row r="1114" spans="1:8">
      <c r="A1114" s="97">
        <v>38476</v>
      </c>
      <c r="B1114" s="97" t="str">
        <f>TEXT($A1114,"mmm")</f>
        <v>May</v>
      </c>
      <c r="C1114" s="99" t="s">
        <v>116</v>
      </c>
      <c r="D1114" s="99" t="s">
        <v>114</v>
      </c>
      <c r="E1114" s="99" t="s">
        <v>96</v>
      </c>
      <c r="F1114" s="99" t="s">
        <v>380</v>
      </c>
      <c r="G1114" s="100">
        <v>6407.7148000000007</v>
      </c>
      <c r="H1114" s="101">
        <v>9423.11</v>
      </c>
    </row>
    <row r="1115" spans="1:8">
      <c r="A1115" s="102">
        <v>38476</v>
      </c>
      <c r="B1115" s="102" t="str">
        <f>TEXT($A1115,"mmm")</f>
        <v>May</v>
      </c>
      <c r="C1115" s="103" t="s">
        <v>104</v>
      </c>
      <c r="D1115" s="103" t="s">
        <v>114</v>
      </c>
      <c r="E1115" s="103" t="s">
        <v>108</v>
      </c>
      <c r="F1115" s="103" t="s">
        <v>1191</v>
      </c>
      <c r="G1115" s="104">
        <v>3987.0540000000005</v>
      </c>
      <c r="H1115" s="105">
        <v>8860.1200000000008</v>
      </c>
    </row>
    <row r="1116" spans="1:8">
      <c r="A1116" s="97">
        <v>38476</v>
      </c>
      <c r="B1116" s="97" t="str">
        <f>TEXT($A1116,"mmm")</f>
        <v>May</v>
      </c>
      <c r="C1116" s="99" t="s">
        <v>79</v>
      </c>
      <c r="D1116" s="99" t="s">
        <v>114</v>
      </c>
      <c r="E1116" s="99" t="s">
        <v>122</v>
      </c>
      <c r="F1116" s="99" t="s">
        <v>1192</v>
      </c>
      <c r="G1116" s="100">
        <v>2880.6572000000001</v>
      </c>
      <c r="H1116" s="101">
        <v>7785.56</v>
      </c>
    </row>
    <row r="1117" spans="1:8">
      <c r="A1117" s="102">
        <v>38476</v>
      </c>
      <c r="B1117" s="102" t="str">
        <f>TEXT($A1117,"mmm")</f>
        <v>May</v>
      </c>
      <c r="C1117" s="103" t="s">
        <v>79</v>
      </c>
      <c r="D1117" s="103" t="s">
        <v>92</v>
      </c>
      <c r="E1117" s="103" t="s">
        <v>89</v>
      </c>
      <c r="F1117" s="103" t="s">
        <v>1193</v>
      </c>
      <c r="G1117" s="104">
        <v>2339.48</v>
      </c>
      <c r="H1117" s="105">
        <v>2658.5</v>
      </c>
    </row>
    <row r="1118" spans="1:8">
      <c r="A1118" s="97">
        <v>38476</v>
      </c>
      <c r="B1118" s="97" t="str">
        <f>TEXT($A1118,"mmm")</f>
        <v>May</v>
      </c>
      <c r="C1118" s="99" t="s">
        <v>79</v>
      </c>
      <c r="D1118" s="99" t="s">
        <v>92</v>
      </c>
      <c r="E1118" s="99" t="s">
        <v>105</v>
      </c>
      <c r="F1118" s="99" t="s">
        <v>1194</v>
      </c>
      <c r="G1118" s="100">
        <v>1018.3470000000001</v>
      </c>
      <c r="H1118" s="101">
        <v>1851.54</v>
      </c>
    </row>
    <row r="1119" spans="1:8">
      <c r="A1119" s="102">
        <v>38476</v>
      </c>
      <c r="B1119" s="102" t="str">
        <f>TEXT($A1119,"mmm")</f>
        <v>May</v>
      </c>
      <c r="C1119" s="103" t="s">
        <v>79</v>
      </c>
      <c r="D1119" s="103" t="s">
        <v>95</v>
      </c>
      <c r="E1119" s="103" t="s">
        <v>129</v>
      </c>
      <c r="F1119" s="103" t="s">
        <v>1195</v>
      </c>
      <c r="G1119" s="104">
        <v>424.6825</v>
      </c>
      <c r="H1119" s="105">
        <v>772.15</v>
      </c>
    </row>
    <row r="1120" spans="1:8">
      <c r="A1120" s="97">
        <v>38475</v>
      </c>
      <c r="B1120" s="97" t="str">
        <f>TEXT($A1120,"mmm")</f>
        <v>May</v>
      </c>
      <c r="C1120" s="99" t="s">
        <v>79</v>
      </c>
      <c r="D1120" s="99" t="s">
        <v>98</v>
      </c>
      <c r="E1120" s="99" t="s">
        <v>81</v>
      </c>
      <c r="F1120" s="99" t="s">
        <v>1196</v>
      </c>
      <c r="G1120" s="100">
        <v>1675.5090000000002</v>
      </c>
      <c r="H1120" s="101">
        <v>3046.38</v>
      </c>
    </row>
    <row r="1121" spans="1:8">
      <c r="A1121" s="102">
        <v>38475</v>
      </c>
      <c r="B1121" s="102" t="str">
        <f>TEXT($A1121,"mmm")</f>
        <v>May</v>
      </c>
      <c r="C1121" s="103" t="s">
        <v>79</v>
      </c>
      <c r="D1121" s="103" t="s">
        <v>101</v>
      </c>
      <c r="E1121" s="103" t="s">
        <v>89</v>
      </c>
      <c r="F1121" s="103" t="s">
        <v>1197</v>
      </c>
      <c r="G1121" s="104">
        <v>531.59</v>
      </c>
      <c r="H1121" s="105">
        <v>781.75</v>
      </c>
    </row>
    <row r="1122" spans="1:8">
      <c r="A1122" s="97">
        <v>38474</v>
      </c>
      <c r="B1122" s="97" t="str">
        <f>TEXT($A1122,"mmm")</f>
        <v>May</v>
      </c>
      <c r="C1122" s="99" t="s">
        <v>79</v>
      </c>
      <c r="D1122" s="99" t="s">
        <v>127</v>
      </c>
      <c r="E1122" s="99" t="s">
        <v>94</v>
      </c>
      <c r="F1122" s="99" t="s">
        <v>1198</v>
      </c>
      <c r="G1122" s="100">
        <v>4384.4174999999996</v>
      </c>
      <c r="H1122" s="101">
        <v>9743.15</v>
      </c>
    </row>
    <row r="1123" spans="1:8">
      <c r="A1123" s="102">
        <v>38474</v>
      </c>
      <c r="B1123" s="102" t="str">
        <f>TEXT($A1123,"mmm")</f>
        <v>May</v>
      </c>
      <c r="C1123" s="103" t="s">
        <v>104</v>
      </c>
      <c r="D1123" s="103" t="s">
        <v>98</v>
      </c>
      <c r="E1123" s="103" t="s">
        <v>81</v>
      </c>
      <c r="F1123" s="103" t="s">
        <v>1199</v>
      </c>
      <c r="G1123" s="104">
        <v>4067.1862000000001</v>
      </c>
      <c r="H1123" s="105">
        <v>7012.39</v>
      </c>
    </row>
    <row r="1124" spans="1:8">
      <c r="A1124" s="97">
        <v>38474</v>
      </c>
      <c r="B1124" s="97" t="str">
        <f>TEXT($A1124,"mmm")</f>
        <v>May</v>
      </c>
      <c r="C1124" s="99" t="s">
        <v>104</v>
      </c>
      <c r="D1124" s="99" t="s">
        <v>98</v>
      </c>
      <c r="E1124" s="99" t="s">
        <v>89</v>
      </c>
      <c r="F1124" s="99" t="s">
        <v>1200</v>
      </c>
      <c r="G1124" s="100">
        <v>1628.9804999999999</v>
      </c>
      <c r="H1124" s="101">
        <v>4402.6499999999996</v>
      </c>
    </row>
    <row r="1125" spans="1:8">
      <c r="A1125" s="102">
        <v>38474</v>
      </c>
      <c r="B1125" s="102" t="str">
        <f>TEXT($A1125,"mmm")</f>
        <v>May</v>
      </c>
      <c r="C1125" s="103" t="s">
        <v>107</v>
      </c>
      <c r="D1125" s="103" t="s">
        <v>101</v>
      </c>
      <c r="E1125" s="103" t="s">
        <v>129</v>
      </c>
      <c r="F1125" s="103" t="s">
        <v>1201</v>
      </c>
      <c r="G1125" s="104">
        <v>1178.4981</v>
      </c>
      <c r="H1125" s="105">
        <v>3185.13</v>
      </c>
    </row>
    <row r="1126" spans="1:8">
      <c r="A1126" s="97">
        <v>38473</v>
      </c>
      <c r="B1126" s="97" t="str">
        <f>TEXT($A1126,"mmm")</f>
        <v>May</v>
      </c>
      <c r="C1126" s="99" t="s">
        <v>86</v>
      </c>
      <c r="D1126" s="99" t="s">
        <v>80</v>
      </c>
      <c r="E1126" s="99" t="s">
        <v>120</v>
      </c>
      <c r="F1126" s="99" t="s">
        <v>1202</v>
      </c>
      <c r="G1126" s="100">
        <v>6820.56</v>
      </c>
      <c r="H1126" s="101">
        <v>9094.08</v>
      </c>
    </row>
    <row r="1127" spans="1:8">
      <c r="A1127" s="102">
        <v>38473</v>
      </c>
      <c r="B1127" s="102" t="str">
        <f>TEXT($A1127,"mmm")</f>
        <v>May</v>
      </c>
      <c r="C1127" s="103" t="s">
        <v>86</v>
      </c>
      <c r="D1127" s="103" t="s">
        <v>92</v>
      </c>
      <c r="E1127" s="103" t="s">
        <v>120</v>
      </c>
      <c r="F1127" s="103" t="s">
        <v>1203</v>
      </c>
      <c r="G1127" s="104">
        <v>3364.0920000000001</v>
      </c>
      <c r="H1127" s="105">
        <v>7475.76</v>
      </c>
    </row>
    <row r="1128" spans="1:8">
      <c r="A1128" s="97">
        <v>38473</v>
      </c>
      <c r="B1128" s="97" t="str">
        <f>TEXT($A1128,"mmm")</f>
        <v>May</v>
      </c>
      <c r="C1128" s="99" t="s">
        <v>86</v>
      </c>
      <c r="D1128" s="99" t="s">
        <v>114</v>
      </c>
      <c r="E1128" s="99" t="s">
        <v>120</v>
      </c>
      <c r="F1128" s="99" t="s">
        <v>1204</v>
      </c>
      <c r="G1128" s="100">
        <v>3877.4780000000005</v>
      </c>
      <c r="H1128" s="101">
        <v>7049.96</v>
      </c>
    </row>
    <row r="1129" spans="1:8">
      <c r="A1129" s="102">
        <v>38473</v>
      </c>
      <c r="B1129" s="102" t="str">
        <f>TEXT($A1129,"mmm")</f>
        <v>May</v>
      </c>
      <c r="C1129" s="103" t="s">
        <v>107</v>
      </c>
      <c r="D1129" s="103" t="s">
        <v>98</v>
      </c>
      <c r="E1129" s="103" t="s">
        <v>96</v>
      </c>
      <c r="F1129" s="103" t="s">
        <v>1205</v>
      </c>
      <c r="G1129" s="104">
        <v>2952.3647999999998</v>
      </c>
      <c r="H1129" s="105">
        <v>3354.96</v>
      </c>
    </row>
    <row r="1130" spans="1:8">
      <c r="A1130" s="97">
        <v>38472</v>
      </c>
      <c r="B1130" s="97" t="str">
        <f>TEXT($A1130,"mmm")</f>
        <v>Apr</v>
      </c>
      <c r="C1130" s="99" t="s">
        <v>107</v>
      </c>
      <c r="D1130" s="99" t="s">
        <v>87</v>
      </c>
      <c r="E1130" s="99" t="s">
        <v>81</v>
      </c>
      <c r="F1130" s="99" t="s">
        <v>1206</v>
      </c>
      <c r="G1130" s="100">
        <v>2401.7329</v>
      </c>
      <c r="H1130" s="101">
        <v>6491.17</v>
      </c>
    </row>
    <row r="1131" spans="1:8">
      <c r="A1131" s="102">
        <v>38472</v>
      </c>
      <c r="B1131" s="102" t="str">
        <f>TEXT($A1131,"mmm")</f>
        <v>Apr</v>
      </c>
      <c r="C1131" s="103" t="s">
        <v>79</v>
      </c>
      <c r="D1131" s="103" t="s">
        <v>114</v>
      </c>
      <c r="E1131" s="103" t="s">
        <v>89</v>
      </c>
      <c r="F1131" s="103" t="s">
        <v>1207</v>
      </c>
      <c r="G1131" s="104">
        <v>5032.5627000000004</v>
      </c>
      <c r="H1131" s="105">
        <v>5382.42</v>
      </c>
    </row>
    <row r="1132" spans="1:8">
      <c r="A1132" s="97">
        <v>38472</v>
      </c>
      <c r="B1132" s="97" t="str">
        <f>TEXT($A1132,"mmm")</f>
        <v>Apr</v>
      </c>
      <c r="C1132" s="99" t="s">
        <v>107</v>
      </c>
      <c r="D1132" s="99" t="s">
        <v>95</v>
      </c>
      <c r="E1132" s="99" t="s">
        <v>96</v>
      </c>
      <c r="F1132" s="99" t="s">
        <v>1208</v>
      </c>
      <c r="G1132" s="100">
        <v>2624.6504</v>
      </c>
      <c r="H1132" s="101">
        <v>4448.5600000000004</v>
      </c>
    </row>
    <row r="1133" spans="1:8">
      <c r="A1133" s="102">
        <v>38471</v>
      </c>
      <c r="B1133" s="102" t="str">
        <f>TEXT($A1133,"mmm")</f>
        <v>Apr</v>
      </c>
      <c r="C1133" s="103" t="s">
        <v>79</v>
      </c>
      <c r="D1133" s="103" t="s">
        <v>114</v>
      </c>
      <c r="E1133" s="103" t="s">
        <v>89</v>
      </c>
      <c r="F1133" s="103" t="s">
        <v>1209</v>
      </c>
      <c r="G1133" s="104">
        <v>2646.4608000000003</v>
      </c>
      <c r="H1133" s="105">
        <v>6154.56</v>
      </c>
    </row>
    <row r="1134" spans="1:8">
      <c r="A1134" s="97">
        <v>38471</v>
      </c>
      <c r="B1134" s="97" t="str">
        <f>TEXT($A1134,"mmm")</f>
        <v>Apr</v>
      </c>
      <c r="C1134" s="99" t="s">
        <v>79</v>
      </c>
      <c r="D1134" s="99" t="s">
        <v>87</v>
      </c>
      <c r="E1134" s="99" t="s">
        <v>94</v>
      </c>
      <c r="F1134" s="99" t="s">
        <v>1210</v>
      </c>
      <c r="G1134" s="100">
        <v>2259.7885000000001</v>
      </c>
      <c r="H1134" s="101">
        <v>3830.15</v>
      </c>
    </row>
    <row r="1135" spans="1:8">
      <c r="A1135" s="102">
        <v>38470</v>
      </c>
      <c r="B1135" s="102" t="str">
        <f>TEXT($A1135,"mmm")</f>
        <v>Apr</v>
      </c>
      <c r="C1135" s="103" t="s">
        <v>79</v>
      </c>
      <c r="D1135" s="103" t="s">
        <v>101</v>
      </c>
      <c r="E1135" s="103" t="s">
        <v>122</v>
      </c>
      <c r="F1135" s="103" t="s">
        <v>1211</v>
      </c>
      <c r="G1135" s="104">
        <v>3493.0533999999998</v>
      </c>
      <c r="H1135" s="105">
        <v>8123.38</v>
      </c>
    </row>
    <row r="1136" spans="1:8">
      <c r="A1136" s="97">
        <v>38470</v>
      </c>
      <c r="B1136" s="97" t="str">
        <f>TEXT($A1136,"mmm")</f>
        <v>Apr</v>
      </c>
      <c r="C1136" s="99" t="s">
        <v>116</v>
      </c>
      <c r="D1136" s="99" t="s">
        <v>92</v>
      </c>
      <c r="E1136" s="99" t="s">
        <v>158</v>
      </c>
      <c r="F1136" s="99" t="s">
        <v>1212</v>
      </c>
      <c r="G1136" s="100">
        <v>6469.4333000000006</v>
      </c>
      <c r="H1136" s="101">
        <v>6919.18</v>
      </c>
    </row>
    <row r="1137" spans="1:8">
      <c r="A1137" s="102">
        <v>38470</v>
      </c>
      <c r="B1137" s="102" t="str">
        <f>TEXT($A1137,"mmm")</f>
        <v>Apr</v>
      </c>
      <c r="C1137" s="103" t="s">
        <v>86</v>
      </c>
      <c r="D1137" s="103" t="s">
        <v>114</v>
      </c>
      <c r="E1137" s="103" t="s">
        <v>129</v>
      </c>
      <c r="F1137" s="103" t="s">
        <v>1213</v>
      </c>
      <c r="G1137" s="104">
        <v>3689.2464</v>
      </c>
      <c r="H1137" s="105">
        <v>6252.96</v>
      </c>
    </row>
    <row r="1138" spans="1:8">
      <c r="A1138" s="97">
        <v>38470</v>
      </c>
      <c r="B1138" s="97" t="str">
        <f>TEXT($A1138,"mmm")</f>
        <v>Apr</v>
      </c>
      <c r="C1138" s="99" t="s">
        <v>104</v>
      </c>
      <c r="D1138" s="99" t="s">
        <v>98</v>
      </c>
      <c r="E1138" s="99" t="s">
        <v>120</v>
      </c>
      <c r="F1138" s="99" t="s">
        <v>1214</v>
      </c>
      <c r="G1138" s="100">
        <v>2659.6845999999996</v>
      </c>
      <c r="H1138" s="101">
        <v>4507.9399999999996</v>
      </c>
    </row>
    <row r="1139" spans="1:8">
      <c r="A1139" s="102">
        <v>38469</v>
      </c>
      <c r="B1139" s="102" t="str">
        <f>TEXT($A1139,"mmm")</f>
        <v>Apr</v>
      </c>
      <c r="C1139" s="103" t="s">
        <v>104</v>
      </c>
      <c r="D1139" s="103" t="s">
        <v>92</v>
      </c>
      <c r="E1139" s="103" t="s">
        <v>120</v>
      </c>
      <c r="F1139" s="103" t="s">
        <v>1215</v>
      </c>
      <c r="G1139" s="104">
        <v>8079.5033000000003</v>
      </c>
      <c r="H1139" s="105">
        <v>8641.18</v>
      </c>
    </row>
    <row r="1140" spans="1:8">
      <c r="A1140" s="97">
        <v>38469</v>
      </c>
      <c r="B1140" s="97" t="str">
        <f>TEXT($A1140,"mmm")</f>
        <v>Apr</v>
      </c>
      <c r="C1140" s="99" t="s">
        <v>116</v>
      </c>
      <c r="D1140" s="99" t="s">
        <v>95</v>
      </c>
      <c r="E1140" s="99" t="s">
        <v>94</v>
      </c>
      <c r="F1140" s="99" t="s">
        <v>1216</v>
      </c>
      <c r="G1140" s="100">
        <v>3027.87</v>
      </c>
      <c r="H1140" s="101">
        <v>4452.75</v>
      </c>
    </row>
    <row r="1141" spans="1:8">
      <c r="A1141" s="102">
        <v>38469</v>
      </c>
      <c r="B1141" s="102" t="str">
        <f>TEXT($A1141,"mmm")</f>
        <v>Apr</v>
      </c>
      <c r="C1141" s="103" t="s">
        <v>86</v>
      </c>
      <c r="D1141" s="103" t="s">
        <v>98</v>
      </c>
      <c r="E1141" s="103" t="s">
        <v>108</v>
      </c>
      <c r="F1141" s="103" t="s">
        <v>1217</v>
      </c>
      <c r="G1141" s="104">
        <v>1942.1775000000002</v>
      </c>
      <c r="H1141" s="105">
        <v>2589.5700000000002</v>
      </c>
    </row>
    <row r="1142" spans="1:8">
      <c r="A1142" s="97">
        <v>38469</v>
      </c>
      <c r="B1142" s="97" t="str">
        <f>TEXT($A1142,"mmm")</f>
        <v>Apr</v>
      </c>
      <c r="C1142" s="99" t="s">
        <v>107</v>
      </c>
      <c r="D1142" s="99" t="s">
        <v>114</v>
      </c>
      <c r="E1142" s="99" t="s">
        <v>105</v>
      </c>
      <c r="F1142" s="99" t="s">
        <v>1218</v>
      </c>
      <c r="G1142" s="100">
        <v>2387.4477000000002</v>
      </c>
      <c r="H1142" s="101">
        <v>2553.42</v>
      </c>
    </row>
    <row r="1143" spans="1:8">
      <c r="A1143" s="102">
        <v>38469</v>
      </c>
      <c r="B1143" s="102" t="str">
        <f>TEXT($A1143,"mmm")</f>
        <v>Apr</v>
      </c>
      <c r="C1143" s="103" t="s">
        <v>116</v>
      </c>
      <c r="D1143" s="103" t="s">
        <v>127</v>
      </c>
      <c r="E1143" s="103" t="s">
        <v>81</v>
      </c>
      <c r="F1143" s="103" t="s">
        <v>1219</v>
      </c>
      <c r="G1143" s="104">
        <v>73.771500000000003</v>
      </c>
      <c r="H1143" s="105">
        <v>134.13</v>
      </c>
    </row>
    <row r="1144" spans="1:8">
      <c r="A1144" s="97">
        <v>38468</v>
      </c>
      <c r="B1144" s="97" t="str">
        <f>TEXT($A1144,"mmm")</f>
        <v>Apr</v>
      </c>
      <c r="C1144" s="99" t="s">
        <v>104</v>
      </c>
      <c r="D1144" s="99" t="s">
        <v>95</v>
      </c>
      <c r="E1144" s="99" t="s">
        <v>144</v>
      </c>
      <c r="F1144" s="99" t="s">
        <v>1220</v>
      </c>
      <c r="G1144" s="100">
        <v>1136.673</v>
      </c>
      <c r="H1144" s="101">
        <v>2525.94</v>
      </c>
    </row>
    <row r="1145" spans="1:8">
      <c r="A1145" s="102">
        <v>38468</v>
      </c>
      <c r="B1145" s="102" t="str">
        <f>TEXT($A1145,"mmm")</f>
        <v>Apr</v>
      </c>
      <c r="C1145" s="103" t="s">
        <v>79</v>
      </c>
      <c r="D1145" s="103" t="s">
        <v>87</v>
      </c>
      <c r="E1145" s="103" t="s">
        <v>89</v>
      </c>
      <c r="F1145" s="103" t="s">
        <v>802</v>
      </c>
      <c r="G1145" s="104">
        <v>1101.8475000000001</v>
      </c>
      <c r="H1145" s="105">
        <v>1469.13</v>
      </c>
    </row>
    <row r="1146" spans="1:8">
      <c r="A1146" s="97">
        <v>38467</v>
      </c>
      <c r="B1146" s="97" t="str">
        <f>TEXT($A1146,"mmm")</f>
        <v>Apr</v>
      </c>
      <c r="C1146" s="99" t="s">
        <v>107</v>
      </c>
      <c r="D1146" s="99" t="s">
        <v>127</v>
      </c>
      <c r="E1146" s="99" t="s">
        <v>105</v>
      </c>
      <c r="F1146" s="99" t="s">
        <v>1221</v>
      </c>
      <c r="G1146" s="100">
        <v>8208.3407999999999</v>
      </c>
      <c r="H1146" s="101">
        <v>9327.66</v>
      </c>
    </row>
    <row r="1147" spans="1:8">
      <c r="A1147" s="102">
        <v>38467</v>
      </c>
      <c r="B1147" s="102" t="str">
        <f>TEXT($A1147,"mmm")</f>
        <v>Apr</v>
      </c>
      <c r="C1147" s="103" t="s">
        <v>107</v>
      </c>
      <c r="D1147" s="103" t="s">
        <v>114</v>
      </c>
      <c r="E1147" s="103" t="s">
        <v>120</v>
      </c>
      <c r="F1147" s="103" t="s">
        <v>1222</v>
      </c>
      <c r="G1147" s="104">
        <v>4662.3044</v>
      </c>
      <c r="H1147" s="105">
        <v>6856.33</v>
      </c>
    </row>
    <row r="1148" spans="1:8">
      <c r="A1148" s="97">
        <v>38467</v>
      </c>
      <c r="B1148" s="97" t="str">
        <f>TEXT($A1148,"mmm")</f>
        <v>Apr</v>
      </c>
      <c r="C1148" s="99" t="s">
        <v>79</v>
      </c>
      <c r="D1148" s="99" t="s">
        <v>95</v>
      </c>
      <c r="E1148" s="99" t="s">
        <v>99</v>
      </c>
      <c r="F1148" s="99" t="s">
        <v>1223</v>
      </c>
      <c r="G1148" s="100">
        <v>3392.0645000000004</v>
      </c>
      <c r="H1148" s="101">
        <v>6167.39</v>
      </c>
    </row>
    <row r="1149" spans="1:8">
      <c r="A1149" s="102">
        <v>38467</v>
      </c>
      <c r="B1149" s="102" t="str">
        <f>TEXT($A1149,"mmm")</f>
        <v>Apr</v>
      </c>
      <c r="C1149" s="103" t="s">
        <v>86</v>
      </c>
      <c r="D1149" s="103" t="s">
        <v>98</v>
      </c>
      <c r="E1149" s="103" t="s">
        <v>81</v>
      </c>
      <c r="F1149" s="103" t="s">
        <v>1224</v>
      </c>
      <c r="G1149" s="104">
        <v>3292.3628000000003</v>
      </c>
      <c r="H1149" s="105">
        <v>4841.71</v>
      </c>
    </row>
    <row r="1150" spans="1:8">
      <c r="A1150" s="97">
        <v>38467</v>
      </c>
      <c r="B1150" s="97" t="str">
        <f>TEXT($A1150,"mmm")</f>
        <v>Apr</v>
      </c>
      <c r="C1150" s="99" t="s">
        <v>79</v>
      </c>
      <c r="D1150" s="99" t="s">
        <v>127</v>
      </c>
      <c r="E1150" s="99" t="s">
        <v>94</v>
      </c>
      <c r="F1150" s="99" t="s">
        <v>1184</v>
      </c>
      <c r="G1150" s="100">
        <v>2700.3072000000002</v>
      </c>
      <c r="H1150" s="101">
        <v>3971.04</v>
      </c>
    </row>
    <row r="1151" spans="1:8">
      <c r="A1151" s="102">
        <v>38466</v>
      </c>
      <c r="B1151" s="102" t="str">
        <f>TEXT($A1151,"mmm")</f>
        <v>Apr</v>
      </c>
      <c r="C1151" s="103" t="s">
        <v>86</v>
      </c>
      <c r="D1151" s="103" t="s">
        <v>114</v>
      </c>
      <c r="E1151" s="103" t="s">
        <v>96</v>
      </c>
      <c r="F1151" s="103" t="s">
        <v>1225</v>
      </c>
      <c r="G1151" s="104">
        <v>2237.2563999999998</v>
      </c>
      <c r="H1151" s="105">
        <v>3791.96</v>
      </c>
    </row>
    <row r="1152" spans="1:8">
      <c r="A1152" s="97">
        <v>38466</v>
      </c>
      <c r="B1152" s="97" t="str">
        <f>TEXT($A1152,"mmm")</f>
        <v>Apr</v>
      </c>
      <c r="C1152" s="99" t="s">
        <v>86</v>
      </c>
      <c r="D1152" s="99" t="s">
        <v>95</v>
      </c>
      <c r="E1152" s="99" t="s">
        <v>96</v>
      </c>
      <c r="F1152" s="99" t="s">
        <v>1226</v>
      </c>
      <c r="G1152" s="100">
        <v>2100.7988</v>
      </c>
      <c r="H1152" s="101">
        <v>3089.41</v>
      </c>
    </row>
    <row r="1153" spans="1:8">
      <c r="A1153" s="102">
        <v>38465</v>
      </c>
      <c r="B1153" s="102" t="str">
        <f>TEXT($A1153,"mmm")</f>
        <v>Apr</v>
      </c>
      <c r="C1153" s="103" t="s">
        <v>79</v>
      </c>
      <c r="D1153" s="103" t="s">
        <v>127</v>
      </c>
      <c r="E1153" s="103" t="s">
        <v>94</v>
      </c>
      <c r="F1153" s="103" t="s">
        <v>1227</v>
      </c>
      <c r="G1153" s="104">
        <v>3671.8541</v>
      </c>
      <c r="H1153" s="105">
        <v>9923.93</v>
      </c>
    </row>
    <row r="1154" spans="1:8">
      <c r="A1154" s="97">
        <v>38465</v>
      </c>
      <c r="B1154" s="97" t="str">
        <f>TEXT($A1154,"mmm")</f>
        <v>Apr</v>
      </c>
      <c r="C1154" s="99" t="s">
        <v>79</v>
      </c>
      <c r="D1154" s="99" t="s">
        <v>114</v>
      </c>
      <c r="E1154" s="99" t="s">
        <v>83</v>
      </c>
      <c r="F1154" s="99" t="s">
        <v>1228</v>
      </c>
      <c r="G1154" s="100">
        <v>406.70850000000007</v>
      </c>
      <c r="H1154" s="101">
        <v>739.47</v>
      </c>
    </row>
    <row r="1155" spans="1:8">
      <c r="A1155" s="102">
        <v>38465</v>
      </c>
      <c r="B1155" s="102" t="str">
        <f>TEXT($A1155,"mmm")</f>
        <v>Apr</v>
      </c>
      <c r="C1155" s="103" t="s">
        <v>107</v>
      </c>
      <c r="D1155" s="103" t="s">
        <v>87</v>
      </c>
      <c r="E1155" s="103" t="s">
        <v>94</v>
      </c>
      <c r="F1155" s="103" t="s">
        <v>1229</v>
      </c>
      <c r="G1155" s="104">
        <v>207.46800000000002</v>
      </c>
      <c r="H1155" s="105">
        <v>305.10000000000002</v>
      </c>
    </row>
    <row r="1156" spans="1:8">
      <c r="A1156" s="97">
        <v>38464</v>
      </c>
      <c r="B1156" s="97" t="str">
        <f>TEXT($A1156,"mmm")</f>
        <v>Apr</v>
      </c>
      <c r="C1156" s="99" t="s">
        <v>79</v>
      </c>
      <c r="D1156" s="99" t="s">
        <v>98</v>
      </c>
      <c r="E1156" s="99" t="s">
        <v>89</v>
      </c>
      <c r="F1156" s="99" t="s">
        <v>1230</v>
      </c>
      <c r="G1156" s="100">
        <v>3210.6594999999998</v>
      </c>
      <c r="H1156" s="101">
        <v>7466.65</v>
      </c>
    </row>
    <row r="1157" spans="1:8">
      <c r="A1157" s="102">
        <v>38464</v>
      </c>
      <c r="B1157" s="102" t="str">
        <f>TEXT($A1157,"mmm")</f>
        <v>Apr</v>
      </c>
      <c r="C1157" s="103" t="s">
        <v>79</v>
      </c>
      <c r="D1157" s="103" t="s">
        <v>101</v>
      </c>
      <c r="E1157" s="103" t="s">
        <v>99</v>
      </c>
      <c r="F1157" s="103" t="s">
        <v>1231</v>
      </c>
      <c r="G1157" s="104">
        <v>275.69920000000002</v>
      </c>
      <c r="H1157" s="105">
        <v>405.44</v>
      </c>
    </row>
    <row r="1158" spans="1:8">
      <c r="A1158" s="97">
        <v>38463</v>
      </c>
      <c r="B1158" s="97" t="str">
        <f>TEXT($A1158,"mmm")</f>
        <v>Apr</v>
      </c>
      <c r="C1158" s="99" t="s">
        <v>107</v>
      </c>
      <c r="D1158" s="99" t="s">
        <v>127</v>
      </c>
      <c r="E1158" s="99" t="s">
        <v>129</v>
      </c>
      <c r="F1158" s="99" t="s">
        <v>1232</v>
      </c>
      <c r="G1158" s="100">
        <v>2494.6263999999996</v>
      </c>
      <c r="H1158" s="101">
        <v>4301.08</v>
      </c>
    </row>
    <row r="1159" spans="1:8">
      <c r="A1159" s="102">
        <v>38463</v>
      </c>
      <c r="B1159" s="102" t="str">
        <f>TEXT($A1159,"mmm")</f>
        <v>Apr</v>
      </c>
      <c r="C1159" s="103" t="s">
        <v>116</v>
      </c>
      <c r="D1159" s="103" t="s">
        <v>87</v>
      </c>
      <c r="E1159" s="103" t="s">
        <v>105</v>
      </c>
      <c r="F1159" s="103" t="s">
        <v>1233</v>
      </c>
      <c r="G1159" s="104">
        <v>731.8193</v>
      </c>
      <c r="H1159" s="105">
        <v>1977.89</v>
      </c>
    </row>
    <row r="1160" spans="1:8">
      <c r="A1160" s="97">
        <v>38462</v>
      </c>
      <c r="B1160" s="97" t="str">
        <f>TEXT($A1160,"mmm")</f>
        <v>Apr</v>
      </c>
      <c r="C1160" s="99" t="s">
        <v>116</v>
      </c>
      <c r="D1160" s="99" t="s">
        <v>101</v>
      </c>
      <c r="E1160" s="99" t="s">
        <v>93</v>
      </c>
      <c r="F1160" s="99" t="s">
        <v>1234</v>
      </c>
      <c r="G1160" s="100">
        <v>3970.2932000000001</v>
      </c>
      <c r="H1160" s="101">
        <v>9233.24</v>
      </c>
    </row>
    <row r="1161" spans="1:8">
      <c r="A1161" s="102">
        <v>38462</v>
      </c>
      <c r="B1161" s="102" t="str">
        <f>TEXT($A1161,"mmm")</f>
        <v>Apr</v>
      </c>
      <c r="C1161" s="103" t="s">
        <v>86</v>
      </c>
      <c r="D1161" s="103" t="s">
        <v>98</v>
      </c>
      <c r="E1161" s="103" t="s">
        <v>96</v>
      </c>
      <c r="F1161" s="103" t="s">
        <v>445</v>
      </c>
      <c r="G1161" s="104">
        <v>5392.3649999999998</v>
      </c>
      <c r="H1161" s="105">
        <v>7189.82</v>
      </c>
    </row>
    <row r="1162" spans="1:8">
      <c r="A1162" s="97">
        <v>38462</v>
      </c>
      <c r="B1162" s="97" t="str">
        <f>TEXT($A1162,"mmm")</f>
        <v>Apr</v>
      </c>
      <c r="C1162" s="99" t="s">
        <v>116</v>
      </c>
      <c r="D1162" s="99" t="s">
        <v>95</v>
      </c>
      <c r="E1162" s="99" t="s">
        <v>93</v>
      </c>
      <c r="F1162" s="99" t="s">
        <v>1235</v>
      </c>
      <c r="G1162" s="100">
        <v>4501.7550000000001</v>
      </c>
      <c r="H1162" s="101">
        <v>6002.34</v>
      </c>
    </row>
    <row r="1163" spans="1:8">
      <c r="A1163" s="102">
        <v>38462</v>
      </c>
      <c r="B1163" s="102" t="str">
        <f>TEXT($A1163,"mmm")</f>
        <v>Apr</v>
      </c>
      <c r="C1163" s="103" t="s">
        <v>79</v>
      </c>
      <c r="D1163" s="103" t="s">
        <v>114</v>
      </c>
      <c r="E1163" s="103" t="s">
        <v>108</v>
      </c>
      <c r="F1163" s="103" t="s">
        <v>1132</v>
      </c>
      <c r="G1163" s="104">
        <v>640.66329999999994</v>
      </c>
      <c r="H1163" s="105">
        <v>1085.8699999999999</v>
      </c>
    </row>
    <row r="1164" spans="1:8">
      <c r="A1164" s="97">
        <v>38461</v>
      </c>
      <c r="B1164" s="97" t="str">
        <f>TEXT($A1164,"mmm")</f>
        <v>Apr</v>
      </c>
      <c r="C1164" s="99" t="s">
        <v>79</v>
      </c>
      <c r="D1164" s="99" t="s">
        <v>80</v>
      </c>
      <c r="E1164" s="99" t="s">
        <v>99</v>
      </c>
      <c r="F1164" s="99" t="s">
        <v>919</v>
      </c>
      <c r="G1164" s="100">
        <v>231.82599999999996</v>
      </c>
      <c r="H1164" s="101">
        <v>399.7</v>
      </c>
    </row>
    <row r="1165" spans="1:8">
      <c r="A1165" s="102">
        <v>38460</v>
      </c>
      <c r="B1165" s="102" t="str">
        <f>TEXT($A1165,"mmm")</f>
        <v>Apr</v>
      </c>
      <c r="C1165" s="103" t="s">
        <v>104</v>
      </c>
      <c r="D1165" s="103" t="s">
        <v>127</v>
      </c>
      <c r="E1165" s="103" t="s">
        <v>120</v>
      </c>
      <c r="F1165" s="103" t="s">
        <v>1236</v>
      </c>
      <c r="G1165" s="104">
        <v>45.006500000000003</v>
      </c>
      <c r="H1165" s="105">
        <v>81.83</v>
      </c>
    </row>
    <row r="1166" spans="1:8">
      <c r="A1166" s="97">
        <v>38459</v>
      </c>
      <c r="B1166" s="97" t="str">
        <f>TEXT($A1166,"mmm")</f>
        <v>Apr</v>
      </c>
      <c r="C1166" s="99" t="s">
        <v>79</v>
      </c>
      <c r="D1166" s="99" t="s">
        <v>92</v>
      </c>
      <c r="E1166" s="99" t="s">
        <v>81</v>
      </c>
      <c r="F1166" s="99" t="s">
        <v>1237</v>
      </c>
      <c r="G1166" s="100">
        <v>4714.6309999999994</v>
      </c>
      <c r="H1166" s="101">
        <v>7990.9</v>
      </c>
    </row>
    <row r="1167" spans="1:8">
      <c r="A1167" s="102">
        <v>38459</v>
      </c>
      <c r="B1167" s="102" t="str">
        <f>TEXT($A1167,"mmm")</f>
        <v>Apr</v>
      </c>
      <c r="C1167" s="103" t="s">
        <v>104</v>
      </c>
      <c r="D1167" s="103" t="s">
        <v>95</v>
      </c>
      <c r="E1167" s="103" t="s">
        <v>122</v>
      </c>
      <c r="F1167" s="103" t="s">
        <v>1238</v>
      </c>
      <c r="G1167" s="104">
        <v>1486.2760000000001</v>
      </c>
      <c r="H1167" s="105">
        <v>1589.6</v>
      </c>
    </row>
    <row r="1168" spans="1:8">
      <c r="A1168" s="97">
        <v>38458</v>
      </c>
      <c r="B1168" s="97" t="str">
        <f>TEXT($A1168,"mmm")</f>
        <v>Apr</v>
      </c>
      <c r="C1168" s="99" t="s">
        <v>116</v>
      </c>
      <c r="D1168" s="99" t="s">
        <v>80</v>
      </c>
      <c r="E1168" s="99" t="s">
        <v>83</v>
      </c>
      <c r="F1168" s="99" t="s">
        <v>1239</v>
      </c>
      <c r="G1168" s="100">
        <v>5199.7574999999997</v>
      </c>
      <c r="H1168" s="101">
        <v>6933.01</v>
      </c>
    </row>
    <row r="1169" spans="1:8">
      <c r="A1169" s="102">
        <v>38457</v>
      </c>
      <c r="B1169" s="102" t="str">
        <f>TEXT($A1169,"mmm")</f>
        <v>Apr</v>
      </c>
      <c r="C1169" s="103" t="s">
        <v>107</v>
      </c>
      <c r="D1169" s="103" t="s">
        <v>95</v>
      </c>
      <c r="E1169" s="103" t="s">
        <v>93</v>
      </c>
      <c r="F1169" s="103" t="s">
        <v>1240</v>
      </c>
      <c r="G1169" s="104">
        <v>4387.3697999999995</v>
      </c>
      <c r="H1169" s="105">
        <v>7436.22</v>
      </c>
    </row>
    <row r="1170" spans="1:8">
      <c r="A1170" s="97">
        <v>38457</v>
      </c>
      <c r="B1170" s="97" t="str">
        <f>TEXT($A1170,"mmm")</f>
        <v>Apr</v>
      </c>
      <c r="C1170" s="99" t="s">
        <v>86</v>
      </c>
      <c r="D1170" s="99" t="s">
        <v>80</v>
      </c>
      <c r="E1170" s="99" t="s">
        <v>96</v>
      </c>
      <c r="F1170" s="99" t="s">
        <v>1148</v>
      </c>
      <c r="G1170" s="100">
        <v>1336.2525000000001</v>
      </c>
      <c r="H1170" s="101">
        <v>2969.45</v>
      </c>
    </row>
    <row r="1171" spans="1:8">
      <c r="A1171" s="102">
        <v>38457</v>
      </c>
      <c r="B1171" s="102" t="str">
        <f>TEXT($A1171,"mmm")</f>
        <v>Apr</v>
      </c>
      <c r="C1171" s="103" t="s">
        <v>79</v>
      </c>
      <c r="D1171" s="103" t="s">
        <v>95</v>
      </c>
      <c r="E1171" s="103" t="s">
        <v>105</v>
      </c>
      <c r="F1171" s="103" t="s">
        <v>1241</v>
      </c>
      <c r="G1171" s="104">
        <v>2393.1864</v>
      </c>
      <c r="H1171" s="105">
        <v>2719.53</v>
      </c>
    </row>
    <row r="1172" spans="1:8">
      <c r="A1172" s="97">
        <v>38456</v>
      </c>
      <c r="B1172" s="97" t="str">
        <f>TEXT($A1172,"mmm")</f>
        <v>Apr</v>
      </c>
      <c r="C1172" s="99" t="s">
        <v>79</v>
      </c>
      <c r="D1172" s="99" t="s">
        <v>114</v>
      </c>
      <c r="E1172" s="99" t="s">
        <v>105</v>
      </c>
      <c r="F1172" s="99" t="s">
        <v>1242</v>
      </c>
      <c r="G1172" s="100">
        <v>7994.1377999999995</v>
      </c>
      <c r="H1172" s="101">
        <v>8549.8799999999992</v>
      </c>
    </row>
    <row r="1173" spans="1:8">
      <c r="A1173" s="102">
        <v>38456</v>
      </c>
      <c r="B1173" s="102" t="str">
        <f>TEXT($A1173,"mmm")</f>
        <v>Apr</v>
      </c>
      <c r="C1173" s="103" t="s">
        <v>107</v>
      </c>
      <c r="D1173" s="103" t="s">
        <v>87</v>
      </c>
      <c r="E1173" s="103" t="s">
        <v>108</v>
      </c>
      <c r="F1173" s="103" t="s">
        <v>1243</v>
      </c>
      <c r="G1173" s="104">
        <v>2823.1469999999999</v>
      </c>
      <c r="H1173" s="105">
        <v>6273.66</v>
      </c>
    </row>
    <row r="1174" spans="1:8">
      <c r="A1174" s="97">
        <v>38456</v>
      </c>
      <c r="B1174" s="97" t="str">
        <f>TEXT($A1174,"mmm")</f>
        <v>Apr</v>
      </c>
      <c r="C1174" s="99" t="s">
        <v>107</v>
      </c>
      <c r="D1174" s="99" t="s">
        <v>114</v>
      </c>
      <c r="E1174" s="99" t="s">
        <v>105</v>
      </c>
      <c r="F1174" s="99" t="s">
        <v>1244</v>
      </c>
      <c r="G1174" s="100">
        <v>447.3485</v>
      </c>
      <c r="H1174" s="101">
        <v>1209.05</v>
      </c>
    </row>
    <row r="1175" spans="1:8">
      <c r="A1175" s="102">
        <v>38454</v>
      </c>
      <c r="B1175" s="102" t="str">
        <f>TEXT($A1175,"mmm")</f>
        <v>Apr</v>
      </c>
      <c r="C1175" s="103" t="s">
        <v>86</v>
      </c>
      <c r="D1175" s="103" t="s">
        <v>127</v>
      </c>
      <c r="E1175" s="103" t="s">
        <v>108</v>
      </c>
      <c r="F1175" s="103" t="s">
        <v>1245</v>
      </c>
      <c r="G1175" s="104">
        <v>4392.8720000000003</v>
      </c>
      <c r="H1175" s="105">
        <v>7987.04</v>
      </c>
    </row>
    <row r="1176" spans="1:8">
      <c r="A1176" s="97">
        <v>38454</v>
      </c>
      <c r="B1176" s="97" t="str">
        <f>TEXT($A1176,"mmm")</f>
        <v>Apr</v>
      </c>
      <c r="C1176" s="99" t="s">
        <v>104</v>
      </c>
      <c r="D1176" s="99" t="s">
        <v>92</v>
      </c>
      <c r="E1176" s="99" t="s">
        <v>122</v>
      </c>
      <c r="F1176" s="99" t="s">
        <v>1246</v>
      </c>
      <c r="G1176" s="100">
        <v>7061.4285500000005</v>
      </c>
      <c r="H1176" s="101">
        <v>7552.33</v>
      </c>
    </row>
    <row r="1177" spans="1:8">
      <c r="A1177" s="102">
        <v>38454</v>
      </c>
      <c r="B1177" s="102" t="str">
        <f>TEXT($A1177,"mmm")</f>
        <v>Apr</v>
      </c>
      <c r="C1177" s="103" t="s">
        <v>79</v>
      </c>
      <c r="D1177" s="103" t="s">
        <v>80</v>
      </c>
      <c r="E1177" s="103" t="s">
        <v>94</v>
      </c>
      <c r="F1177" s="103" t="s">
        <v>1247</v>
      </c>
      <c r="G1177" s="104">
        <v>4296.4137999999994</v>
      </c>
      <c r="H1177" s="105">
        <v>7407.61</v>
      </c>
    </row>
    <row r="1178" spans="1:8">
      <c r="A1178" s="97">
        <v>38454</v>
      </c>
      <c r="B1178" s="97" t="str">
        <f>TEXT($A1178,"mmm")</f>
        <v>Apr</v>
      </c>
      <c r="C1178" s="99" t="s">
        <v>104</v>
      </c>
      <c r="D1178" s="99" t="s">
        <v>92</v>
      </c>
      <c r="E1178" s="99" t="s">
        <v>83</v>
      </c>
      <c r="F1178" s="99" t="s">
        <v>1248</v>
      </c>
      <c r="G1178" s="100">
        <v>3453.9695999999999</v>
      </c>
      <c r="H1178" s="101">
        <v>5955.12</v>
      </c>
    </row>
    <row r="1179" spans="1:8">
      <c r="A1179" s="102">
        <v>38454</v>
      </c>
      <c r="B1179" s="102" t="str">
        <f>TEXT($A1179,"mmm")</f>
        <v>Apr</v>
      </c>
      <c r="C1179" s="103" t="s">
        <v>79</v>
      </c>
      <c r="D1179" s="103" t="s">
        <v>92</v>
      </c>
      <c r="E1179" s="103" t="s">
        <v>120</v>
      </c>
      <c r="F1179" s="103" t="s">
        <v>1249</v>
      </c>
      <c r="G1179" s="104">
        <v>2522.2896999999998</v>
      </c>
      <c r="H1179" s="105">
        <v>5865.79</v>
      </c>
    </row>
    <row r="1180" spans="1:8">
      <c r="A1180" s="97">
        <v>38453</v>
      </c>
      <c r="B1180" s="97" t="str">
        <f>TEXT($A1180,"mmm")</f>
        <v>Apr</v>
      </c>
      <c r="C1180" s="99" t="s">
        <v>86</v>
      </c>
      <c r="D1180" s="99" t="s">
        <v>114</v>
      </c>
      <c r="E1180" s="99" t="s">
        <v>93</v>
      </c>
      <c r="F1180" s="99" t="s">
        <v>1250</v>
      </c>
      <c r="G1180" s="100">
        <v>3296.172</v>
      </c>
      <c r="H1180" s="101">
        <v>3745.65</v>
      </c>
    </row>
    <row r="1181" spans="1:8">
      <c r="A1181" s="102">
        <v>38453</v>
      </c>
      <c r="B1181" s="102" t="str">
        <f>TEXT($A1181,"mmm")</f>
        <v>Apr</v>
      </c>
      <c r="C1181" s="103" t="s">
        <v>86</v>
      </c>
      <c r="D1181" s="103" t="s">
        <v>95</v>
      </c>
      <c r="E1181" s="103" t="s">
        <v>108</v>
      </c>
      <c r="F1181" s="103" t="s">
        <v>1251</v>
      </c>
      <c r="G1181" s="104">
        <v>139.9451</v>
      </c>
      <c r="H1181" s="105">
        <v>378.23</v>
      </c>
    </row>
    <row r="1182" spans="1:8">
      <c r="A1182" s="97">
        <v>38452</v>
      </c>
      <c r="B1182" s="97" t="str">
        <f>TEXT($A1182,"mmm")</f>
        <v>Apr</v>
      </c>
      <c r="C1182" s="99" t="s">
        <v>104</v>
      </c>
      <c r="D1182" s="99" t="s">
        <v>92</v>
      </c>
      <c r="E1182" s="99" t="s">
        <v>99</v>
      </c>
      <c r="F1182" s="99" t="s">
        <v>1252</v>
      </c>
      <c r="G1182" s="100">
        <v>2771.3715000000002</v>
      </c>
      <c r="H1182" s="101">
        <v>6445.05</v>
      </c>
    </row>
    <row r="1183" spans="1:8">
      <c r="A1183" s="102">
        <v>38452</v>
      </c>
      <c r="B1183" s="102" t="str">
        <f>TEXT($A1183,"mmm")</f>
        <v>Apr</v>
      </c>
      <c r="C1183" s="103" t="s">
        <v>116</v>
      </c>
      <c r="D1183" s="103" t="s">
        <v>92</v>
      </c>
      <c r="E1183" s="103" t="s">
        <v>120</v>
      </c>
      <c r="F1183" s="103" t="s">
        <v>1253</v>
      </c>
      <c r="G1183" s="104">
        <v>2059.2946999999999</v>
      </c>
      <c r="H1183" s="105">
        <v>3490.33</v>
      </c>
    </row>
    <row r="1184" spans="1:8">
      <c r="A1184" s="97">
        <v>38451</v>
      </c>
      <c r="B1184" s="97" t="str">
        <f>TEXT($A1184,"mmm")</f>
        <v>Apr</v>
      </c>
      <c r="C1184" s="99" t="s">
        <v>107</v>
      </c>
      <c r="D1184" s="99" t="s">
        <v>80</v>
      </c>
      <c r="E1184" s="99" t="s">
        <v>108</v>
      </c>
      <c r="F1184" s="99" t="s">
        <v>1254</v>
      </c>
      <c r="G1184" s="100">
        <v>4048.5840000000003</v>
      </c>
      <c r="H1184" s="101">
        <v>5953.8</v>
      </c>
    </row>
    <row r="1185" spans="1:8">
      <c r="A1185" s="102">
        <v>38450</v>
      </c>
      <c r="B1185" s="102" t="str">
        <f>TEXT($A1185,"mmm")</f>
        <v>Apr</v>
      </c>
      <c r="C1185" s="103" t="s">
        <v>86</v>
      </c>
      <c r="D1185" s="103" t="s">
        <v>80</v>
      </c>
      <c r="E1185" s="103" t="s">
        <v>89</v>
      </c>
      <c r="F1185" s="103" t="s">
        <v>1017</v>
      </c>
      <c r="G1185" s="104">
        <v>3466.2780000000002</v>
      </c>
      <c r="H1185" s="105">
        <v>7702.84</v>
      </c>
    </row>
    <row r="1186" spans="1:8">
      <c r="A1186" s="97">
        <v>38450</v>
      </c>
      <c r="B1186" s="97" t="str">
        <f>TEXT($A1186,"mmm")</f>
        <v>Apr</v>
      </c>
      <c r="C1186" s="99" t="s">
        <v>79</v>
      </c>
      <c r="D1186" s="99" t="s">
        <v>80</v>
      </c>
      <c r="E1186" s="99" t="s">
        <v>158</v>
      </c>
      <c r="F1186" s="99" t="s">
        <v>1255</v>
      </c>
      <c r="G1186" s="100">
        <v>311.57249999999999</v>
      </c>
      <c r="H1186" s="101">
        <v>415.43</v>
      </c>
    </row>
    <row r="1187" spans="1:8">
      <c r="A1187" s="102">
        <v>38449</v>
      </c>
      <c r="B1187" s="102" t="str">
        <f>TEXT($A1187,"mmm")</f>
        <v>Apr</v>
      </c>
      <c r="C1187" s="103" t="s">
        <v>107</v>
      </c>
      <c r="D1187" s="103" t="s">
        <v>92</v>
      </c>
      <c r="E1187" s="103" t="s">
        <v>105</v>
      </c>
      <c r="F1187" s="103" t="s">
        <v>1256</v>
      </c>
      <c r="G1187" s="104">
        <v>5761.5821999999998</v>
      </c>
      <c r="H1187" s="105">
        <v>6162.12</v>
      </c>
    </row>
    <row r="1188" spans="1:8">
      <c r="A1188" s="97">
        <v>38449</v>
      </c>
      <c r="B1188" s="97" t="str">
        <f>TEXT($A1188,"mmm")</f>
        <v>Apr</v>
      </c>
      <c r="C1188" s="99" t="s">
        <v>107</v>
      </c>
      <c r="D1188" s="99" t="s">
        <v>114</v>
      </c>
      <c r="E1188" s="99" t="s">
        <v>122</v>
      </c>
      <c r="F1188" s="99" t="s">
        <v>1257</v>
      </c>
      <c r="G1188" s="100">
        <v>4155.9016000000001</v>
      </c>
      <c r="H1188" s="101">
        <v>6111.62</v>
      </c>
    </row>
    <row r="1189" spans="1:8">
      <c r="A1189" s="102">
        <v>38449</v>
      </c>
      <c r="B1189" s="102" t="str">
        <f>TEXT($A1189,"mmm")</f>
        <v>Apr</v>
      </c>
      <c r="C1189" s="103" t="s">
        <v>107</v>
      </c>
      <c r="D1189" s="103" t="s">
        <v>127</v>
      </c>
      <c r="E1189" s="103" t="s">
        <v>89</v>
      </c>
      <c r="F1189" s="103" t="s">
        <v>1258</v>
      </c>
      <c r="G1189" s="104">
        <v>865.99350000000004</v>
      </c>
      <c r="H1189" s="105">
        <v>1924.43</v>
      </c>
    </row>
    <row r="1190" spans="1:8">
      <c r="A1190" s="97">
        <v>38448</v>
      </c>
      <c r="B1190" s="97" t="str">
        <f>TEXT($A1190,"mmm")</f>
        <v>Apr</v>
      </c>
      <c r="C1190" s="99" t="s">
        <v>79</v>
      </c>
      <c r="D1190" s="99" t="s">
        <v>127</v>
      </c>
      <c r="E1190" s="99" t="s">
        <v>158</v>
      </c>
      <c r="F1190" s="99" t="s">
        <v>1259</v>
      </c>
      <c r="G1190" s="100">
        <v>7375.1584499999999</v>
      </c>
      <c r="H1190" s="101">
        <v>7887.87</v>
      </c>
    </row>
    <row r="1191" spans="1:8">
      <c r="A1191" s="102">
        <v>38448</v>
      </c>
      <c r="B1191" s="102" t="str">
        <f>TEXT($A1191,"mmm")</f>
        <v>Apr</v>
      </c>
      <c r="C1191" s="103" t="s">
        <v>104</v>
      </c>
      <c r="D1191" s="103" t="s">
        <v>127</v>
      </c>
      <c r="E1191" s="103" t="s">
        <v>83</v>
      </c>
      <c r="F1191" s="103" t="s">
        <v>1260</v>
      </c>
      <c r="G1191" s="104">
        <v>2218.6424999999999</v>
      </c>
      <c r="H1191" s="105">
        <v>2958.19</v>
      </c>
    </row>
    <row r="1192" spans="1:8">
      <c r="A1192" s="97">
        <v>38447</v>
      </c>
      <c r="B1192" s="97" t="str">
        <f>TEXT($A1192,"mmm")</f>
        <v>Apr</v>
      </c>
      <c r="C1192" s="99" t="s">
        <v>107</v>
      </c>
      <c r="D1192" s="99" t="s">
        <v>92</v>
      </c>
      <c r="E1192" s="99" t="s">
        <v>83</v>
      </c>
      <c r="F1192" s="99" t="s">
        <v>1261</v>
      </c>
      <c r="G1192" s="100">
        <v>4593.6924000000008</v>
      </c>
      <c r="H1192" s="101">
        <v>6755.43</v>
      </c>
    </row>
    <row r="1193" spans="1:8">
      <c r="A1193" s="102">
        <v>38447</v>
      </c>
      <c r="B1193" s="102" t="str">
        <f>TEXT($A1193,"mmm")</f>
        <v>Apr</v>
      </c>
      <c r="C1193" s="103" t="s">
        <v>79</v>
      </c>
      <c r="D1193" s="103" t="s">
        <v>87</v>
      </c>
      <c r="E1193" s="103" t="s">
        <v>105</v>
      </c>
      <c r="F1193" s="103" t="s">
        <v>1262</v>
      </c>
      <c r="G1193" s="104">
        <v>4007.9863999999998</v>
      </c>
      <c r="H1193" s="105">
        <v>4554.53</v>
      </c>
    </row>
    <row r="1194" spans="1:8">
      <c r="A1194" s="97">
        <v>38447</v>
      </c>
      <c r="B1194" s="97" t="str">
        <f>TEXT($A1194,"mmm")</f>
        <v>Apr</v>
      </c>
      <c r="C1194" s="99" t="s">
        <v>79</v>
      </c>
      <c r="D1194" s="99" t="s">
        <v>98</v>
      </c>
      <c r="E1194" s="99" t="s">
        <v>99</v>
      </c>
      <c r="F1194" s="99" t="s">
        <v>1263</v>
      </c>
      <c r="G1194" s="100">
        <v>789.06959999999992</v>
      </c>
      <c r="H1194" s="101">
        <v>896.67</v>
      </c>
    </row>
    <row r="1195" spans="1:8">
      <c r="A1195" s="102">
        <v>38446</v>
      </c>
      <c r="B1195" s="102" t="str">
        <f>TEXT($A1195,"mmm")</f>
        <v>Apr</v>
      </c>
      <c r="C1195" s="103" t="s">
        <v>116</v>
      </c>
      <c r="D1195" s="103" t="s">
        <v>127</v>
      </c>
      <c r="E1195" s="103" t="s">
        <v>81</v>
      </c>
      <c r="F1195" s="103" t="s">
        <v>1264</v>
      </c>
      <c r="G1195" s="104">
        <v>5896.5015999999996</v>
      </c>
      <c r="H1195" s="105">
        <v>6700.57</v>
      </c>
    </row>
    <row r="1196" spans="1:8">
      <c r="A1196" s="97">
        <v>38446</v>
      </c>
      <c r="B1196" s="97" t="str">
        <f>TEXT($A1196,"mmm")</f>
        <v>Apr</v>
      </c>
      <c r="C1196" s="99" t="s">
        <v>116</v>
      </c>
      <c r="D1196" s="99" t="s">
        <v>127</v>
      </c>
      <c r="E1196" s="99" t="s">
        <v>144</v>
      </c>
      <c r="F1196" s="99" t="s">
        <v>1265</v>
      </c>
      <c r="G1196" s="100">
        <v>3918.3584000000001</v>
      </c>
      <c r="H1196" s="101">
        <v>4452.68</v>
      </c>
    </row>
    <row r="1197" spans="1:8">
      <c r="A1197" s="102">
        <v>38446</v>
      </c>
      <c r="B1197" s="102" t="str">
        <f>TEXT($A1197,"mmm")</f>
        <v>Apr</v>
      </c>
      <c r="C1197" s="103" t="s">
        <v>116</v>
      </c>
      <c r="D1197" s="103" t="s">
        <v>114</v>
      </c>
      <c r="E1197" s="103" t="s">
        <v>122</v>
      </c>
      <c r="F1197" s="103" t="s">
        <v>1266</v>
      </c>
      <c r="G1197" s="104">
        <v>1454.9974999999999</v>
      </c>
      <c r="H1197" s="105">
        <v>2645.45</v>
      </c>
    </row>
    <row r="1198" spans="1:8">
      <c r="A1198" s="97">
        <v>38445</v>
      </c>
      <c r="B1198" s="97" t="str">
        <f>TEXT($A1198,"mmm")</f>
        <v>Apr</v>
      </c>
      <c r="C1198" s="99" t="s">
        <v>79</v>
      </c>
      <c r="D1198" s="99" t="s">
        <v>127</v>
      </c>
      <c r="E1198" s="99" t="s">
        <v>120</v>
      </c>
      <c r="F1198" s="99" t="s">
        <v>1267</v>
      </c>
      <c r="G1198" s="100">
        <v>7959.1864000000005</v>
      </c>
      <c r="H1198" s="101">
        <v>9044.5300000000007</v>
      </c>
    </row>
    <row r="1199" spans="1:8">
      <c r="A1199" s="102">
        <v>38445</v>
      </c>
      <c r="B1199" s="102" t="str">
        <f>TEXT($A1199,"mmm")</f>
        <v>Apr</v>
      </c>
      <c r="C1199" s="103" t="s">
        <v>104</v>
      </c>
      <c r="D1199" s="103" t="s">
        <v>101</v>
      </c>
      <c r="E1199" s="103" t="s">
        <v>120</v>
      </c>
      <c r="F1199" s="103" t="s">
        <v>1268</v>
      </c>
      <c r="G1199" s="104">
        <v>1174.9770000000001</v>
      </c>
      <c r="H1199" s="105">
        <v>2611.06</v>
      </c>
    </row>
    <row r="1200" spans="1:8">
      <c r="A1200" s="97">
        <v>38445</v>
      </c>
      <c r="B1200" s="97" t="str">
        <f>TEXT($A1200,"mmm")</f>
        <v>Apr</v>
      </c>
      <c r="C1200" s="99" t="s">
        <v>107</v>
      </c>
      <c r="D1200" s="99" t="s">
        <v>98</v>
      </c>
      <c r="E1200" s="99" t="s">
        <v>93</v>
      </c>
      <c r="F1200" s="99" t="s">
        <v>1269</v>
      </c>
      <c r="G1200" s="100">
        <v>732.1893</v>
      </c>
      <c r="H1200" s="101">
        <v>1978.89</v>
      </c>
    </row>
    <row r="1201" spans="1:8">
      <c r="A1201" s="102">
        <v>38445</v>
      </c>
      <c r="B1201" s="102" t="str">
        <f>TEXT($A1201,"mmm")</f>
        <v>Apr</v>
      </c>
      <c r="C1201" s="103" t="s">
        <v>79</v>
      </c>
      <c r="D1201" s="103" t="s">
        <v>101</v>
      </c>
      <c r="E1201" s="103" t="s">
        <v>83</v>
      </c>
      <c r="F1201" s="103" t="s">
        <v>813</v>
      </c>
      <c r="G1201" s="104">
        <v>219.08240000000001</v>
      </c>
      <c r="H1201" s="105">
        <v>322.18</v>
      </c>
    </row>
    <row r="1202" spans="1:8">
      <c r="A1202" s="97">
        <v>38444</v>
      </c>
      <c r="B1202" s="97" t="str">
        <f>TEXT($A1202,"mmm")</f>
        <v>Apr</v>
      </c>
      <c r="C1202" s="99" t="s">
        <v>79</v>
      </c>
      <c r="D1202" s="99" t="s">
        <v>87</v>
      </c>
      <c r="E1202" s="99" t="s">
        <v>158</v>
      </c>
      <c r="F1202" s="99" t="s">
        <v>1019</v>
      </c>
      <c r="G1202" s="100">
        <v>3064.0883999999996</v>
      </c>
      <c r="H1202" s="101">
        <v>8281.32</v>
      </c>
    </row>
    <row r="1203" spans="1:8">
      <c r="A1203" s="102">
        <v>38443</v>
      </c>
      <c r="B1203" s="102" t="str">
        <f>TEXT($A1203,"mmm")</f>
        <v>Apr</v>
      </c>
      <c r="C1203" s="103" t="s">
        <v>116</v>
      </c>
      <c r="D1203" s="103" t="s">
        <v>127</v>
      </c>
      <c r="E1203" s="103" t="s">
        <v>144</v>
      </c>
      <c r="F1203" s="103" t="s">
        <v>1270</v>
      </c>
      <c r="G1203" s="104">
        <v>6032.3582000000006</v>
      </c>
      <c r="H1203" s="105">
        <v>6451.72</v>
      </c>
    </row>
    <row r="1204" spans="1:8">
      <c r="A1204" s="97">
        <v>38443</v>
      </c>
      <c r="B1204" s="97" t="str">
        <f>TEXT($A1204,"mmm")</f>
        <v>Apr</v>
      </c>
      <c r="C1204" s="99" t="s">
        <v>116</v>
      </c>
      <c r="D1204" s="99" t="s">
        <v>80</v>
      </c>
      <c r="E1204" s="99" t="s">
        <v>83</v>
      </c>
      <c r="F1204" s="99" t="s">
        <v>1271</v>
      </c>
      <c r="G1204" s="100">
        <v>1506.989</v>
      </c>
      <c r="H1204" s="101">
        <v>2739.98</v>
      </c>
    </row>
    <row r="1205" spans="1:8">
      <c r="A1205" s="102">
        <v>38442</v>
      </c>
      <c r="B1205" s="102" t="str">
        <f>TEXT($A1205,"mmm")</f>
        <v>Mar</v>
      </c>
      <c r="C1205" s="103" t="s">
        <v>104</v>
      </c>
      <c r="D1205" s="103" t="s">
        <v>114</v>
      </c>
      <c r="E1205" s="103" t="s">
        <v>89</v>
      </c>
      <c r="F1205" s="103" t="s">
        <v>1272</v>
      </c>
      <c r="G1205" s="104">
        <v>2944.1</v>
      </c>
      <c r="H1205" s="105">
        <v>4990</v>
      </c>
    </row>
    <row r="1206" spans="1:8">
      <c r="A1206" s="97">
        <v>38442</v>
      </c>
      <c r="B1206" s="97" t="str">
        <f>TEXT($A1206,"mmm")</f>
        <v>Mar</v>
      </c>
      <c r="C1206" s="99" t="s">
        <v>79</v>
      </c>
      <c r="D1206" s="99" t="s">
        <v>95</v>
      </c>
      <c r="E1206" s="99" t="s">
        <v>83</v>
      </c>
      <c r="F1206" s="99" t="s">
        <v>1273</v>
      </c>
      <c r="G1206" s="100">
        <v>1762.2388999999998</v>
      </c>
      <c r="H1206" s="101">
        <v>4098.2299999999996</v>
      </c>
    </row>
    <row r="1207" spans="1:8">
      <c r="A1207" s="102">
        <v>38442</v>
      </c>
      <c r="B1207" s="102" t="str">
        <f>TEXT($A1207,"mmm")</f>
        <v>Mar</v>
      </c>
      <c r="C1207" s="103" t="s">
        <v>104</v>
      </c>
      <c r="D1207" s="103" t="s">
        <v>101</v>
      </c>
      <c r="E1207" s="103" t="s">
        <v>81</v>
      </c>
      <c r="F1207" s="103" t="s">
        <v>1274</v>
      </c>
      <c r="G1207" s="104">
        <v>2899.864</v>
      </c>
      <c r="H1207" s="105">
        <v>3295.3</v>
      </c>
    </row>
    <row r="1208" spans="1:8">
      <c r="A1208" s="97">
        <v>38441</v>
      </c>
      <c r="B1208" s="97" t="str">
        <f>TEXT($A1208,"mmm")</f>
        <v>Mar</v>
      </c>
      <c r="C1208" s="99" t="s">
        <v>86</v>
      </c>
      <c r="D1208" s="99" t="s">
        <v>92</v>
      </c>
      <c r="E1208" s="99" t="s">
        <v>89</v>
      </c>
      <c r="F1208" s="99" t="s">
        <v>1275</v>
      </c>
      <c r="G1208" s="100">
        <v>3730.5019999999995</v>
      </c>
      <c r="H1208" s="101">
        <v>6431.9</v>
      </c>
    </row>
    <row r="1209" spans="1:8">
      <c r="A1209" s="102">
        <v>38440</v>
      </c>
      <c r="B1209" s="102" t="str">
        <f>TEXT($A1209,"mmm")</f>
        <v>Mar</v>
      </c>
      <c r="C1209" s="103" t="s">
        <v>86</v>
      </c>
      <c r="D1209" s="103" t="s">
        <v>92</v>
      </c>
      <c r="E1209" s="103" t="s">
        <v>96</v>
      </c>
      <c r="F1209" s="103" t="s">
        <v>1276</v>
      </c>
      <c r="G1209" s="104">
        <v>4345.0931999999993</v>
      </c>
      <c r="H1209" s="105">
        <v>7491.54</v>
      </c>
    </row>
    <row r="1210" spans="1:8">
      <c r="A1210" s="97">
        <v>38440</v>
      </c>
      <c r="B1210" s="97" t="str">
        <f>TEXT($A1210,"mmm")</f>
        <v>Mar</v>
      </c>
      <c r="C1210" s="99" t="s">
        <v>116</v>
      </c>
      <c r="D1210" s="99" t="s">
        <v>98</v>
      </c>
      <c r="E1210" s="99" t="s">
        <v>81</v>
      </c>
      <c r="F1210" s="99" t="s">
        <v>1277</v>
      </c>
      <c r="G1210" s="100">
        <v>5290.05</v>
      </c>
      <c r="H1210" s="101">
        <v>7053.4</v>
      </c>
    </row>
    <row r="1211" spans="1:8">
      <c r="A1211" s="102">
        <v>38439</v>
      </c>
      <c r="B1211" s="102" t="str">
        <f>TEXT($A1211,"mmm")</f>
        <v>Mar</v>
      </c>
      <c r="C1211" s="103" t="s">
        <v>116</v>
      </c>
      <c r="D1211" s="103" t="s">
        <v>80</v>
      </c>
      <c r="E1211" s="103" t="s">
        <v>94</v>
      </c>
      <c r="F1211" s="103" t="s">
        <v>1202</v>
      </c>
      <c r="G1211" s="104">
        <v>5369.4795000000004</v>
      </c>
      <c r="H1211" s="105">
        <v>9762.69</v>
      </c>
    </row>
    <row r="1212" spans="1:8">
      <c r="A1212" s="97">
        <v>38439</v>
      </c>
      <c r="B1212" s="97" t="str">
        <f>TEXT($A1212,"mmm")</f>
        <v>Mar</v>
      </c>
      <c r="C1212" s="99" t="s">
        <v>104</v>
      </c>
      <c r="D1212" s="99" t="s">
        <v>98</v>
      </c>
      <c r="E1212" s="99" t="s">
        <v>158</v>
      </c>
      <c r="F1212" s="99" t="s">
        <v>1278</v>
      </c>
      <c r="G1212" s="100">
        <v>4341.2245999999996</v>
      </c>
      <c r="H1212" s="101">
        <v>7484.87</v>
      </c>
    </row>
    <row r="1213" spans="1:8">
      <c r="A1213" s="102">
        <v>38439</v>
      </c>
      <c r="B1213" s="102" t="str">
        <f>TEXT($A1213,"mmm")</f>
        <v>Mar</v>
      </c>
      <c r="C1213" s="103" t="s">
        <v>79</v>
      </c>
      <c r="D1213" s="103" t="s">
        <v>114</v>
      </c>
      <c r="E1213" s="103" t="s">
        <v>83</v>
      </c>
      <c r="F1213" s="103" t="s">
        <v>1279</v>
      </c>
      <c r="G1213" s="104">
        <v>2294.3591000000001</v>
      </c>
      <c r="H1213" s="105">
        <v>2453.86</v>
      </c>
    </row>
    <row r="1214" spans="1:8">
      <c r="A1214" s="97">
        <v>38439</v>
      </c>
      <c r="B1214" s="97" t="str">
        <f>TEXT($A1214,"mmm")</f>
        <v>Mar</v>
      </c>
      <c r="C1214" s="99" t="s">
        <v>107</v>
      </c>
      <c r="D1214" s="99" t="s">
        <v>80</v>
      </c>
      <c r="E1214" s="99" t="s">
        <v>89</v>
      </c>
      <c r="F1214" s="99" t="s">
        <v>1280</v>
      </c>
      <c r="G1214" s="100">
        <v>374.39190000000002</v>
      </c>
      <c r="H1214" s="101">
        <v>1011.87</v>
      </c>
    </row>
    <row r="1215" spans="1:8">
      <c r="A1215" s="102">
        <v>38439</v>
      </c>
      <c r="B1215" s="102" t="str">
        <f>TEXT($A1215,"mmm")</f>
        <v>Mar</v>
      </c>
      <c r="C1215" s="103" t="s">
        <v>104</v>
      </c>
      <c r="D1215" s="103" t="s">
        <v>114</v>
      </c>
      <c r="E1215" s="103" t="s">
        <v>158</v>
      </c>
      <c r="F1215" s="103" t="s">
        <v>1281</v>
      </c>
      <c r="G1215" s="104">
        <v>287.93600000000004</v>
      </c>
      <c r="H1215" s="105">
        <v>523.52</v>
      </c>
    </row>
    <row r="1216" spans="1:8">
      <c r="A1216" s="97">
        <v>38438</v>
      </c>
      <c r="B1216" s="97" t="str">
        <f>TEXT($A1216,"mmm")</f>
        <v>Mar</v>
      </c>
      <c r="C1216" s="99" t="s">
        <v>79</v>
      </c>
      <c r="D1216" s="99" t="s">
        <v>114</v>
      </c>
      <c r="E1216" s="99" t="s">
        <v>108</v>
      </c>
      <c r="F1216" s="99" t="s">
        <v>1282</v>
      </c>
      <c r="G1216" s="100">
        <v>4901.7081999999991</v>
      </c>
      <c r="H1216" s="101">
        <v>8307.98</v>
      </c>
    </row>
    <row r="1217" spans="1:8">
      <c r="A1217" s="102">
        <v>38437</v>
      </c>
      <c r="B1217" s="102" t="str">
        <f>TEXT($A1217,"mmm")</f>
        <v>Mar</v>
      </c>
      <c r="C1217" s="103" t="s">
        <v>86</v>
      </c>
      <c r="D1217" s="103" t="s">
        <v>114</v>
      </c>
      <c r="E1217" s="103" t="s">
        <v>144</v>
      </c>
      <c r="F1217" s="103" t="s">
        <v>1283</v>
      </c>
      <c r="G1217" s="104">
        <v>7341.375</v>
      </c>
      <c r="H1217" s="105">
        <v>9788.5</v>
      </c>
    </row>
    <row r="1218" spans="1:8">
      <c r="A1218" s="97">
        <v>38437</v>
      </c>
      <c r="B1218" s="97" t="str">
        <f>TEXT($A1218,"mmm")</f>
        <v>Mar</v>
      </c>
      <c r="C1218" s="99" t="s">
        <v>107</v>
      </c>
      <c r="D1218" s="99" t="s">
        <v>114</v>
      </c>
      <c r="E1218" s="99" t="s">
        <v>129</v>
      </c>
      <c r="F1218" s="99" t="s">
        <v>1284</v>
      </c>
      <c r="G1218" s="100">
        <v>4993.1915000000008</v>
      </c>
      <c r="H1218" s="101">
        <v>9078.5300000000007</v>
      </c>
    </row>
    <row r="1219" spans="1:8">
      <c r="A1219" s="102">
        <v>38437</v>
      </c>
      <c r="B1219" s="102" t="str">
        <f>TEXT($A1219,"mmm")</f>
        <v>Mar</v>
      </c>
      <c r="C1219" s="103" t="s">
        <v>79</v>
      </c>
      <c r="D1219" s="103" t="s">
        <v>87</v>
      </c>
      <c r="E1219" s="103" t="s">
        <v>105</v>
      </c>
      <c r="F1219" s="103" t="s">
        <v>1285</v>
      </c>
      <c r="G1219" s="104">
        <v>6043.74</v>
      </c>
      <c r="H1219" s="105">
        <v>8058.32</v>
      </c>
    </row>
    <row r="1220" spans="1:8">
      <c r="A1220" s="97">
        <v>38437</v>
      </c>
      <c r="B1220" s="97" t="str">
        <f>TEXT($A1220,"mmm")</f>
        <v>Mar</v>
      </c>
      <c r="C1220" s="99" t="s">
        <v>79</v>
      </c>
      <c r="D1220" s="99" t="s">
        <v>92</v>
      </c>
      <c r="E1220" s="99" t="s">
        <v>144</v>
      </c>
      <c r="F1220" s="99" t="s">
        <v>865</v>
      </c>
      <c r="G1220" s="100">
        <v>1857.3050000000001</v>
      </c>
      <c r="H1220" s="101">
        <v>3202.25</v>
      </c>
    </row>
    <row r="1221" spans="1:8">
      <c r="A1221" s="102">
        <v>38437</v>
      </c>
      <c r="B1221" s="102" t="str">
        <f>TEXT($A1221,"mmm")</f>
        <v>Mar</v>
      </c>
      <c r="C1221" s="103" t="s">
        <v>116</v>
      </c>
      <c r="D1221" s="103" t="s">
        <v>92</v>
      </c>
      <c r="E1221" s="103" t="s">
        <v>96</v>
      </c>
      <c r="F1221" s="103" t="s">
        <v>1286</v>
      </c>
      <c r="G1221" s="104">
        <v>720.07799999999997</v>
      </c>
      <c r="H1221" s="105">
        <v>1674.6</v>
      </c>
    </row>
    <row r="1222" spans="1:8">
      <c r="A1222" s="97">
        <v>38437</v>
      </c>
      <c r="B1222" s="97" t="str">
        <f>TEXT($A1222,"mmm")</f>
        <v>Mar</v>
      </c>
      <c r="C1222" s="99" t="s">
        <v>116</v>
      </c>
      <c r="D1222" s="99" t="s">
        <v>101</v>
      </c>
      <c r="E1222" s="99" t="s">
        <v>158</v>
      </c>
      <c r="F1222" s="99" t="s">
        <v>1287</v>
      </c>
      <c r="G1222" s="100">
        <v>578.60709999999995</v>
      </c>
      <c r="H1222" s="101">
        <v>980.69</v>
      </c>
    </row>
    <row r="1223" spans="1:8">
      <c r="A1223" s="102">
        <v>38436</v>
      </c>
      <c r="B1223" s="102" t="str">
        <f>TEXT($A1223,"mmm")</f>
        <v>Mar</v>
      </c>
      <c r="C1223" s="103" t="s">
        <v>79</v>
      </c>
      <c r="D1223" s="103" t="s">
        <v>101</v>
      </c>
      <c r="E1223" s="103" t="s">
        <v>89</v>
      </c>
      <c r="F1223" s="103" t="s">
        <v>1288</v>
      </c>
      <c r="G1223" s="104">
        <v>3382.6940000000004</v>
      </c>
      <c r="H1223" s="105">
        <v>4974.55</v>
      </c>
    </row>
    <row r="1224" spans="1:8">
      <c r="A1224" s="97">
        <v>38436</v>
      </c>
      <c r="B1224" s="97" t="str">
        <f>TEXT($A1224,"mmm")</f>
        <v>Mar</v>
      </c>
      <c r="C1224" s="99" t="s">
        <v>86</v>
      </c>
      <c r="D1224" s="99" t="s">
        <v>92</v>
      </c>
      <c r="E1224" s="99" t="s">
        <v>96</v>
      </c>
      <c r="F1224" s="99" t="s">
        <v>1289</v>
      </c>
      <c r="G1224" s="100">
        <v>2360.19</v>
      </c>
      <c r="H1224" s="101">
        <v>3146.92</v>
      </c>
    </row>
    <row r="1225" spans="1:8">
      <c r="A1225" s="102">
        <v>38436</v>
      </c>
      <c r="B1225" s="102" t="str">
        <f>TEXT($A1225,"mmm")</f>
        <v>Mar</v>
      </c>
      <c r="C1225" s="103" t="s">
        <v>86</v>
      </c>
      <c r="D1225" s="103" t="s">
        <v>114</v>
      </c>
      <c r="E1225" s="103" t="s">
        <v>120</v>
      </c>
      <c r="F1225" s="103" t="s">
        <v>1290</v>
      </c>
      <c r="G1225" s="104">
        <v>1755.8224</v>
      </c>
      <c r="H1225" s="105">
        <v>3027.28</v>
      </c>
    </row>
    <row r="1226" spans="1:8">
      <c r="A1226" s="97">
        <v>38435</v>
      </c>
      <c r="B1226" s="97" t="str">
        <f>TEXT($A1226,"mmm")</f>
        <v>Mar</v>
      </c>
      <c r="C1226" s="99" t="s">
        <v>107</v>
      </c>
      <c r="D1226" s="99" t="s">
        <v>92</v>
      </c>
      <c r="E1226" s="99" t="s">
        <v>93</v>
      </c>
      <c r="F1226" s="99" t="s">
        <v>1291</v>
      </c>
      <c r="G1226" s="100">
        <v>3540.5865000000003</v>
      </c>
      <c r="H1226" s="101">
        <v>6437.43</v>
      </c>
    </row>
    <row r="1227" spans="1:8">
      <c r="A1227" s="102">
        <v>38435</v>
      </c>
      <c r="B1227" s="102" t="str">
        <f>TEXT($A1227,"mmm")</f>
        <v>Mar</v>
      </c>
      <c r="C1227" s="103" t="s">
        <v>86</v>
      </c>
      <c r="D1227" s="103" t="s">
        <v>92</v>
      </c>
      <c r="E1227" s="103" t="s">
        <v>120</v>
      </c>
      <c r="F1227" s="103" t="s">
        <v>1292</v>
      </c>
      <c r="G1227" s="104">
        <v>1831.1892</v>
      </c>
      <c r="H1227" s="105">
        <v>4949.16</v>
      </c>
    </row>
    <row r="1228" spans="1:8">
      <c r="A1228" s="97">
        <v>38434</v>
      </c>
      <c r="B1228" s="97" t="str">
        <f>TEXT($A1228,"mmm")</f>
        <v>Mar</v>
      </c>
      <c r="C1228" s="99" t="s">
        <v>79</v>
      </c>
      <c r="D1228" s="99" t="s">
        <v>92</v>
      </c>
      <c r="E1228" s="99" t="s">
        <v>93</v>
      </c>
      <c r="F1228" s="99" t="s">
        <v>1293</v>
      </c>
      <c r="G1228" s="100">
        <v>7978.40175</v>
      </c>
      <c r="H1228" s="101">
        <v>8533.0499999999993</v>
      </c>
    </row>
    <row r="1229" spans="1:8">
      <c r="A1229" s="102">
        <v>38434</v>
      </c>
      <c r="B1229" s="102" t="str">
        <f>TEXT($A1229,"mmm")</f>
        <v>Mar</v>
      </c>
      <c r="C1229" s="103" t="s">
        <v>116</v>
      </c>
      <c r="D1229" s="103" t="s">
        <v>127</v>
      </c>
      <c r="E1229" s="103" t="s">
        <v>93</v>
      </c>
      <c r="F1229" s="103" t="s">
        <v>1294</v>
      </c>
      <c r="G1229" s="104">
        <v>944.41020000000003</v>
      </c>
      <c r="H1229" s="105">
        <v>2552.46</v>
      </c>
    </row>
    <row r="1230" spans="1:8">
      <c r="A1230" s="97">
        <v>38434</v>
      </c>
      <c r="B1230" s="97" t="str">
        <f>TEXT($A1230,"mmm")</f>
        <v>Mar</v>
      </c>
      <c r="C1230" s="99" t="s">
        <v>116</v>
      </c>
      <c r="D1230" s="99" t="s">
        <v>98</v>
      </c>
      <c r="E1230" s="99" t="s">
        <v>96</v>
      </c>
      <c r="F1230" s="99" t="s">
        <v>1295</v>
      </c>
      <c r="G1230" s="100">
        <v>1264.9718</v>
      </c>
      <c r="H1230" s="101">
        <v>2144.02</v>
      </c>
    </row>
    <row r="1231" spans="1:8">
      <c r="A1231" s="102">
        <v>38434</v>
      </c>
      <c r="B1231" s="102" t="str">
        <f>TEXT($A1231,"mmm")</f>
        <v>Mar</v>
      </c>
      <c r="C1231" s="103" t="s">
        <v>79</v>
      </c>
      <c r="D1231" s="103" t="s">
        <v>98</v>
      </c>
      <c r="E1231" s="103" t="s">
        <v>108</v>
      </c>
      <c r="F1231" s="103" t="s">
        <v>1296</v>
      </c>
      <c r="G1231" s="104">
        <v>522.44995000000006</v>
      </c>
      <c r="H1231" s="105">
        <v>558.77</v>
      </c>
    </row>
    <row r="1232" spans="1:8">
      <c r="A1232" s="97">
        <v>38433</v>
      </c>
      <c r="B1232" s="97" t="str">
        <f>TEXT($A1232,"mmm")</f>
        <v>Mar</v>
      </c>
      <c r="C1232" s="99" t="s">
        <v>79</v>
      </c>
      <c r="D1232" s="99" t="s">
        <v>127</v>
      </c>
      <c r="E1232" s="99" t="s">
        <v>122</v>
      </c>
      <c r="F1232" s="99" t="s">
        <v>1297</v>
      </c>
      <c r="G1232" s="100">
        <v>4231.2276000000002</v>
      </c>
      <c r="H1232" s="101">
        <v>7295.22</v>
      </c>
    </row>
    <row r="1233" spans="1:8">
      <c r="A1233" s="102">
        <v>38433</v>
      </c>
      <c r="B1233" s="102" t="str">
        <f>TEXT($A1233,"mmm")</f>
        <v>Mar</v>
      </c>
      <c r="C1233" s="103" t="s">
        <v>79</v>
      </c>
      <c r="D1233" s="103" t="s">
        <v>127</v>
      </c>
      <c r="E1233" s="103" t="s">
        <v>120</v>
      </c>
      <c r="F1233" s="103" t="s">
        <v>1298</v>
      </c>
      <c r="G1233" s="104">
        <v>1371.7086999999999</v>
      </c>
      <c r="H1233" s="105">
        <v>2324.9299999999998</v>
      </c>
    </row>
    <row r="1234" spans="1:8">
      <c r="A1234" s="97">
        <v>38432</v>
      </c>
      <c r="B1234" s="97" t="str">
        <f>TEXT($A1234,"mmm")</f>
        <v>Mar</v>
      </c>
      <c r="C1234" s="99" t="s">
        <v>79</v>
      </c>
      <c r="D1234" s="99" t="s">
        <v>101</v>
      </c>
      <c r="E1234" s="99" t="s">
        <v>158</v>
      </c>
      <c r="F1234" s="99" t="s">
        <v>1299</v>
      </c>
      <c r="G1234" s="100">
        <v>4189.1417000000001</v>
      </c>
      <c r="H1234" s="101">
        <v>9742.19</v>
      </c>
    </row>
    <row r="1235" spans="1:8">
      <c r="A1235" s="102">
        <v>38432</v>
      </c>
      <c r="B1235" s="102" t="str">
        <f>TEXT($A1235,"mmm")</f>
        <v>Mar</v>
      </c>
      <c r="C1235" s="103" t="s">
        <v>104</v>
      </c>
      <c r="D1235" s="103" t="s">
        <v>95</v>
      </c>
      <c r="E1235" s="103" t="s">
        <v>105</v>
      </c>
      <c r="F1235" s="103" t="s">
        <v>343</v>
      </c>
      <c r="G1235" s="104">
        <v>5079.6130000000003</v>
      </c>
      <c r="H1235" s="105">
        <v>9235.66</v>
      </c>
    </row>
    <row r="1236" spans="1:8">
      <c r="A1236" s="97">
        <v>38432</v>
      </c>
      <c r="B1236" s="97" t="str">
        <f>TEXT($A1236,"mmm")</f>
        <v>Mar</v>
      </c>
      <c r="C1236" s="99" t="s">
        <v>86</v>
      </c>
      <c r="D1236" s="99" t="s">
        <v>87</v>
      </c>
      <c r="E1236" s="99" t="s">
        <v>99</v>
      </c>
      <c r="F1236" s="99" t="s">
        <v>1173</v>
      </c>
      <c r="G1236" s="100">
        <v>2729.7637999999997</v>
      </c>
      <c r="H1236" s="101">
        <v>7377.74</v>
      </c>
    </row>
    <row r="1237" spans="1:8">
      <c r="A1237" s="102">
        <v>38432</v>
      </c>
      <c r="B1237" s="102" t="str">
        <f>TEXT($A1237,"mmm")</f>
        <v>Mar</v>
      </c>
      <c r="C1237" s="103" t="s">
        <v>104</v>
      </c>
      <c r="D1237" s="103" t="s">
        <v>101</v>
      </c>
      <c r="E1237" s="103" t="s">
        <v>93</v>
      </c>
      <c r="F1237" s="103" t="s">
        <v>1300</v>
      </c>
      <c r="G1237" s="104">
        <v>3280.3055999999997</v>
      </c>
      <c r="H1237" s="105">
        <v>5559.84</v>
      </c>
    </row>
    <row r="1238" spans="1:8">
      <c r="A1238" s="97">
        <v>38432</v>
      </c>
      <c r="B1238" s="97" t="str">
        <f>TEXT($A1238,"mmm")</f>
        <v>Mar</v>
      </c>
      <c r="C1238" s="99" t="s">
        <v>79</v>
      </c>
      <c r="D1238" s="99" t="s">
        <v>114</v>
      </c>
      <c r="E1238" s="99" t="s">
        <v>158</v>
      </c>
      <c r="F1238" s="99" t="s">
        <v>1301</v>
      </c>
      <c r="G1238" s="100">
        <v>260.964</v>
      </c>
      <c r="H1238" s="101">
        <v>579.91999999999996</v>
      </c>
    </row>
    <row r="1239" spans="1:8">
      <c r="A1239" s="102">
        <v>38431</v>
      </c>
      <c r="B1239" s="102" t="str">
        <f>TEXT($A1239,"mmm")</f>
        <v>Mar</v>
      </c>
      <c r="C1239" s="103" t="s">
        <v>107</v>
      </c>
      <c r="D1239" s="103" t="s">
        <v>80</v>
      </c>
      <c r="E1239" s="103" t="s">
        <v>129</v>
      </c>
      <c r="F1239" s="103" t="s">
        <v>1039</v>
      </c>
      <c r="G1239" s="104">
        <v>3705.6373999999996</v>
      </c>
      <c r="H1239" s="105">
        <v>6389.03</v>
      </c>
    </row>
    <row r="1240" spans="1:8">
      <c r="A1240" s="97">
        <v>38431</v>
      </c>
      <c r="B1240" s="97" t="str">
        <f>TEXT($A1240,"mmm")</f>
        <v>Mar</v>
      </c>
      <c r="C1240" s="99" t="s">
        <v>86</v>
      </c>
      <c r="D1240" s="99" t="s">
        <v>95</v>
      </c>
      <c r="E1240" s="99" t="s">
        <v>129</v>
      </c>
      <c r="F1240" s="99" t="s">
        <v>1302</v>
      </c>
      <c r="G1240" s="100">
        <v>877.48650000000009</v>
      </c>
      <c r="H1240" s="101">
        <v>1595.43</v>
      </c>
    </row>
    <row r="1241" spans="1:8">
      <c r="A1241" s="102">
        <v>38430</v>
      </c>
      <c r="B1241" s="102" t="str">
        <f>TEXT($A1241,"mmm")</f>
        <v>Mar</v>
      </c>
      <c r="C1241" s="103" t="s">
        <v>86</v>
      </c>
      <c r="D1241" s="103" t="s">
        <v>101</v>
      </c>
      <c r="E1241" s="103" t="s">
        <v>120</v>
      </c>
      <c r="F1241" s="103" t="s">
        <v>514</v>
      </c>
      <c r="G1241" s="104">
        <v>4351.8045999999995</v>
      </c>
      <c r="H1241" s="105">
        <v>7375.94</v>
      </c>
    </row>
    <row r="1242" spans="1:8">
      <c r="A1242" s="97">
        <v>38430</v>
      </c>
      <c r="B1242" s="97" t="str">
        <f>TEXT($A1242,"mmm")</f>
        <v>Mar</v>
      </c>
      <c r="C1242" s="99" t="s">
        <v>79</v>
      </c>
      <c r="D1242" s="99" t="s">
        <v>127</v>
      </c>
      <c r="E1242" s="99" t="s">
        <v>81</v>
      </c>
      <c r="F1242" s="99" t="s">
        <v>1303</v>
      </c>
      <c r="G1242" s="100">
        <v>1911.2774999999999</v>
      </c>
      <c r="H1242" s="101">
        <v>2548.37</v>
      </c>
    </row>
    <row r="1243" spans="1:8">
      <c r="A1243" s="102">
        <v>38429</v>
      </c>
      <c r="B1243" s="102" t="str">
        <f>TEXT($A1243,"mmm")</f>
        <v>Mar</v>
      </c>
      <c r="C1243" s="103" t="s">
        <v>79</v>
      </c>
      <c r="D1243" s="103" t="s">
        <v>80</v>
      </c>
      <c r="E1243" s="103" t="s">
        <v>81</v>
      </c>
      <c r="F1243" s="103" t="s">
        <v>1304</v>
      </c>
      <c r="G1243" s="104">
        <v>6938.7659000000003</v>
      </c>
      <c r="H1243" s="105">
        <v>7421.14</v>
      </c>
    </row>
    <row r="1244" spans="1:8">
      <c r="A1244" s="97">
        <v>38429</v>
      </c>
      <c r="B1244" s="97" t="str">
        <f>TEXT($A1244,"mmm")</f>
        <v>Mar</v>
      </c>
      <c r="C1244" s="99" t="s">
        <v>86</v>
      </c>
      <c r="D1244" s="99" t="s">
        <v>101</v>
      </c>
      <c r="E1244" s="99" t="s">
        <v>81</v>
      </c>
      <c r="F1244" s="99" t="s">
        <v>1305</v>
      </c>
      <c r="G1244" s="100">
        <v>1759.8954000000001</v>
      </c>
      <c r="H1244" s="101">
        <v>4092.78</v>
      </c>
    </row>
    <row r="1245" spans="1:8">
      <c r="A1245" s="102">
        <v>38429</v>
      </c>
      <c r="B1245" s="102" t="str">
        <f>TEXT($A1245,"mmm")</f>
        <v>Mar</v>
      </c>
      <c r="C1245" s="103" t="s">
        <v>79</v>
      </c>
      <c r="D1245" s="103" t="s">
        <v>127</v>
      </c>
      <c r="E1245" s="103" t="s">
        <v>99</v>
      </c>
      <c r="F1245" s="103" t="s">
        <v>1306</v>
      </c>
      <c r="G1245" s="104">
        <v>2600.9643000000005</v>
      </c>
      <c r="H1245" s="105">
        <v>2781.78</v>
      </c>
    </row>
    <row r="1246" spans="1:8">
      <c r="A1246" s="97">
        <v>38429</v>
      </c>
      <c r="B1246" s="97" t="str">
        <f>TEXT($A1246,"mmm")</f>
        <v>Mar</v>
      </c>
      <c r="C1246" s="99" t="s">
        <v>104</v>
      </c>
      <c r="D1246" s="99" t="s">
        <v>80</v>
      </c>
      <c r="E1246" s="99" t="s">
        <v>89</v>
      </c>
      <c r="F1246" s="99" t="s">
        <v>1307</v>
      </c>
      <c r="G1246" s="100">
        <v>249.38320000000002</v>
      </c>
      <c r="H1246" s="101">
        <v>366.74</v>
      </c>
    </row>
    <row r="1247" spans="1:8">
      <c r="A1247" s="102">
        <v>38428</v>
      </c>
      <c r="B1247" s="102" t="str">
        <f>TEXT($A1247,"mmm")</f>
        <v>Mar</v>
      </c>
      <c r="C1247" s="103" t="s">
        <v>116</v>
      </c>
      <c r="D1247" s="103" t="s">
        <v>114</v>
      </c>
      <c r="E1247" s="103" t="s">
        <v>129</v>
      </c>
      <c r="F1247" s="103" t="s">
        <v>1308</v>
      </c>
      <c r="G1247" s="104">
        <v>1445.6381000000001</v>
      </c>
      <c r="H1247" s="105">
        <v>3907.13</v>
      </c>
    </row>
    <row r="1248" spans="1:8">
      <c r="A1248" s="97">
        <v>38428</v>
      </c>
      <c r="B1248" s="97" t="str">
        <f>TEXT($A1248,"mmm")</f>
        <v>Mar</v>
      </c>
      <c r="C1248" s="99" t="s">
        <v>79</v>
      </c>
      <c r="D1248" s="99" t="s">
        <v>87</v>
      </c>
      <c r="E1248" s="99" t="s">
        <v>93</v>
      </c>
      <c r="F1248" s="99" t="s">
        <v>1309</v>
      </c>
      <c r="G1248" s="100">
        <v>558.24749999999995</v>
      </c>
      <c r="H1248" s="101">
        <v>1298.25</v>
      </c>
    </row>
    <row r="1249" spans="1:8">
      <c r="A1249" s="102">
        <v>38427</v>
      </c>
      <c r="B1249" s="102" t="str">
        <f>TEXT($A1249,"mmm")</f>
        <v>Mar</v>
      </c>
      <c r="C1249" s="103" t="s">
        <v>104</v>
      </c>
      <c r="D1249" s="103" t="s">
        <v>127</v>
      </c>
      <c r="E1249" s="103" t="s">
        <v>122</v>
      </c>
      <c r="F1249" s="103" t="s">
        <v>1310</v>
      </c>
      <c r="G1249" s="104">
        <v>4363.1797999999999</v>
      </c>
      <c r="H1249" s="105">
        <v>7395.22</v>
      </c>
    </row>
    <row r="1250" spans="1:8">
      <c r="A1250" s="97">
        <v>38427</v>
      </c>
      <c r="B1250" s="97" t="str">
        <f>TEXT($A1250,"mmm")</f>
        <v>Mar</v>
      </c>
      <c r="C1250" s="99" t="s">
        <v>79</v>
      </c>
      <c r="D1250" s="99" t="s">
        <v>101</v>
      </c>
      <c r="E1250" s="99" t="s">
        <v>144</v>
      </c>
      <c r="F1250" s="99" t="s">
        <v>1311</v>
      </c>
      <c r="G1250" s="100">
        <v>4446.2055</v>
      </c>
      <c r="H1250" s="101">
        <v>4755.3</v>
      </c>
    </row>
    <row r="1251" spans="1:8">
      <c r="A1251" s="102">
        <v>38427</v>
      </c>
      <c r="B1251" s="102" t="str">
        <f>TEXT($A1251,"mmm")</f>
        <v>Mar</v>
      </c>
      <c r="C1251" s="103" t="s">
        <v>86</v>
      </c>
      <c r="D1251" s="103" t="s">
        <v>87</v>
      </c>
      <c r="E1251" s="103" t="s">
        <v>122</v>
      </c>
      <c r="F1251" s="103" t="s">
        <v>1312</v>
      </c>
      <c r="G1251" s="104">
        <v>605.97350000000006</v>
      </c>
      <c r="H1251" s="105">
        <v>1101.77</v>
      </c>
    </row>
    <row r="1252" spans="1:8">
      <c r="A1252" s="97">
        <v>38427</v>
      </c>
      <c r="B1252" s="97" t="str">
        <f>TEXT($A1252,"mmm")</f>
        <v>Mar</v>
      </c>
      <c r="C1252" s="99" t="s">
        <v>116</v>
      </c>
      <c r="D1252" s="99" t="s">
        <v>127</v>
      </c>
      <c r="E1252" s="99" t="s">
        <v>83</v>
      </c>
      <c r="F1252" s="99" t="s">
        <v>1313</v>
      </c>
      <c r="G1252" s="100">
        <v>335.06</v>
      </c>
      <c r="H1252" s="101">
        <v>609.20000000000005</v>
      </c>
    </row>
    <row r="1253" spans="1:8">
      <c r="A1253" s="102">
        <v>38426</v>
      </c>
      <c r="B1253" s="102" t="str">
        <f>TEXT($A1253,"mmm")</f>
        <v>Mar</v>
      </c>
      <c r="C1253" s="103" t="s">
        <v>79</v>
      </c>
      <c r="D1253" s="103" t="s">
        <v>95</v>
      </c>
      <c r="E1253" s="103" t="s">
        <v>108</v>
      </c>
      <c r="F1253" s="103" t="s">
        <v>1314</v>
      </c>
      <c r="G1253" s="104">
        <v>3489.7179000000001</v>
      </c>
      <c r="H1253" s="105">
        <v>9431.67</v>
      </c>
    </row>
    <row r="1254" spans="1:8">
      <c r="A1254" s="97">
        <v>38426</v>
      </c>
      <c r="B1254" s="97" t="str">
        <f>TEXT($A1254,"mmm")</f>
        <v>Mar</v>
      </c>
      <c r="C1254" s="99" t="s">
        <v>86</v>
      </c>
      <c r="D1254" s="99" t="s">
        <v>92</v>
      </c>
      <c r="E1254" s="99" t="s">
        <v>144</v>
      </c>
      <c r="F1254" s="99" t="s">
        <v>1315</v>
      </c>
      <c r="G1254" s="100">
        <v>6239.9520000000002</v>
      </c>
      <c r="H1254" s="101">
        <v>9176.4</v>
      </c>
    </row>
    <row r="1255" spans="1:8">
      <c r="A1255" s="102">
        <v>38426</v>
      </c>
      <c r="B1255" s="102" t="str">
        <f>TEXT($A1255,"mmm")</f>
        <v>Mar</v>
      </c>
      <c r="C1255" s="103" t="s">
        <v>79</v>
      </c>
      <c r="D1255" s="103" t="s">
        <v>114</v>
      </c>
      <c r="E1255" s="103" t="s">
        <v>108</v>
      </c>
      <c r="F1255" s="103" t="s">
        <v>1316</v>
      </c>
      <c r="G1255" s="104">
        <v>5708.7088000000003</v>
      </c>
      <c r="H1255" s="105">
        <v>8395.16</v>
      </c>
    </row>
    <row r="1256" spans="1:8">
      <c r="A1256" s="97">
        <v>38426</v>
      </c>
      <c r="B1256" s="97" t="str">
        <f>TEXT($A1256,"mmm")</f>
        <v>Mar</v>
      </c>
      <c r="C1256" s="99" t="s">
        <v>79</v>
      </c>
      <c r="D1256" s="99" t="s">
        <v>87</v>
      </c>
      <c r="E1256" s="99" t="s">
        <v>83</v>
      </c>
      <c r="F1256" s="99" t="s">
        <v>1111</v>
      </c>
      <c r="G1256" s="100">
        <v>3491.8708999999999</v>
      </c>
      <c r="H1256" s="101">
        <v>8120.63</v>
      </c>
    </row>
    <row r="1257" spans="1:8">
      <c r="A1257" s="102">
        <v>38426</v>
      </c>
      <c r="B1257" s="102" t="str">
        <f>TEXT($A1257,"mmm")</f>
        <v>Mar</v>
      </c>
      <c r="C1257" s="103" t="s">
        <v>86</v>
      </c>
      <c r="D1257" s="103" t="s">
        <v>98</v>
      </c>
      <c r="E1257" s="103" t="s">
        <v>108</v>
      </c>
      <c r="F1257" s="103" t="s">
        <v>1317</v>
      </c>
      <c r="G1257" s="104">
        <v>1377.0771</v>
      </c>
      <c r="H1257" s="105">
        <v>3721.83</v>
      </c>
    </row>
    <row r="1258" spans="1:8">
      <c r="A1258" s="97">
        <v>38426</v>
      </c>
      <c r="B1258" s="97" t="str">
        <f>TEXT($A1258,"mmm")</f>
        <v>Mar</v>
      </c>
      <c r="C1258" s="99" t="s">
        <v>107</v>
      </c>
      <c r="D1258" s="99" t="s">
        <v>87</v>
      </c>
      <c r="E1258" s="99" t="s">
        <v>96</v>
      </c>
      <c r="F1258" s="99" t="s">
        <v>1318</v>
      </c>
      <c r="G1258" s="100">
        <v>1115.884</v>
      </c>
      <c r="H1258" s="101">
        <v>1268.05</v>
      </c>
    </row>
    <row r="1259" spans="1:8">
      <c r="A1259" s="102">
        <v>38425</v>
      </c>
      <c r="B1259" s="102" t="str">
        <f>TEXT($A1259,"mmm")</f>
        <v>Mar</v>
      </c>
      <c r="C1259" s="103" t="s">
        <v>79</v>
      </c>
      <c r="D1259" s="103" t="s">
        <v>98</v>
      </c>
      <c r="E1259" s="103" t="s">
        <v>105</v>
      </c>
      <c r="F1259" s="103" t="s">
        <v>1319</v>
      </c>
      <c r="G1259" s="104">
        <v>5525.3873999999996</v>
      </c>
      <c r="H1259" s="105">
        <v>9526.5300000000007</v>
      </c>
    </row>
    <row r="1260" spans="1:8">
      <c r="A1260" s="97">
        <v>38425</v>
      </c>
      <c r="B1260" s="97" t="str">
        <f>TEXT($A1260,"mmm")</f>
        <v>Mar</v>
      </c>
      <c r="C1260" s="99" t="s">
        <v>79</v>
      </c>
      <c r="D1260" s="99" t="s">
        <v>87</v>
      </c>
      <c r="E1260" s="99" t="s">
        <v>158</v>
      </c>
      <c r="F1260" s="99" t="s">
        <v>1320</v>
      </c>
      <c r="G1260" s="100">
        <v>3411.8150000000001</v>
      </c>
      <c r="H1260" s="101">
        <v>3649</v>
      </c>
    </row>
    <row r="1261" spans="1:8">
      <c r="A1261" s="102">
        <v>38425</v>
      </c>
      <c r="B1261" s="102" t="str">
        <f>TEXT($A1261,"mmm")</f>
        <v>Mar</v>
      </c>
      <c r="C1261" s="103" t="s">
        <v>107</v>
      </c>
      <c r="D1261" s="103" t="s">
        <v>98</v>
      </c>
      <c r="E1261" s="103" t="s">
        <v>120</v>
      </c>
      <c r="F1261" s="103" t="s">
        <v>1321</v>
      </c>
      <c r="G1261" s="104">
        <v>2282.1820000000002</v>
      </c>
      <c r="H1261" s="105">
        <v>3356.15</v>
      </c>
    </row>
    <row r="1262" spans="1:8">
      <c r="A1262" s="97">
        <v>38425</v>
      </c>
      <c r="B1262" s="97" t="str">
        <f>TEXT($A1262,"mmm")</f>
        <v>Mar</v>
      </c>
      <c r="C1262" s="99" t="s">
        <v>86</v>
      </c>
      <c r="D1262" s="99" t="s">
        <v>87</v>
      </c>
      <c r="E1262" s="99" t="s">
        <v>158</v>
      </c>
      <c r="F1262" s="99" t="s">
        <v>1322</v>
      </c>
      <c r="G1262" s="100">
        <v>706.09690000000001</v>
      </c>
      <c r="H1262" s="101">
        <v>1908.37</v>
      </c>
    </row>
    <row r="1263" spans="1:8">
      <c r="A1263" s="102">
        <v>38424</v>
      </c>
      <c r="B1263" s="102" t="str">
        <f>TEXT($A1263,"mmm")</f>
        <v>Mar</v>
      </c>
      <c r="C1263" s="103" t="s">
        <v>116</v>
      </c>
      <c r="D1263" s="103" t="s">
        <v>98</v>
      </c>
      <c r="E1263" s="103" t="s">
        <v>120</v>
      </c>
      <c r="F1263" s="103" t="s">
        <v>1323</v>
      </c>
      <c r="G1263" s="104">
        <v>3604.6560000000004</v>
      </c>
      <c r="H1263" s="105">
        <v>6553.92</v>
      </c>
    </row>
    <row r="1264" spans="1:8">
      <c r="A1264" s="97">
        <v>38424</v>
      </c>
      <c r="B1264" s="97" t="str">
        <f>TEXT($A1264,"mmm")</f>
        <v>Mar</v>
      </c>
      <c r="C1264" s="99" t="s">
        <v>116</v>
      </c>
      <c r="D1264" s="99" t="s">
        <v>101</v>
      </c>
      <c r="E1264" s="99" t="s">
        <v>99</v>
      </c>
      <c r="F1264" s="99" t="s">
        <v>1324</v>
      </c>
      <c r="G1264" s="100">
        <v>1126.1528000000001</v>
      </c>
      <c r="H1264" s="101">
        <v>2618.96</v>
      </c>
    </row>
    <row r="1265" spans="1:8">
      <c r="A1265" s="102">
        <v>38423</v>
      </c>
      <c r="B1265" s="102" t="str">
        <f>TEXT($A1265,"mmm")</f>
        <v>Mar</v>
      </c>
      <c r="C1265" s="103" t="s">
        <v>104</v>
      </c>
      <c r="D1265" s="103" t="s">
        <v>114</v>
      </c>
      <c r="E1265" s="103" t="s">
        <v>96</v>
      </c>
      <c r="F1265" s="103" t="s">
        <v>1325</v>
      </c>
      <c r="G1265" s="104">
        <v>4562.5635000000002</v>
      </c>
      <c r="H1265" s="105">
        <v>8295.57</v>
      </c>
    </row>
    <row r="1266" spans="1:8">
      <c r="A1266" s="97">
        <v>38423</v>
      </c>
      <c r="B1266" s="97" t="str">
        <f>TEXT($A1266,"mmm")</f>
        <v>Mar</v>
      </c>
      <c r="C1266" s="99" t="s">
        <v>104</v>
      </c>
      <c r="D1266" s="99" t="s">
        <v>98</v>
      </c>
      <c r="E1266" s="99" t="s">
        <v>105</v>
      </c>
      <c r="F1266" s="99" t="s">
        <v>1326</v>
      </c>
      <c r="G1266" s="100">
        <v>2181.6050999999998</v>
      </c>
      <c r="H1266" s="101">
        <v>5896.23</v>
      </c>
    </row>
    <row r="1267" spans="1:8">
      <c r="A1267" s="102">
        <v>38423</v>
      </c>
      <c r="B1267" s="102" t="str">
        <f>TEXT($A1267,"mmm")</f>
        <v>Mar</v>
      </c>
      <c r="C1267" s="103" t="s">
        <v>107</v>
      </c>
      <c r="D1267" s="103" t="s">
        <v>114</v>
      </c>
      <c r="E1267" s="103" t="s">
        <v>108</v>
      </c>
      <c r="F1267" s="103" t="s">
        <v>1327</v>
      </c>
      <c r="G1267" s="104">
        <v>1499.6312000000003</v>
      </c>
      <c r="H1267" s="105">
        <v>2205.34</v>
      </c>
    </row>
    <row r="1268" spans="1:8">
      <c r="A1268" s="97">
        <v>38422</v>
      </c>
      <c r="B1268" s="97" t="str">
        <f>TEXT($A1268,"mmm")</f>
        <v>Mar</v>
      </c>
      <c r="C1268" s="99" t="s">
        <v>79</v>
      </c>
      <c r="D1268" s="99" t="s">
        <v>127</v>
      </c>
      <c r="E1268" s="99" t="s">
        <v>108</v>
      </c>
      <c r="F1268" s="99" t="s">
        <v>1328</v>
      </c>
      <c r="G1268" s="100">
        <v>6724.1503999999995</v>
      </c>
      <c r="H1268" s="101">
        <v>7641.08</v>
      </c>
    </row>
    <row r="1269" spans="1:8">
      <c r="A1269" s="102">
        <v>38422</v>
      </c>
      <c r="B1269" s="102" t="str">
        <f>TEXT($A1269,"mmm")</f>
        <v>Mar</v>
      </c>
      <c r="C1269" s="103" t="s">
        <v>79</v>
      </c>
      <c r="D1269" s="103" t="s">
        <v>95</v>
      </c>
      <c r="E1269" s="103" t="s">
        <v>83</v>
      </c>
      <c r="F1269" s="103" t="s">
        <v>1329</v>
      </c>
      <c r="G1269" s="104">
        <v>4467.8380000000006</v>
      </c>
      <c r="H1269" s="105">
        <v>6570.35</v>
      </c>
    </row>
    <row r="1270" spans="1:8">
      <c r="A1270" s="97">
        <v>38422</v>
      </c>
      <c r="B1270" s="97" t="str">
        <f>TEXT($A1270,"mmm")</f>
        <v>Mar</v>
      </c>
      <c r="C1270" s="99" t="s">
        <v>107</v>
      </c>
      <c r="D1270" s="99" t="s">
        <v>95</v>
      </c>
      <c r="E1270" s="99" t="s">
        <v>89</v>
      </c>
      <c r="F1270" s="99" t="s">
        <v>1330</v>
      </c>
      <c r="G1270" s="100">
        <v>2597.2689999999998</v>
      </c>
      <c r="H1270" s="101">
        <v>4478.05</v>
      </c>
    </row>
    <row r="1271" spans="1:8">
      <c r="A1271" s="102">
        <v>38421</v>
      </c>
      <c r="B1271" s="102" t="str">
        <f>TEXT($A1271,"mmm")</f>
        <v>Mar</v>
      </c>
      <c r="C1271" s="103" t="s">
        <v>116</v>
      </c>
      <c r="D1271" s="103" t="s">
        <v>87</v>
      </c>
      <c r="E1271" s="103" t="s">
        <v>93</v>
      </c>
      <c r="F1271" s="103" t="s">
        <v>1331</v>
      </c>
      <c r="G1271" s="104">
        <v>6587.55</v>
      </c>
      <c r="H1271" s="105">
        <v>8783.4</v>
      </c>
    </row>
    <row r="1272" spans="1:8">
      <c r="A1272" s="97">
        <v>38421</v>
      </c>
      <c r="B1272" s="97" t="str">
        <f>TEXT($A1272,"mmm")</f>
        <v>Mar</v>
      </c>
      <c r="C1272" s="99" t="s">
        <v>104</v>
      </c>
      <c r="D1272" s="99" t="s">
        <v>101</v>
      </c>
      <c r="E1272" s="99" t="s">
        <v>129</v>
      </c>
      <c r="F1272" s="99" t="s">
        <v>1332</v>
      </c>
      <c r="G1272" s="100">
        <v>113.47499999999999</v>
      </c>
      <c r="H1272" s="101">
        <v>151.30000000000001</v>
      </c>
    </row>
    <row r="1273" spans="1:8">
      <c r="A1273" s="102">
        <v>38420</v>
      </c>
      <c r="B1273" s="102" t="str">
        <f>TEXT($A1273,"mmm")</f>
        <v>Mar</v>
      </c>
      <c r="C1273" s="103" t="s">
        <v>104</v>
      </c>
      <c r="D1273" s="103" t="s">
        <v>114</v>
      </c>
      <c r="E1273" s="103" t="s">
        <v>89</v>
      </c>
      <c r="F1273" s="103" t="s">
        <v>1333</v>
      </c>
      <c r="G1273" s="104">
        <v>7634.9014500000003</v>
      </c>
      <c r="H1273" s="105">
        <v>8165.67</v>
      </c>
    </row>
    <row r="1274" spans="1:8">
      <c r="A1274" s="97">
        <v>38419</v>
      </c>
      <c r="B1274" s="97" t="str">
        <f>TEXT($A1274,"mmm")</f>
        <v>Mar</v>
      </c>
      <c r="C1274" s="99" t="s">
        <v>107</v>
      </c>
      <c r="D1274" s="99" t="s">
        <v>101</v>
      </c>
      <c r="E1274" s="99" t="s">
        <v>94</v>
      </c>
      <c r="F1274" s="99" t="s">
        <v>1334</v>
      </c>
      <c r="G1274" s="100">
        <v>62.325000000000003</v>
      </c>
      <c r="H1274" s="101">
        <v>83.1</v>
      </c>
    </row>
    <row r="1275" spans="1:8">
      <c r="A1275" s="102">
        <v>38418</v>
      </c>
      <c r="B1275" s="102" t="str">
        <f>TEXT($A1275,"mmm")</f>
        <v>Mar</v>
      </c>
      <c r="C1275" s="103" t="s">
        <v>104</v>
      </c>
      <c r="D1275" s="103" t="s">
        <v>80</v>
      </c>
      <c r="E1275" s="103" t="s">
        <v>89</v>
      </c>
      <c r="F1275" s="103" t="s">
        <v>1335</v>
      </c>
      <c r="G1275" s="104">
        <v>4769.9258</v>
      </c>
      <c r="H1275" s="105">
        <v>8224.01</v>
      </c>
    </row>
    <row r="1276" spans="1:8">
      <c r="A1276" s="97">
        <v>38418</v>
      </c>
      <c r="B1276" s="97" t="str">
        <f>TEXT($A1276,"mmm")</f>
        <v>Mar</v>
      </c>
      <c r="C1276" s="99" t="s">
        <v>116</v>
      </c>
      <c r="D1276" s="99" t="s">
        <v>80</v>
      </c>
      <c r="E1276" s="99" t="s">
        <v>93</v>
      </c>
      <c r="F1276" s="99" t="s">
        <v>1336</v>
      </c>
      <c r="G1276" s="100">
        <v>4069.8790000000004</v>
      </c>
      <c r="H1276" s="101">
        <v>7399.78</v>
      </c>
    </row>
    <row r="1277" spans="1:8">
      <c r="A1277" s="102">
        <v>38418</v>
      </c>
      <c r="B1277" s="102" t="str">
        <f>TEXT($A1277,"mmm")</f>
        <v>Mar</v>
      </c>
      <c r="C1277" s="103" t="s">
        <v>104</v>
      </c>
      <c r="D1277" s="103" t="s">
        <v>87</v>
      </c>
      <c r="E1277" s="103" t="s">
        <v>108</v>
      </c>
      <c r="F1277" s="103" t="s">
        <v>1337</v>
      </c>
      <c r="G1277" s="104">
        <v>2921.1075000000001</v>
      </c>
      <c r="H1277" s="105">
        <v>3894.81</v>
      </c>
    </row>
    <row r="1278" spans="1:8">
      <c r="A1278" s="97">
        <v>38417</v>
      </c>
      <c r="B1278" s="97" t="str">
        <f>TEXT($A1278,"mmm")</f>
        <v>Mar</v>
      </c>
      <c r="C1278" s="99" t="s">
        <v>79</v>
      </c>
      <c r="D1278" s="99" t="s">
        <v>127</v>
      </c>
      <c r="E1278" s="99" t="s">
        <v>120</v>
      </c>
      <c r="F1278" s="99" t="s">
        <v>1338</v>
      </c>
      <c r="G1278" s="100">
        <v>2567.0924999999997</v>
      </c>
      <c r="H1278" s="101">
        <v>5704.65</v>
      </c>
    </row>
    <row r="1279" spans="1:8">
      <c r="A1279" s="102">
        <v>38417</v>
      </c>
      <c r="B1279" s="102" t="str">
        <f>TEXT($A1279,"mmm")</f>
        <v>Mar</v>
      </c>
      <c r="C1279" s="103" t="s">
        <v>86</v>
      </c>
      <c r="D1279" s="103" t="s">
        <v>127</v>
      </c>
      <c r="E1279" s="103" t="s">
        <v>105</v>
      </c>
      <c r="F1279" s="103" t="s">
        <v>1339</v>
      </c>
      <c r="G1279" s="104">
        <v>3154.7064</v>
      </c>
      <c r="H1279" s="105">
        <v>5346.96</v>
      </c>
    </row>
    <row r="1280" spans="1:8">
      <c r="A1280" s="97">
        <v>38416</v>
      </c>
      <c r="B1280" s="97" t="str">
        <f>TEXT($A1280,"mmm")</f>
        <v>Mar</v>
      </c>
      <c r="C1280" s="99" t="s">
        <v>116</v>
      </c>
      <c r="D1280" s="99" t="s">
        <v>101</v>
      </c>
      <c r="E1280" s="99" t="s">
        <v>93</v>
      </c>
      <c r="F1280" s="99" t="s">
        <v>1340</v>
      </c>
      <c r="G1280" s="100">
        <v>3412.3835999999997</v>
      </c>
      <c r="H1280" s="101">
        <v>5883.42</v>
      </c>
    </row>
    <row r="1281" spans="1:8">
      <c r="A1281" s="102">
        <v>38416</v>
      </c>
      <c r="B1281" s="102" t="str">
        <f>TEXT($A1281,"mmm")</f>
        <v>Mar</v>
      </c>
      <c r="C1281" s="103" t="s">
        <v>116</v>
      </c>
      <c r="D1281" s="103" t="s">
        <v>92</v>
      </c>
      <c r="E1281" s="103" t="s">
        <v>122</v>
      </c>
      <c r="F1281" s="103" t="s">
        <v>1341</v>
      </c>
      <c r="G1281" s="104">
        <v>796.02600000000007</v>
      </c>
      <c r="H1281" s="105">
        <v>1447.32</v>
      </c>
    </row>
    <row r="1282" spans="1:8">
      <c r="A1282" s="97">
        <v>38415</v>
      </c>
      <c r="B1282" s="97" t="str">
        <f>TEXT($A1282,"mmm")</f>
        <v>Mar</v>
      </c>
      <c r="C1282" s="99" t="s">
        <v>116</v>
      </c>
      <c r="D1282" s="99" t="s">
        <v>114</v>
      </c>
      <c r="E1282" s="99" t="s">
        <v>108</v>
      </c>
      <c r="F1282" s="99" t="s">
        <v>1342</v>
      </c>
      <c r="G1282" s="100">
        <v>5245.7053000000005</v>
      </c>
      <c r="H1282" s="101">
        <v>5610.38</v>
      </c>
    </row>
    <row r="1283" spans="1:8">
      <c r="A1283" s="102">
        <v>38413</v>
      </c>
      <c r="B1283" s="102" t="str">
        <f>TEXT($A1283,"mmm")</f>
        <v>Mar</v>
      </c>
      <c r="C1283" s="103" t="s">
        <v>104</v>
      </c>
      <c r="D1283" s="103" t="s">
        <v>95</v>
      </c>
      <c r="E1283" s="103" t="s">
        <v>96</v>
      </c>
      <c r="F1283" s="103" t="s">
        <v>1343</v>
      </c>
      <c r="G1283" s="104">
        <v>4427.3895000000002</v>
      </c>
      <c r="H1283" s="105">
        <v>7504.05</v>
      </c>
    </row>
    <row r="1284" spans="1:8">
      <c r="A1284" s="97">
        <v>38412</v>
      </c>
      <c r="B1284" s="97" t="str">
        <f>TEXT($A1284,"mmm")</f>
        <v>Mar</v>
      </c>
      <c r="C1284" s="99" t="s">
        <v>104</v>
      </c>
      <c r="D1284" s="99" t="s">
        <v>95</v>
      </c>
      <c r="E1284" s="99" t="s">
        <v>93</v>
      </c>
      <c r="F1284" s="99" t="s">
        <v>1344</v>
      </c>
      <c r="G1284" s="100">
        <v>5672.61</v>
      </c>
      <c r="H1284" s="101">
        <v>7563.48</v>
      </c>
    </row>
    <row r="1285" spans="1:8">
      <c r="A1285" s="102">
        <v>38412</v>
      </c>
      <c r="B1285" s="102" t="str">
        <f>TEXT($A1285,"mmm")</f>
        <v>Mar</v>
      </c>
      <c r="C1285" s="103" t="s">
        <v>79</v>
      </c>
      <c r="D1285" s="103" t="s">
        <v>87</v>
      </c>
      <c r="E1285" s="103" t="s">
        <v>94</v>
      </c>
      <c r="F1285" s="103" t="s">
        <v>1345</v>
      </c>
      <c r="G1285" s="104">
        <v>2741.9580000000001</v>
      </c>
      <c r="H1285" s="105">
        <v>6093.24</v>
      </c>
    </row>
    <row r="1286" spans="1:8">
      <c r="A1286" s="97">
        <v>38412</v>
      </c>
      <c r="B1286" s="97" t="str">
        <f>TEXT($A1286,"mmm")</f>
        <v>Mar</v>
      </c>
      <c r="C1286" s="99" t="s">
        <v>79</v>
      </c>
      <c r="D1286" s="99" t="s">
        <v>80</v>
      </c>
      <c r="E1286" s="99" t="s">
        <v>81</v>
      </c>
      <c r="F1286" s="99" t="s">
        <v>1346</v>
      </c>
      <c r="G1286" s="100">
        <v>2122.8411999999998</v>
      </c>
      <c r="H1286" s="101">
        <v>4936.84</v>
      </c>
    </row>
    <row r="1287" spans="1:8">
      <c r="A1287" s="102">
        <v>38412</v>
      </c>
      <c r="B1287" s="102" t="str">
        <f>TEXT($A1287,"mmm")</f>
        <v>Mar</v>
      </c>
      <c r="C1287" s="103" t="s">
        <v>79</v>
      </c>
      <c r="D1287" s="103" t="s">
        <v>98</v>
      </c>
      <c r="E1287" s="103" t="s">
        <v>105</v>
      </c>
      <c r="F1287" s="103" t="s">
        <v>1347</v>
      </c>
      <c r="G1287" s="104">
        <v>1679.8924999999999</v>
      </c>
      <c r="H1287" s="105">
        <v>4540.25</v>
      </c>
    </row>
    <row r="1288" spans="1:8">
      <c r="A1288" s="97">
        <v>38412</v>
      </c>
      <c r="B1288" s="97" t="str">
        <f>TEXT($A1288,"mmm")</f>
        <v>Mar</v>
      </c>
      <c r="C1288" s="99" t="s">
        <v>116</v>
      </c>
      <c r="D1288" s="99" t="s">
        <v>87</v>
      </c>
      <c r="E1288" s="99" t="s">
        <v>94</v>
      </c>
      <c r="F1288" s="99" t="s">
        <v>1348</v>
      </c>
      <c r="G1288" s="100">
        <v>1363.1415999999999</v>
      </c>
      <c r="H1288" s="101">
        <v>2004.62</v>
      </c>
    </row>
    <row r="1289" spans="1:8">
      <c r="A1289" s="102">
        <v>38411</v>
      </c>
      <c r="B1289" s="102" t="str">
        <f>TEXT($A1289,"mmm")</f>
        <v>Feb</v>
      </c>
      <c r="C1289" s="103" t="s">
        <v>104</v>
      </c>
      <c r="D1289" s="103" t="s">
        <v>127</v>
      </c>
      <c r="E1289" s="103" t="s">
        <v>94</v>
      </c>
      <c r="F1289" s="103" t="s">
        <v>1349</v>
      </c>
      <c r="G1289" s="104">
        <v>4939.5375000000004</v>
      </c>
      <c r="H1289" s="105">
        <v>6586.05</v>
      </c>
    </row>
    <row r="1290" spans="1:8">
      <c r="A1290" s="97">
        <v>38411</v>
      </c>
      <c r="B1290" s="97" t="str">
        <f>TEXT($A1290,"mmm")</f>
        <v>Feb</v>
      </c>
      <c r="C1290" s="99" t="s">
        <v>107</v>
      </c>
      <c r="D1290" s="99" t="s">
        <v>87</v>
      </c>
      <c r="E1290" s="99" t="s">
        <v>120</v>
      </c>
      <c r="F1290" s="99" t="s">
        <v>1350</v>
      </c>
      <c r="G1290" s="100">
        <v>854.76150000000007</v>
      </c>
      <c r="H1290" s="101">
        <v>1899.47</v>
      </c>
    </row>
    <row r="1291" spans="1:8">
      <c r="A1291" s="102">
        <v>38410</v>
      </c>
      <c r="B1291" s="102" t="str">
        <f>TEXT($A1291,"mmm")</f>
        <v>Feb</v>
      </c>
      <c r="C1291" s="103" t="s">
        <v>107</v>
      </c>
      <c r="D1291" s="103" t="s">
        <v>95</v>
      </c>
      <c r="E1291" s="103" t="s">
        <v>81</v>
      </c>
      <c r="F1291" s="103" t="s">
        <v>1351</v>
      </c>
      <c r="G1291" s="104">
        <v>5707.8207999999995</v>
      </c>
      <c r="H1291" s="105">
        <v>6486.16</v>
      </c>
    </row>
    <row r="1292" spans="1:8">
      <c r="A1292" s="97">
        <v>38410</v>
      </c>
      <c r="B1292" s="97" t="str">
        <f>TEXT($A1292,"mmm")</f>
        <v>Feb</v>
      </c>
      <c r="C1292" s="99" t="s">
        <v>104</v>
      </c>
      <c r="D1292" s="99" t="s">
        <v>127</v>
      </c>
      <c r="E1292" s="99" t="s">
        <v>93</v>
      </c>
      <c r="F1292" s="99" t="s">
        <v>1352</v>
      </c>
      <c r="G1292" s="100">
        <v>2790.2655</v>
      </c>
      <c r="H1292" s="101">
        <v>6200.59</v>
      </c>
    </row>
    <row r="1293" spans="1:8">
      <c r="A1293" s="102">
        <v>38410</v>
      </c>
      <c r="B1293" s="102" t="str">
        <f>TEXT($A1293,"mmm")</f>
        <v>Feb</v>
      </c>
      <c r="C1293" s="103" t="s">
        <v>79</v>
      </c>
      <c r="D1293" s="103" t="s">
        <v>95</v>
      </c>
      <c r="E1293" s="103" t="s">
        <v>93</v>
      </c>
      <c r="F1293" s="103" t="s">
        <v>1353</v>
      </c>
      <c r="G1293" s="104">
        <v>5257.4895999999999</v>
      </c>
      <c r="H1293" s="105">
        <v>5974.42</v>
      </c>
    </row>
    <row r="1294" spans="1:8">
      <c r="A1294" s="97">
        <v>38410</v>
      </c>
      <c r="B1294" s="97" t="str">
        <f>TEXT($A1294,"mmm")</f>
        <v>Feb</v>
      </c>
      <c r="C1294" s="99" t="s">
        <v>79</v>
      </c>
      <c r="D1294" s="99" t="s">
        <v>114</v>
      </c>
      <c r="E1294" s="99" t="s">
        <v>122</v>
      </c>
      <c r="F1294" s="99" t="s">
        <v>1354</v>
      </c>
      <c r="G1294" s="100">
        <v>582.68439999999998</v>
      </c>
      <c r="H1294" s="101">
        <v>1355.08</v>
      </c>
    </row>
    <row r="1295" spans="1:8">
      <c r="A1295" s="102">
        <v>38409</v>
      </c>
      <c r="B1295" s="102" t="str">
        <f>TEXT($A1295,"mmm")</f>
        <v>Feb</v>
      </c>
      <c r="C1295" s="103" t="s">
        <v>107</v>
      </c>
      <c r="D1295" s="103" t="s">
        <v>87</v>
      </c>
      <c r="E1295" s="103" t="s">
        <v>144</v>
      </c>
      <c r="F1295" s="103" t="s">
        <v>1355</v>
      </c>
      <c r="G1295" s="104">
        <v>3176.73</v>
      </c>
      <c r="H1295" s="105">
        <v>4235.6400000000003</v>
      </c>
    </row>
    <row r="1296" spans="1:8">
      <c r="A1296" s="97">
        <v>38409</v>
      </c>
      <c r="B1296" s="97" t="str">
        <f>TEXT($A1296,"mmm")</f>
        <v>Feb</v>
      </c>
      <c r="C1296" s="99" t="s">
        <v>107</v>
      </c>
      <c r="D1296" s="99" t="s">
        <v>98</v>
      </c>
      <c r="E1296" s="99" t="s">
        <v>99</v>
      </c>
      <c r="F1296" s="99" t="s">
        <v>1356</v>
      </c>
      <c r="G1296" s="100">
        <v>1410.75605</v>
      </c>
      <c r="H1296" s="101">
        <v>1508.83</v>
      </c>
    </row>
    <row r="1297" spans="1:8">
      <c r="A1297" s="102">
        <v>38408</v>
      </c>
      <c r="B1297" s="102" t="str">
        <f>TEXT($A1297,"mmm")</f>
        <v>Feb</v>
      </c>
      <c r="C1297" s="103" t="s">
        <v>86</v>
      </c>
      <c r="D1297" s="103" t="s">
        <v>95</v>
      </c>
      <c r="E1297" s="103" t="s">
        <v>158</v>
      </c>
      <c r="F1297" s="103" t="s">
        <v>1357</v>
      </c>
      <c r="G1297" s="104">
        <v>8385.2824000000001</v>
      </c>
      <c r="H1297" s="105">
        <v>9528.73</v>
      </c>
    </row>
    <row r="1298" spans="1:8">
      <c r="A1298" s="97">
        <v>38408</v>
      </c>
      <c r="B1298" s="97" t="str">
        <f>TEXT($A1298,"mmm")</f>
        <v>Feb</v>
      </c>
      <c r="C1298" s="99" t="s">
        <v>79</v>
      </c>
      <c r="D1298" s="99" t="s">
        <v>87</v>
      </c>
      <c r="E1298" s="99" t="s">
        <v>96</v>
      </c>
      <c r="F1298" s="99" t="s">
        <v>1358</v>
      </c>
      <c r="G1298" s="100">
        <v>4688.1921999999995</v>
      </c>
      <c r="H1298" s="101">
        <v>8083.09</v>
      </c>
    </row>
    <row r="1299" spans="1:8">
      <c r="A1299" s="102">
        <v>38408</v>
      </c>
      <c r="B1299" s="102" t="str">
        <f>TEXT($A1299,"mmm")</f>
        <v>Feb</v>
      </c>
      <c r="C1299" s="103" t="s">
        <v>107</v>
      </c>
      <c r="D1299" s="103" t="s">
        <v>98</v>
      </c>
      <c r="E1299" s="103" t="s">
        <v>94</v>
      </c>
      <c r="F1299" s="103" t="s">
        <v>677</v>
      </c>
      <c r="G1299" s="104">
        <v>3112.8674999999998</v>
      </c>
      <c r="H1299" s="105">
        <v>4150.49</v>
      </c>
    </row>
    <row r="1300" spans="1:8">
      <c r="A1300" s="97">
        <v>38408</v>
      </c>
      <c r="B1300" s="97" t="str">
        <f>TEXT($A1300,"mmm")</f>
        <v>Feb</v>
      </c>
      <c r="C1300" s="99" t="s">
        <v>79</v>
      </c>
      <c r="D1300" s="99" t="s">
        <v>127</v>
      </c>
      <c r="E1300" s="99" t="s">
        <v>94</v>
      </c>
      <c r="F1300" s="99" t="s">
        <v>1359</v>
      </c>
      <c r="G1300" s="100">
        <v>1515.2425000000001</v>
      </c>
      <c r="H1300" s="101">
        <v>4095.25</v>
      </c>
    </row>
    <row r="1301" spans="1:8">
      <c r="A1301" s="102">
        <v>38408</v>
      </c>
      <c r="B1301" s="102" t="str">
        <f>TEXT($A1301,"mmm")</f>
        <v>Feb</v>
      </c>
      <c r="C1301" s="103" t="s">
        <v>79</v>
      </c>
      <c r="D1301" s="103" t="s">
        <v>101</v>
      </c>
      <c r="E1301" s="103" t="s">
        <v>122</v>
      </c>
      <c r="F1301" s="103" t="s">
        <v>1360</v>
      </c>
      <c r="G1301" s="104">
        <v>2947.3537500000002</v>
      </c>
      <c r="H1301" s="105">
        <v>3152.25</v>
      </c>
    </row>
    <row r="1302" spans="1:8">
      <c r="A1302" s="97">
        <v>38407</v>
      </c>
      <c r="B1302" s="97" t="str">
        <f>TEXT($A1302,"mmm")</f>
        <v>Feb</v>
      </c>
      <c r="C1302" s="99" t="s">
        <v>86</v>
      </c>
      <c r="D1302" s="99" t="s">
        <v>92</v>
      </c>
      <c r="E1302" s="99" t="s">
        <v>83</v>
      </c>
      <c r="F1302" s="99" t="s">
        <v>1361</v>
      </c>
      <c r="G1302" s="100">
        <v>4460.7915000000003</v>
      </c>
      <c r="H1302" s="101">
        <v>8110.53</v>
      </c>
    </row>
    <row r="1303" spans="1:8">
      <c r="A1303" s="102">
        <v>38407</v>
      </c>
      <c r="B1303" s="102" t="str">
        <f>TEXT($A1303,"mmm")</f>
        <v>Feb</v>
      </c>
      <c r="C1303" s="103" t="s">
        <v>104</v>
      </c>
      <c r="D1303" s="103" t="s">
        <v>92</v>
      </c>
      <c r="E1303" s="103" t="s">
        <v>94</v>
      </c>
      <c r="F1303" s="103" t="s">
        <v>1362</v>
      </c>
      <c r="G1303" s="104">
        <v>1636.9354999999998</v>
      </c>
      <c r="H1303" s="105">
        <v>4424.1499999999996</v>
      </c>
    </row>
    <row r="1304" spans="1:8">
      <c r="A1304" s="97">
        <v>38407</v>
      </c>
      <c r="B1304" s="97" t="str">
        <f>TEXT($A1304,"mmm")</f>
        <v>Feb</v>
      </c>
      <c r="C1304" s="99" t="s">
        <v>79</v>
      </c>
      <c r="D1304" s="99" t="s">
        <v>95</v>
      </c>
      <c r="E1304" s="99" t="s">
        <v>120</v>
      </c>
      <c r="F1304" s="99" t="s">
        <v>1363</v>
      </c>
      <c r="G1304" s="100">
        <v>1958.9674</v>
      </c>
      <c r="H1304" s="101">
        <v>3377.53</v>
      </c>
    </row>
    <row r="1305" spans="1:8">
      <c r="A1305" s="102">
        <v>38407</v>
      </c>
      <c r="B1305" s="102" t="str">
        <f>TEXT($A1305,"mmm")</f>
        <v>Feb</v>
      </c>
      <c r="C1305" s="103" t="s">
        <v>116</v>
      </c>
      <c r="D1305" s="103" t="s">
        <v>114</v>
      </c>
      <c r="E1305" s="103" t="s">
        <v>83</v>
      </c>
      <c r="F1305" s="103" t="s">
        <v>1364</v>
      </c>
      <c r="G1305" s="104">
        <v>655.1875</v>
      </c>
      <c r="H1305" s="105">
        <v>1191.25</v>
      </c>
    </row>
    <row r="1306" spans="1:8">
      <c r="A1306" s="97">
        <v>38406</v>
      </c>
      <c r="B1306" s="97" t="str">
        <f>TEXT($A1306,"mmm")</f>
        <v>Feb</v>
      </c>
      <c r="C1306" s="99" t="s">
        <v>79</v>
      </c>
      <c r="D1306" s="99" t="s">
        <v>95</v>
      </c>
      <c r="E1306" s="99" t="s">
        <v>144</v>
      </c>
      <c r="F1306" s="99" t="s">
        <v>1365</v>
      </c>
      <c r="G1306" s="100">
        <v>5808.6212000000005</v>
      </c>
      <c r="H1306" s="101">
        <v>8542.09</v>
      </c>
    </row>
    <row r="1307" spans="1:8">
      <c r="A1307" s="102">
        <v>38406</v>
      </c>
      <c r="B1307" s="102" t="str">
        <f>TEXT($A1307,"mmm")</f>
        <v>Feb</v>
      </c>
      <c r="C1307" s="103" t="s">
        <v>104</v>
      </c>
      <c r="D1307" s="103" t="s">
        <v>114</v>
      </c>
      <c r="E1307" s="103" t="s">
        <v>93</v>
      </c>
      <c r="F1307" s="103" t="s">
        <v>1366</v>
      </c>
      <c r="G1307" s="104">
        <v>3422.9535999999998</v>
      </c>
      <c r="H1307" s="105">
        <v>3889.72</v>
      </c>
    </row>
    <row r="1308" spans="1:8">
      <c r="A1308" s="97">
        <v>38406</v>
      </c>
      <c r="B1308" s="97" t="str">
        <f>TEXT($A1308,"mmm")</f>
        <v>Feb</v>
      </c>
      <c r="C1308" s="99" t="s">
        <v>116</v>
      </c>
      <c r="D1308" s="99" t="s">
        <v>98</v>
      </c>
      <c r="E1308" s="99" t="s">
        <v>81</v>
      </c>
      <c r="F1308" s="99" t="s">
        <v>1367</v>
      </c>
      <c r="G1308" s="100">
        <v>924.27480000000003</v>
      </c>
      <c r="H1308" s="101">
        <v>2498.04</v>
      </c>
    </row>
    <row r="1309" spans="1:8">
      <c r="A1309" s="102">
        <v>38405</v>
      </c>
      <c r="B1309" s="102" t="str">
        <f>TEXT($A1309,"mmm")</f>
        <v>Feb</v>
      </c>
      <c r="C1309" s="103" t="s">
        <v>86</v>
      </c>
      <c r="D1309" s="103" t="s">
        <v>95</v>
      </c>
      <c r="E1309" s="103" t="s">
        <v>144</v>
      </c>
      <c r="F1309" s="103" t="s">
        <v>1368</v>
      </c>
      <c r="G1309" s="104">
        <v>5712.8607999999995</v>
      </c>
      <c r="H1309" s="105">
        <v>9849.76</v>
      </c>
    </row>
    <row r="1310" spans="1:8">
      <c r="A1310" s="97">
        <v>38405</v>
      </c>
      <c r="B1310" s="97" t="str">
        <f>TEXT($A1310,"mmm")</f>
        <v>Feb</v>
      </c>
      <c r="C1310" s="99" t="s">
        <v>116</v>
      </c>
      <c r="D1310" s="99" t="s">
        <v>95</v>
      </c>
      <c r="E1310" s="99" t="s">
        <v>122</v>
      </c>
      <c r="F1310" s="99" t="s">
        <v>1369</v>
      </c>
      <c r="G1310" s="100">
        <v>7872.3216000000002</v>
      </c>
      <c r="H1310" s="101">
        <v>8945.82</v>
      </c>
    </row>
    <row r="1311" spans="1:8">
      <c r="A1311" s="102">
        <v>38404</v>
      </c>
      <c r="B1311" s="102" t="str">
        <f>TEXT($A1311,"mmm")</f>
        <v>Feb</v>
      </c>
      <c r="C1311" s="103" t="s">
        <v>104</v>
      </c>
      <c r="D1311" s="103" t="s">
        <v>101</v>
      </c>
      <c r="E1311" s="103" t="s">
        <v>94</v>
      </c>
      <c r="F1311" s="103" t="s">
        <v>1370</v>
      </c>
      <c r="G1311" s="104">
        <v>131.8767</v>
      </c>
      <c r="H1311" s="105">
        <v>306.69</v>
      </c>
    </row>
    <row r="1312" spans="1:8">
      <c r="A1312" s="97">
        <v>38403</v>
      </c>
      <c r="B1312" s="97" t="str">
        <f>TEXT($A1312,"mmm")</f>
        <v>Feb</v>
      </c>
      <c r="C1312" s="99" t="s">
        <v>86</v>
      </c>
      <c r="D1312" s="99" t="s">
        <v>92</v>
      </c>
      <c r="E1312" s="99" t="s">
        <v>129</v>
      </c>
      <c r="F1312" s="99" t="s">
        <v>1371</v>
      </c>
      <c r="G1312" s="100">
        <v>4808.4610000000002</v>
      </c>
      <c r="H1312" s="101">
        <v>8290.4500000000007</v>
      </c>
    </row>
    <row r="1313" spans="1:8">
      <c r="A1313" s="102">
        <v>38403</v>
      </c>
      <c r="B1313" s="102" t="str">
        <f>TEXT($A1313,"mmm")</f>
        <v>Feb</v>
      </c>
      <c r="C1313" s="103" t="s">
        <v>104</v>
      </c>
      <c r="D1313" s="103" t="s">
        <v>127</v>
      </c>
      <c r="E1313" s="103" t="s">
        <v>129</v>
      </c>
      <c r="F1313" s="103" t="s">
        <v>1372</v>
      </c>
      <c r="G1313" s="104">
        <v>3261.6914000000002</v>
      </c>
      <c r="H1313" s="105">
        <v>3488.44</v>
      </c>
    </row>
    <row r="1314" spans="1:8">
      <c r="A1314" s="97">
        <v>38402</v>
      </c>
      <c r="B1314" s="97" t="str">
        <f>TEXT($A1314,"mmm")</f>
        <v>Feb</v>
      </c>
      <c r="C1314" s="99" t="s">
        <v>79</v>
      </c>
      <c r="D1314" s="99" t="s">
        <v>87</v>
      </c>
      <c r="E1314" s="99" t="s">
        <v>99</v>
      </c>
      <c r="F1314" s="99" t="s">
        <v>1373</v>
      </c>
      <c r="G1314" s="100">
        <v>3523.0104999999999</v>
      </c>
      <c r="H1314" s="101">
        <v>9521.65</v>
      </c>
    </row>
    <row r="1315" spans="1:8">
      <c r="A1315" s="102">
        <v>38402</v>
      </c>
      <c r="B1315" s="102" t="str">
        <f>TEXT($A1315,"mmm")</f>
        <v>Feb</v>
      </c>
      <c r="C1315" s="103" t="s">
        <v>116</v>
      </c>
      <c r="D1315" s="103" t="s">
        <v>80</v>
      </c>
      <c r="E1315" s="103" t="s">
        <v>93</v>
      </c>
      <c r="F1315" s="103" t="s">
        <v>1374</v>
      </c>
      <c r="G1315" s="104">
        <v>2891.0551999999998</v>
      </c>
      <c r="H1315" s="105">
        <v>3285.29</v>
      </c>
    </row>
    <row r="1316" spans="1:8">
      <c r="A1316" s="97">
        <v>38402</v>
      </c>
      <c r="B1316" s="97" t="str">
        <f>TEXT($A1316,"mmm")</f>
        <v>Feb</v>
      </c>
      <c r="C1316" s="99" t="s">
        <v>86</v>
      </c>
      <c r="D1316" s="99" t="s">
        <v>80</v>
      </c>
      <c r="E1316" s="99" t="s">
        <v>93</v>
      </c>
      <c r="F1316" s="99" t="s">
        <v>930</v>
      </c>
      <c r="G1316" s="100">
        <v>116.9192</v>
      </c>
      <c r="H1316" s="101">
        <v>171.94</v>
      </c>
    </row>
    <row r="1317" spans="1:8">
      <c r="A1317" s="102">
        <v>38401</v>
      </c>
      <c r="B1317" s="102" t="str">
        <f>TEXT($A1317,"mmm")</f>
        <v>Feb</v>
      </c>
      <c r="C1317" s="103" t="s">
        <v>107</v>
      </c>
      <c r="D1317" s="103" t="s">
        <v>127</v>
      </c>
      <c r="E1317" s="103" t="s">
        <v>144</v>
      </c>
      <c r="F1317" s="103" t="s">
        <v>1375</v>
      </c>
      <c r="G1317" s="104">
        <v>3065.0762999999997</v>
      </c>
      <c r="H1317" s="105">
        <v>8283.99</v>
      </c>
    </row>
    <row r="1318" spans="1:8">
      <c r="A1318" s="97">
        <v>38401</v>
      </c>
      <c r="B1318" s="97" t="str">
        <f>TEXT($A1318,"mmm")</f>
        <v>Feb</v>
      </c>
      <c r="C1318" s="99" t="s">
        <v>116</v>
      </c>
      <c r="D1318" s="99" t="s">
        <v>87</v>
      </c>
      <c r="E1318" s="99" t="s">
        <v>120</v>
      </c>
      <c r="F1318" s="99" t="s">
        <v>1376</v>
      </c>
      <c r="G1318" s="100">
        <v>2924.2365</v>
      </c>
      <c r="H1318" s="101">
        <v>6800.55</v>
      </c>
    </row>
    <row r="1319" spans="1:8">
      <c r="A1319" s="102">
        <v>38401</v>
      </c>
      <c r="B1319" s="102" t="str">
        <f>TEXT($A1319,"mmm")</f>
        <v>Feb</v>
      </c>
      <c r="C1319" s="103" t="s">
        <v>79</v>
      </c>
      <c r="D1319" s="103" t="s">
        <v>80</v>
      </c>
      <c r="E1319" s="103" t="s">
        <v>89</v>
      </c>
      <c r="F1319" s="103" t="s">
        <v>1377</v>
      </c>
      <c r="G1319" s="104">
        <v>2549.8845000000001</v>
      </c>
      <c r="H1319" s="105">
        <v>5666.41</v>
      </c>
    </row>
    <row r="1320" spans="1:8">
      <c r="A1320" s="97">
        <v>38400</v>
      </c>
      <c r="B1320" s="97" t="str">
        <f>TEXT($A1320,"mmm")</f>
        <v>Feb</v>
      </c>
      <c r="C1320" s="99" t="s">
        <v>86</v>
      </c>
      <c r="D1320" s="99" t="s">
        <v>98</v>
      </c>
      <c r="E1320" s="99" t="s">
        <v>94</v>
      </c>
      <c r="F1320" s="99" t="s">
        <v>1378</v>
      </c>
      <c r="G1320" s="100">
        <v>2266.7966000000001</v>
      </c>
      <c r="H1320" s="101">
        <v>5271.62</v>
      </c>
    </row>
    <row r="1321" spans="1:8">
      <c r="A1321" s="102">
        <v>38400</v>
      </c>
      <c r="B1321" s="102" t="str">
        <f>TEXT($A1321,"mmm")</f>
        <v>Feb</v>
      </c>
      <c r="C1321" s="103" t="s">
        <v>116</v>
      </c>
      <c r="D1321" s="103" t="s">
        <v>127</v>
      </c>
      <c r="E1321" s="103" t="s">
        <v>99</v>
      </c>
      <c r="F1321" s="103" t="s">
        <v>1379</v>
      </c>
      <c r="G1321" s="104">
        <v>3002.0096000000003</v>
      </c>
      <c r="H1321" s="105">
        <v>4414.72</v>
      </c>
    </row>
    <row r="1322" spans="1:8">
      <c r="A1322" s="97">
        <v>38400</v>
      </c>
      <c r="B1322" s="97" t="str">
        <f>TEXT($A1322,"mmm")</f>
        <v>Feb</v>
      </c>
      <c r="C1322" s="99" t="s">
        <v>107</v>
      </c>
      <c r="D1322" s="99" t="s">
        <v>101</v>
      </c>
      <c r="E1322" s="99" t="s">
        <v>120</v>
      </c>
      <c r="F1322" s="99" t="s">
        <v>1380</v>
      </c>
      <c r="G1322" s="100">
        <v>2036.9360000000001</v>
      </c>
      <c r="H1322" s="101">
        <v>3703.52</v>
      </c>
    </row>
    <row r="1323" spans="1:8">
      <c r="A1323" s="102">
        <v>38400</v>
      </c>
      <c r="B1323" s="102" t="str">
        <f>TEXT($A1323,"mmm")</f>
        <v>Feb</v>
      </c>
      <c r="C1323" s="103" t="s">
        <v>79</v>
      </c>
      <c r="D1323" s="103" t="s">
        <v>80</v>
      </c>
      <c r="E1323" s="103" t="s">
        <v>89</v>
      </c>
      <c r="F1323" s="103" t="s">
        <v>1381</v>
      </c>
      <c r="G1323" s="104">
        <v>2045.5122999999999</v>
      </c>
      <c r="H1323" s="105">
        <v>3466.97</v>
      </c>
    </row>
    <row r="1324" spans="1:8">
      <c r="A1324" s="97">
        <v>38400</v>
      </c>
      <c r="B1324" s="97" t="str">
        <f>TEXT($A1324,"mmm")</f>
        <v>Feb</v>
      </c>
      <c r="C1324" s="99" t="s">
        <v>79</v>
      </c>
      <c r="D1324" s="99" t="s">
        <v>92</v>
      </c>
      <c r="E1324" s="99" t="s">
        <v>89</v>
      </c>
      <c r="F1324" s="99" t="s">
        <v>1382</v>
      </c>
      <c r="G1324" s="100">
        <v>729.13810000000001</v>
      </c>
      <c r="H1324" s="101">
        <v>1695.67</v>
      </c>
    </row>
    <row r="1325" spans="1:8">
      <c r="A1325" s="102">
        <v>38399</v>
      </c>
      <c r="B1325" s="102" t="str">
        <f>TEXT($A1325,"mmm")</f>
        <v>Feb</v>
      </c>
      <c r="C1325" s="103" t="s">
        <v>79</v>
      </c>
      <c r="D1325" s="103" t="s">
        <v>101</v>
      </c>
      <c r="E1325" s="103" t="s">
        <v>96</v>
      </c>
      <c r="F1325" s="103" t="s">
        <v>1383</v>
      </c>
      <c r="G1325" s="104">
        <v>6575.61</v>
      </c>
      <c r="H1325" s="105">
        <v>8767.48</v>
      </c>
    </row>
    <row r="1326" spans="1:8">
      <c r="A1326" s="97">
        <v>38399</v>
      </c>
      <c r="B1326" s="97" t="str">
        <f>TEXT($A1326,"mmm")</f>
        <v>Feb</v>
      </c>
      <c r="C1326" s="99" t="s">
        <v>79</v>
      </c>
      <c r="D1326" s="99" t="s">
        <v>95</v>
      </c>
      <c r="E1326" s="99" t="s">
        <v>94</v>
      </c>
      <c r="F1326" s="99" t="s">
        <v>1384</v>
      </c>
      <c r="G1326" s="100">
        <v>5085.1274000000003</v>
      </c>
      <c r="H1326" s="101">
        <v>8618.86</v>
      </c>
    </row>
    <row r="1327" spans="1:8">
      <c r="A1327" s="102">
        <v>38399</v>
      </c>
      <c r="B1327" s="102" t="str">
        <f>TEXT($A1327,"mmm")</f>
        <v>Feb</v>
      </c>
      <c r="C1327" s="103" t="s">
        <v>86</v>
      </c>
      <c r="D1327" s="103" t="s">
        <v>80</v>
      </c>
      <c r="E1327" s="103" t="s">
        <v>144</v>
      </c>
      <c r="F1327" s="103" t="s">
        <v>1385</v>
      </c>
      <c r="G1327" s="104">
        <v>4271.12</v>
      </c>
      <c r="H1327" s="105">
        <v>7364</v>
      </c>
    </row>
    <row r="1328" spans="1:8">
      <c r="A1328" s="97">
        <v>38399</v>
      </c>
      <c r="B1328" s="97" t="str">
        <f>TEXT($A1328,"mmm")</f>
        <v>Feb</v>
      </c>
      <c r="C1328" s="99" t="s">
        <v>79</v>
      </c>
      <c r="D1328" s="99" t="s">
        <v>87</v>
      </c>
      <c r="E1328" s="99" t="s">
        <v>89</v>
      </c>
      <c r="F1328" s="99" t="s">
        <v>232</v>
      </c>
      <c r="G1328" s="100">
        <v>2235.2264</v>
      </c>
      <c r="H1328" s="101">
        <v>2540.0300000000002</v>
      </c>
    </row>
    <row r="1329" spans="1:8">
      <c r="A1329" s="102">
        <v>38399</v>
      </c>
      <c r="B1329" s="102" t="str">
        <f>TEXT($A1329,"mmm")</f>
        <v>Feb</v>
      </c>
      <c r="C1329" s="103" t="s">
        <v>116</v>
      </c>
      <c r="D1329" s="103" t="s">
        <v>95</v>
      </c>
      <c r="E1329" s="103" t="s">
        <v>89</v>
      </c>
      <c r="F1329" s="103" t="s">
        <v>407</v>
      </c>
      <c r="G1329" s="104">
        <v>1982.4816000000001</v>
      </c>
      <c r="H1329" s="105">
        <v>2252.8200000000002</v>
      </c>
    </row>
    <row r="1330" spans="1:8">
      <c r="A1330" s="97">
        <v>38398</v>
      </c>
      <c r="B1330" s="97" t="str">
        <f>TEXT($A1330,"mmm")</f>
        <v>Feb</v>
      </c>
      <c r="C1330" s="99" t="s">
        <v>79</v>
      </c>
      <c r="D1330" s="99" t="s">
        <v>87</v>
      </c>
      <c r="E1330" s="99" t="s">
        <v>108</v>
      </c>
      <c r="F1330" s="99" t="s">
        <v>1386</v>
      </c>
      <c r="G1330" s="100">
        <v>5537.9405999999999</v>
      </c>
      <c r="H1330" s="101">
        <v>9386.34</v>
      </c>
    </row>
    <row r="1331" spans="1:8">
      <c r="A1331" s="102">
        <v>38397</v>
      </c>
      <c r="B1331" s="102" t="str">
        <f>TEXT($A1331,"mmm")</f>
        <v>Feb</v>
      </c>
      <c r="C1331" s="103" t="s">
        <v>86</v>
      </c>
      <c r="D1331" s="103" t="s">
        <v>98</v>
      </c>
      <c r="E1331" s="103" t="s">
        <v>129</v>
      </c>
      <c r="F1331" s="103" t="s">
        <v>1387</v>
      </c>
      <c r="G1331" s="104">
        <v>8318.6202000000012</v>
      </c>
      <c r="H1331" s="105">
        <v>8896.92</v>
      </c>
    </row>
    <row r="1332" spans="1:8">
      <c r="A1332" s="97">
        <v>38397</v>
      </c>
      <c r="B1332" s="97" t="str">
        <f>TEXT($A1332,"mmm")</f>
        <v>Feb</v>
      </c>
      <c r="C1332" s="99" t="s">
        <v>104</v>
      </c>
      <c r="D1332" s="99" t="s">
        <v>95</v>
      </c>
      <c r="E1332" s="99" t="s">
        <v>94</v>
      </c>
      <c r="F1332" s="99" t="s">
        <v>1388</v>
      </c>
      <c r="G1332" s="100">
        <v>5433.78</v>
      </c>
      <c r="H1332" s="101">
        <v>7245.04</v>
      </c>
    </row>
    <row r="1333" spans="1:8">
      <c r="A1333" s="102">
        <v>38397</v>
      </c>
      <c r="B1333" s="102" t="str">
        <f>TEXT($A1333,"mmm")</f>
        <v>Feb</v>
      </c>
      <c r="C1333" s="103" t="s">
        <v>107</v>
      </c>
      <c r="D1333" s="103" t="s">
        <v>114</v>
      </c>
      <c r="E1333" s="103" t="s">
        <v>83</v>
      </c>
      <c r="F1333" s="103" t="s">
        <v>1389</v>
      </c>
      <c r="G1333" s="104">
        <v>1698.6662999999999</v>
      </c>
      <c r="H1333" s="105">
        <v>4590.99</v>
      </c>
    </row>
    <row r="1334" spans="1:8">
      <c r="A1334" s="97">
        <v>38397</v>
      </c>
      <c r="B1334" s="97" t="str">
        <f>TEXT($A1334,"mmm")</f>
        <v>Feb</v>
      </c>
      <c r="C1334" s="99" t="s">
        <v>86</v>
      </c>
      <c r="D1334" s="99" t="s">
        <v>92</v>
      </c>
      <c r="E1334" s="99" t="s">
        <v>83</v>
      </c>
      <c r="F1334" s="99" t="s">
        <v>1390</v>
      </c>
      <c r="G1334" s="100">
        <v>1401.4682999999998</v>
      </c>
      <c r="H1334" s="101">
        <v>2375.37</v>
      </c>
    </row>
    <row r="1335" spans="1:8">
      <c r="A1335" s="102">
        <v>38395</v>
      </c>
      <c r="B1335" s="102" t="str">
        <f>TEXT($A1335,"mmm")</f>
        <v>Feb</v>
      </c>
      <c r="C1335" s="103" t="s">
        <v>86</v>
      </c>
      <c r="D1335" s="103" t="s">
        <v>95</v>
      </c>
      <c r="E1335" s="103" t="s">
        <v>129</v>
      </c>
      <c r="F1335" s="103" t="s">
        <v>1267</v>
      </c>
      <c r="G1335" s="104">
        <v>6955.6052499999996</v>
      </c>
      <c r="H1335" s="105">
        <v>7439.15</v>
      </c>
    </row>
    <row r="1336" spans="1:8">
      <c r="A1336" s="97">
        <v>38395</v>
      </c>
      <c r="B1336" s="97" t="str">
        <f>TEXT($A1336,"mmm")</f>
        <v>Feb</v>
      </c>
      <c r="C1336" s="99" t="s">
        <v>86</v>
      </c>
      <c r="D1336" s="99" t="s">
        <v>92</v>
      </c>
      <c r="E1336" s="99" t="s">
        <v>158</v>
      </c>
      <c r="F1336" s="99" t="s">
        <v>1391</v>
      </c>
      <c r="G1336" s="100">
        <v>1100.8875</v>
      </c>
      <c r="H1336" s="101">
        <v>1467.85</v>
      </c>
    </row>
    <row r="1337" spans="1:8">
      <c r="A1337" s="102">
        <v>38394</v>
      </c>
      <c r="B1337" s="102" t="str">
        <f>TEXT($A1337,"mmm")</f>
        <v>Feb</v>
      </c>
      <c r="C1337" s="103" t="s">
        <v>116</v>
      </c>
      <c r="D1337" s="103" t="s">
        <v>95</v>
      </c>
      <c r="E1337" s="103" t="s">
        <v>108</v>
      </c>
      <c r="F1337" s="103" t="s">
        <v>740</v>
      </c>
      <c r="G1337" s="104">
        <v>4673.3073999999997</v>
      </c>
      <c r="H1337" s="105">
        <v>7920.86</v>
      </c>
    </row>
    <row r="1338" spans="1:8">
      <c r="A1338" s="97">
        <v>38394</v>
      </c>
      <c r="B1338" s="97" t="str">
        <f>TEXT($A1338,"mmm")</f>
        <v>Feb</v>
      </c>
      <c r="C1338" s="99" t="s">
        <v>116</v>
      </c>
      <c r="D1338" s="99" t="s">
        <v>92</v>
      </c>
      <c r="E1338" s="99" t="s">
        <v>89</v>
      </c>
      <c r="F1338" s="99" t="s">
        <v>908</v>
      </c>
      <c r="G1338" s="100">
        <v>3639.0150000000003</v>
      </c>
      <c r="H1338" s="101">
        <v>4852.0200000000004</v>
      </c>
    </row>
    <row r="1339" spans="1:8">
      <c r="A1339" s="102">
        <v>38393</v>
      </c>
      <c r="B1339" s="102" t="str">
        <f>TEXT($A1339,"mmm")</f>
        <v>Feb</v>
      </c>
      <c r="C1339" s="103" t="s">
        <v>104</v>
      </c>
      <c r="D1339" s="103" t="s">
        <v>114</v>
      </c>
      <c r="E1339" s="103" t="s">
        <v>144</v>
      </c>
      <c r="F1339" s="103" t="s">
        <v>1392</v>
      </c>
      <c r="G1339" s="104">
        <v>4297.5231999999996</v>
      </c>
      <c r="H1339" s="105">
        <v>9994.24</v>
      </c>
    </row>
    <row r="1340" spans="1:8">
      <c r="A1340" s="97">
        <v>38393</v>
      </c>
      <c r="B1340" s="97" t="str">
        <f>TEXT($A1340,"mmm")</f>
        <v>Feb</v>
      </c>
      <c r="C1340" s="99" t="s">
        <v>104</v>
      </c>
      <c r="D1340" s="99" t="s">
        <v>127</v>
      </c>
      <c r="E1340" s="99" t="s">
        <v>93</v>
      </c>
      <c r="F1340" s="99" t="s">
        <v>1393</v>
      </c>
      <c r="G1340" s="100">
        <v>3806.2051999999999</v>
      </c>
      <c r="H1340" s="101">
        <v>8851.64</v>
      </c>
    </row>
    <row r="1341" spans="1:8">
      <c r="A1341" s="102">
        <v>38393</v>
      </c>
      <c r="B1341" s="102" t="str">
        <f>TEXT($A1341,"mmm")</f>
        <v>Feb</v>
      </c>
      <c r="C1341" s="103" t="s">
        <v>86</v>
      </c>
      <c r="D1341" s="103" t="s">
        <v>95</v>
      </c>
      <c r="E1341" s="103" t="s">
        <v>94</v>
      </c>
      <c r="F1341" s="103" t="s">
        <v>1394</v>
      </c>
      <c r="G1341" s="104">
        <v>5970.7384000000002</v>
      </c>
      <c r="H1341" s="105">
        <v>6784.93</v>
      </c>
    </row>
    <row r="1342" spans="1:8">
      <c r="A1342" s="97">
        <v>38393</v>
      </c>
      <c r="B1342" s="97" t="str">
        <f>TEXT($A1342,"mmm")</f>
        <v>Feb</v>
      </c>
      <c r="C1342" s="99" t="s">
        <v>79</v>
      </c>
      <c r="D1342" s="99" t="s">
        <v>101</v>
      </c>
      <c r="E1342" s="99" t="s">
        <v>93</v>
      </c>
      <c r="F1342" s="99" t="s">
        <v>1395</v>
      </c>
      <c r="G1342" s="100">
        <v>2590.3503999999998</v>
      </c>
      <c r="H1342" s="101">
        <v>2943.58</v>
      </c>
    </row>
    <row r="1343" spans="1:8">
      <c r="A1343" s="102">
        <v>38392</v>
      </c>
      <c r="B1343" s="102" t="str">
        <f>TEXT($A1343,"mmm")</f>
        <v>Feb</v>
      </c>
      <c r="C1343" s="103" t="s">
        <v>86</v>
      </c>
      <c r="D1343" s="103" t="s">
        <v>92</v>
      </c>
      <c r="E1343" s="103" t="s">
        <v>81</v>
      </c>
      <c r="F1343" s="103" t="s">
        <v>1396</v>
      </c>
      <c r="G1343" s="104">
        <v>7362.1875</v>
      </c>
      <c r="H1343" s="105">
        <v>9816.25</v>
      </c>
    </row>
    <row r="1344" spans="1:8">
      <c r="A1344" s="97">
        <v>38392</v>
      </c>
      <c r="B1344" s="97" t="str">
        <f>TEXT($A1344,"mmm")</f>
        <v>Feb</v>
      </c>
      <c r="C1344" s="99" t="s">
        <v>104</v>
      </c>
      <c r="D1344" s="99" t="s">
        <v>98</v>
      </c>
      <c r="E1344" s="99" t="s">
        <v>144</v>
      </c>
      <c r="F1344" s="99" t="s">
        <v>1397</v>
      </c>
      <c r="G1344" s="100">
        <v>3654.0524999999998</v>
      </c>
      <c r="H1344" s="101">
        <v>4872.07</v>
      </c>
    </row>
    <row r="1345" spans="1:8">
      <c r="A1345" s="102">
        <v>38392</v>
      </c>
      <c r="B1345" s="102" t="str">
        <f>TEXT($A1345,"mmm")</f>
        <v>Feb</v>
      </c>
      <c r="C1345" s="103" t="s">
        <v>86</v>
      </c>
      <c r="D1345" s="103" t="s">
        <v>101</v>
      </c>
      <c r="E1345" s="103" t="s">
        <v>81</v>
      </c>
      <c r="F1345" s="103" t="s">
        <v>1398</v>
      </c>
      <c r="G1345" s="104">
        <v>1835.6528000000001</v>
      </c>
      <c r="H1345" s="105">
        <v>4268.96</v>
      </c>
    </row>
    <row r="1346" spans="1:8">
      <c r="A1346" s="97">
        <v>38392</v>
      </c>
      <c r="B1346" s="97" t="str">
        <f>TEXT($A1346,"mmm")</f>
        <v>Feb</v>
      </c>
      <c r="C1346" s="99" t="s">
        <v>86</v>
      </c>
      <c r="D1346" s="99" t="s">
        <v>101</v>
      </c>
      <c r="E1346" s="99" t="s">
        <v>120</v>
      </c>
      <c r="F1346" s="99" t="s">
        <v>1399</v>
      </c>
      <c r="G1346" s="100">
        <v>2890.395</v>
      </c>
      <c r="H1346" s="101">
        <v>3853.86</v>
      </c>
    </row>
    <row r="1347" spans="1:8">
      <c r="A1347" s="102">
        <v>38392</v>
      </c>
      <c r="B1347" s="102" t="str">
        <f>TEXT($A1347,"mmm")</f>
        <v>Feb</v>
      </c>
      <c r="C1347" s="103" t="s">
        <v>86</v>
      </c>
      <c r="D1347" s="103" t="s">
        <v>101</v>
      </c>
      <c r="E1347" s="103" t="s">
        <v>83</v>
      </c>
      <c r="F1347" s="103" t="s">
        <v>1400</v>
      </c>
      <c r="G1347" s="104">
        <v>1523.7339999999999</v>
      </c>
      <c r="H1347" s="105">
        <v>2582.6</v>
      </c>
    </row>
    <row r="1348" spans="1:8">
      <c r="A1348" s="97">
        <v>38391</v>
      </c>
      <c r="B1348" s="97" t="str">
        <f>TEXT($A1348,"mmm")</f>
        <v>Feb</v>
      </c>
      <c r="C1348" s="99" t="s">
        <v>79</v>
      </c>
      <c r="D1348" s="99" t="s">
        <v>127</v>
      </c>
      <c r="E1348" s="99" t="s">
        <v>108</v>
      </c>
      <c r="F1348" s="99" t="s">
        <v>1401</v>
      </c>
      <c r="G1348" s="100">
        <v>6764.5286500000002</v>
      </c>
      <c r="H1348" s="101">
        <v>7234.79</v>
      </c>
    </row>
    <row r="1349" spans="1:8">
      <c r="A1349" s="102">
        <v>38391</v>
      </c>
      <c r="B1349" s="102" t="str">
        <f>TEXT($A1349,"mmm")</f>
        <v>Feb</v>
      </c>
      <c r="C1349" s="103" t="s">
        <v>107</v>
      </c>
      <c r="D1349" s="103" t="s">
        <v>114</v>
      </c>
      <c r="E1349" s="103" t="s">
        <v>83</v>
      </c>
      <c r="F1349" s="103" t="s">
        <v>1402</v>
      </c>
      <c r="G1349" s="104">
        <v>3726.3071999999997</v>
      </c>
      <c r="H1349" s="105">
        <v>4234.4399999999996</v>
      </c>
    </row>
    <row r="1350" spans="1:8">
      <c r="A1350" s="97">
        <v>38391</v>
      </c>
      <c r="B1350" s="97" t="str">
        <f>TEXT($A1350,"mmm")</f>
        <v>Feb</v>
      </c>
      <c r="C1350" s="99" t="s">
        <v>116</v>
      </c>
      <c r="D1350" s="99" t="s">
        <v>80</v>
      </c>
      <c r="E1350" s="99" t="s">
        <v>81</v>
      </c>
      <c r="F1350" s="99" t="s">
        <v>1403</v>
      </c>
      <c r="G1350" s="100">
        <v>1936.7624999999998</v>
      </c>
      <c r="H1350" s="101">
        <v>2582.35</v>
      </c>
    </row>
    <row r="1351" spans="1:8">
      <c r="A1351" s="102">
        <v>38391</v>
      </c>
      <c r="B1351" s="102" t="str">
        <f>TEXT($A1351,"mmm")</f>
        <v>Feb</v>
      </c>
      <c r="C1351" s="103" t="s">
        <v>79</v>
      </c>
      <c r="D1351" s="103" t="s">
        <v>98</v>
      </c>
      <c r="E1351" s="103" t="s">
        <v>93</v>
      </c>
      <c r="F1351" s="103" t="s">
        <v>1404</v>
      </c>
      <c r="G1351" s="104">
        <v>2180.0416</v>
      </c>
      <c r="H1351" s="105">
        <v>2477.3200000000002</v>
      </c>
    </row>
    <row r="1352" spans="1:8">
      <c r="A1352" s="97">
        <v>38390</v>
      </c>
      <c r="B1352" s="97" t="str">
        <f>TEXT($A1352,"mmm")</f>
        <v>Feb</v>
      </c>
      <c r="C1352" s="99" t="s">
        <v>107</v>
      </c>
      <c r="D1352" s="99" t="s">
        <v>127</v>
      </c>
      <c r="E1352" s="99" t="s">
        <v>144</v>
      </c>
      <c r="F1352" s="99" t="s">
        <v>1405</v>
      </c>
      <c r="G1352" s="100">
        <v>2178.4634999999998</v>
      </c>
      <c r="H1352" s="101">
        <v>4841.03</v>
      </c>
    </row>
    <row r="1353" spans="1:8">
      <c r="A1353" s="102">
        <v>38390</v>
      </c>
      <c r="B1353" s="102" t="str">
        <f>TEXT($A1353,"mmm")</f>
        <v>Feb</v>
      </c>
      <c r="C1353" s="103" t="s">
        <v>107</v>
      </c>
      <c r="D1353" s="103" t="s">
        <v>114</v>
      </c>
      <c r="E1353" s="103" t="s">
        <v>158</v>
      </c>
      <c r="F1353" s="103" t="s">
        <v>1406</v>
      </c>
      <c r="G1353" s="104">
        <v>3726.0311000000002</v>
      </c>
      <c r="H1353" s="105">
        <v>3985.06</v>
      </c>
    </row>
    <row r="1354" spans="1:8">
      <c r="A1354" s="97">
        <v>38390</v>
      </c>
      <c r="B1354" s="97" t="str">
        <f>TEXT($A1354,"mmm")</f>
        <v>Feb</v>
      </c>
      <c r="C1354" s="99" t="s">
        <v>104</v>
      </c>
      <c r="D1354" s="99" t="s">
        <v>101</v>
      </c>
      <c r="E1354" s="99" t="s">
        <v>129</v>
      </c>
      <c r="F1354" s="99" t="s">
        <v>1407</v>
      </c>
      <c r="G1354" s="100">
        <v>1000.8943999999999</v>
      </c>
      <c r="H1354" s="101">
        <v>2705.12</v>
      </c>
    </row>
    <row r="1355" spans="1:8">
      <c r="A1355" s="102">
        <v>38389</v>
      </c>
      <c r="B1355" s="102" t="str">
        <f>TEXT($A1355,"mmm")</f>
        <v>Feb</v>
      </c>
      <c r="C1355" s="103" t="s">
        <v>107</v>
      </c>
      <c r="D1355" s="103" t="s">
        <v>80</v>
      </c>
      <c r="E1355" s="103" t="s">
        <v>158</v>
      </c>
      <c r="F1355" s="103" t="s">
        <v>1408</v>
      </c>
      <c r="G1355" s="104">
        <v>5322.3736000000008</v>
      </c>
      <c r="H1355" s="105">
        <v>7827.02</v>
      </c>
    </row>
    <row r="1356" spans="1:8">
      <c r="A1356" s="97">
        <v>38389</v>
      </c>
      <c r="B1356" s="97" t="str">
        <f>TEXT($A1356,"mmm")</f>
        <v>Feb</v>
      </c>
      <c r="C1356" s="99" t="s">
        <v>107</v>
      </c>
      <c r="D1356" s="99" t="s">
        <v>80</v>
      </c>
      <c r="E1356" s="99" t="s">
        <v>144</v>
      </c>
      <c r="F1356" s="99" t="s">
        <v>1409</v>
      </c>
      <c r="G1356" s="100">
        <v>2084.6947</v>
      </c>
      <c r="H1356" s="101">
        <v>5634.31</v>
      </c>
    </row>
    <row r="1357" spans="1:8">
      <c r="A1357" s="102">
        <v>38389</v>
      </c>
      <c r="B1357" s="102" t="str">
        <f>TEXT($A1357,"mmm")</f>
        <v>Feb</v>
      </c>
      <c r="C1357" s="103" t="s">
        <v>116</v>
      </c>
      <c r="D1357" s="103" t="s">
        <v>98</v>
      </c>
      <c r="E1357" s="103" t="s">
        <v>158</v>
      </c>
      <c r="F1357" s="103" t="s">
        <v>1410</v>
      </c>
      <c r="G1357" s="104">
        <v>1615.6175000000001</v>
      </c>
      <c r="H1357" s="105">
        <v>3757.25</v>
      </c>
    </row>
    <row r="1358" spans="1:8">
      <c r="A1358" s="97">
        <v>38387</v>
      </c>
      <c r="B1358" s="97" t="str">
        <f>TEXT($A1358,"mmm")</f>
        <v>Feb</v>
      </c>
      <c r="C1358" s="99" t="s">
        <v>104</v>
      </c>
      <c r="D1358" s="99" t="s">
        <v>92</v>
      </c>
      <c r="E1358" s="99" t="s">
        <v>83</v>
      </c>
      <c r="F1358" s="99" t="s">
        <v>1188</v>
      </c>
      <c r="G1358" s="100">
        <v>4457.7246999999998</v>
      </c>
      <c r="H1358" s="101">
        <v>4767.62</v>
      </c>
    </row>
    <row r="1359" spans="1:8">
      <c r="A1359" s="102">
        <v>38387</v>
      </c>
      <c r="B1359" s="102" t="str">
        <f>TEXT($A1359,"mmm")</f>
        <v>Feb</v>
      </c>
      <c r="C1359" s="103" t="s">
        <v>79</v>
      </c>
      <c r="D1359" s="103" t="s">
        <v>127</v>
      </c>
      <c r="E1359" s="103" t="s">
        <v>94</v>
      </c>
      <c r="F1359" s="103" t="s">
        <v>1411</v>
      </c>
      <c r="G1359" s="104">
        <v>2044.8008000000002</v>
      </c>
      <c r="H1359" s="105">
        <v>3007.06</v>
      </c>
    </row>
    <row r="1360" spans="1:8">
      <c r="A1360" s="97">
        <v>38386</v>
      </c>
      <c r="B1360" s="97" t="str">
        <f>TEXT($A1360,"mmm")</f>
        <v>Feb</v>
      </c>
      <c r="C1360" s="99" t="s">
        <v>104</v>
      </c>
      <c r="D1360" s="99" t="s">
        <v>127</v>
      </c>
      <c r="E1360" s="99" t="s">
        <v>105</v>
      </c>
      <c r="F1360" s="99" t="s">
        <v>1412</v>
      </c>
      <c r="G1360" s="100">
        <v>5162.8456000000006</v>
      </c>
      <c r="H1360" s="101">
        <v>5521.76</v>
      </c>
    </row>
    <row r="1361" spans="1:8">
      <c r="A1361" s="102">
        <v>38386</v>
      </c>
      <c r="B1361" s="102" t="str">
        <f>TEXT($A1361,"mmm")</f>
        <v>Feb</v>
      </c>
      <c r="C1361" s="103" t="s">
        <v>86</v>
      </c>
      <c r="D1361" s="103" t="s">
        <v>101</v>
      </c>
      <c r="E1361" s="103" t="s">
        <v>81</v>
      </c>
      <c r="F1361" s="103" t="s">
        <v>1413</v>
      </c>
      <c r="G1361" s="104">
        <v>862.85950000000003</v>
      </c>
      <c r="H1361" s="105">
        <v>2006.65</v>
      </c>
    </row>
    <row r="1362" spans="1:8">
      <c r="A1362" s="97">
        <v>38384</v>
      </c>
      <c r="B1362" s="97" t="str">
        <f>TEXT($A1362,"mmm")</f>
        <v>Feb</v>
      </c>
      <c r="C1362" s="99" t="s">
        <v>86</v>
      </c>
      <c r="D1362" s="99" t="s">
        <v>95</v>
      </c>
      <c r="E1362" s="99" t="s">
        <v>93</v>
      </c>
      <c r="F1362" s="99" t="s">
        <v>1414</v>
      </c>
      <c r="G1362" s="100">
        <v>9318.9580000000005</v>
      </c>
      <c r="H1362" s="101">
        <v>9966.7999999999993</v>
      </c>
    </row>
    <row r="1363" spans="1:8">
      <c r="A1363" s="102">
        <v>38384</v>
      </c>
      <c r="B1363" s="102" t="str">
        <f>TEXT($A1363,"mmm")</f>
        <v>Feb</v>
      </c>
      <c r="C1363" s="103" t="s">
        <v>79</v>
      </c>
      <c r="D1363" s="103" t="s">
        <v>98</v>
      </c>
      <c r="E1363" s="103" t="s">
        <v>144</v>
      </c>
      <c r="F1363" s="103" t="s">
        <v>1415</v>
      </c>
      <c r="G1363" s="104">
        <v>5841.0096000000003</v>
      </c>
      <c r="H1363" s="105">
        <v>8589.7199999999993</v>
      </c>
    </row>
    <row r="1364" spans="1:8">
      <c r="A1364" s="97">
        <v>38384</v>
      </c>
      <c r="B1364" s="97" t="str">
        <f>TEXT($A1364,"mmm")</f>
        <v>Feb</v>
      </c>
      <c r="C1364" s="99" t="s">
        <v>116</v>
      </c>
      <c r="D1364" s="99" t="s">
        <v>87</v>
      </c>
      <c r="E1364" s="99" t="s">
        <v>144</v>
      </c>
      <c r="F1364" s="99" t="s">
        <v>1416</v>
      </c>
      <c r="G1364" s="100">
        <v>1760.2029500000001</v>
      </c>
      <c r="H1364" s="101">
        <v>1882.57</v>
      </c>
    </row>
    <row r="1365" spans="1:8">
      <c r="A1365" s="102">
        <v>38383</v>
      </c>
      <c r="B1365" s="102" t="str">
        <f>TEXT($A1365,"mmm")</f>
        <v>Jan</v>
      </c>
      <c r="C1365" s="103" t="s">
        <v>79</v>
      </c>
      <c r="D1365" s="103" t="s">
        <v>127</v>
      </c>
      <c r="E1365" s="103" t="s">
        <v>105</v>
      </c>
      <c r="F1365" s="103" t="s">
        <v>1417</v>
      </c>
      <c r="G1365" s="104">
        <v>3331.0480000000007</v>
      </c>
      <c r="H1365" s="105">
        <v>4898.6000000000004</v>
      </c>
    </row>
    <row r="1366" spans="1:8">
      <c r="A1366" s="97">
        <v>38383</v>
      </c>
      <c r="B1366" s="97" t="str">
        <f>TEXT($A1366,"mmm")</f>
        <v>Jan</v>
      </c>
      <c r="C1366" s="99" t="s">
        <v>104</v>
      </c>
      <c r="D1366" s="99" t="s">
        <v>80</v>
      </c>
      <c r="E1366" s="99" t="s">
        <v>99</v>
      </c>
      <c r="F1366" s="99" t="s">
        <v>1418</v>
      </c>
      <c r="G1366" s="100">
        <v>347.11599999999999</v>
      </c>
      <c r="H1366" s="101">
        <v>394.45</v>
      </c>
    </row>
    <row r="1367" spans="1:8">
      <c r="A1367" s="102">
        <v>38382</v>
      </c>
      <c r="B1367" s="102" t="str">
        <f>TEXT($A1367,"mmm")</f>
        <v>Jan</v>
      </c>
      <c r="C1367" s="103" t="s">
        <v>79</v>
      </c>
      <c r="D1367" s="103" t="s">
        <v>127</v>
      </c>
      <c r="E1367" s="103" t="s">
        <v>105</v>
      </c>
      <c r="F1367" s="103" t="s">
        <v>1419</v>
      </c>
      <c r="G1367" s="104">
        <v>5989.4823999999999</v>
      </c>
      <c r="H1367" s="105">
        <v>6806.23</v>
      </c>
    </row>
    <row r="1368" spans="1:8">
      <c r="A1368" s="97">
        <v>38382</v>
      </c>
      <c r="B1368" s="97" t="str">
        <f>TEXT($A1368,"mmm")</f>
        <v>Jan</v>
      </c>
      <c r="C1368" s="99" t="s">
        <v>86</v>
      </c>
      <c r="D1368" s="99" t="s">
        <v>87</v>
      </c>
      <c r="E1368" s="99" t="s">
        <v>120</v>
      </c>
      <c r="F1368" s="99" t="s">
        <v>1230</v>
      </c>
      <c r="G1368" s="100">
        <v>1615.2584000000002</v>
      </c>
      <c r="H1368" s="101">
        <v>2375.38</v>
      </c>
    </row>
    <row r="1369" spans="1:8">
      <c r="A1369" s="102">
        <v>38381</v>
      </c>
      <c r="B1369" s="102" t="str">
        <f>TEXT($A1369,"mmm")</f>
        <v>Jan</v>
      </c>
      <c r="C1369" s="103" t="s">
        <v>79</v>
      </c>
      <c r="D1369" s="103" t="s">
        <v>95</v>
      </c>
      <c r="E1369" s="103" t="s">
        <v>158</v>
      </c>
      <c r="F1369" s="103" t="s">
        <v>1420</v>
      </c>
      <c r="G1369" s="104">
        <v>5831.5186999999996</v>
      </c>
      <c r="H1369" s="105">
        <v>9883.93</v>
      </c>
    </row>
    <row r="1370" spans="1:8">
      <c r="A1370" s="97">
        <v>38381</v>
      </c>
      <c r="B1370" s="97" t="str">
        <f>TEXT($A1370,"mmm")</f>
        <v>Jan</v>
      </c>
      <c r="C1370" s="99" t="s">
        <v>116</v>
      </c>
      <c r="D1370" s="99" t="s">
        <v>98</v>
      </c>
      <c r="E1370" s="99" t="s">
        <v>94</v>
      </c>
      <c r="F1370" s="99" t="s">
        <v>1421</v>
      </c>
      <c r="G1370" s="100">
        <v>7371.4425000000001</v>
      </c>
      <c r="H1370" s="101">
        <v>9828.59</v>
      </c>
    </row>
    <row r="1371" spans="1:8">
      <c r="A1371" s="102">
        <v>38381</v>
      </c>
      <c r="B1371" s="102" t="str">
        <f>TEXT($A1371,"mmm")</f>
        <v>Jan</v>
      </c>
      <c r="C1371" s="103" t="s">
        <v>86</v>
      </c>
      <c r="D1371" s="103" t="s">
        <v>80</v>
      </c>
      <c r="E1371" s="103" t="s">
        <v>144</v>
      </c>
      <c r="F1371" s="103" t="s">
        <v>1422</v>
      </c>
      <c r="G1371" s="104">
        <v>5142.9075000000003</v>
      </c>
      <c r="H1371" s="105">
        <v>6857.21</v>
      </c>
    </row>
    <row r="1372" spans="1:8">
      <c r="A1372" s="97">
        <v>38381</v>
      </c>
      <c r="B1372" s="97" t="str">
        <f>TEXT($A1372,"mmm")</f>
        <v>Jan</v>
      </c>
      <c r="C1372" s="99" t="s">
        <v>107</v>
      </c>
      <c r="D1372" s="99" t="s">
        <v>127</v>
      </c>
      <c r="E1372" s="99" t="s">
        <v>89</v>
      </c>
      <c r="F1372" s="99" t="s">
        <v>1423</v>
      </c>
      <c r="G1372" s="100">
        <v>969.03510000000006</v>
      </c>
      <c r="H1372" s="101">
        <v>2253.5700000000002</v>
      </c>
    </row>
    <row r="1373" spans="1:8">
      <c r="A1373" s="102">
        <v>38381</v>
      </c>
      <c r="B1373" s="102" t="str">
        <f>TEXT($A1373,"mmm")</f>
        <v>Jan</v>
      </c>
      <c r="C1373" s="103" t="s">
        <v>107</v>
      </c>
      <c r="D1373" s="103" t="s">
        <v>87</v>
      </c>
      <c r="E1373" s="103" t="s">
        <v>83</v>
      </c>
      <c r="F1373" s="103" t="s">
        <v>1424</v>
      </c>
      <c r="G1373" s="104">
        <v>185.38160000000002</v>
      </c>
      <c r="H1373" s="105">
        <v>272.62</v>
      </c>
    </row>
    <row r="1374" spans="1:8">
      <c r="A1374" s="97">
        <v>38380</v>
      </c>
      <c r="B1374" s="97" t="str">
        <f>TEXT($A1374,"mmm")</f>
        <v>Jan</v>
      </c>
      <c r="C1374" s="99" t="s">
        <v>79</v>
      </c>
      <c r="D1374" s="99" t="s">
        <v>98</v>
      </c>
      <c r="E1374" s="99" t="s">
        <v>89</v>
      </c>
      <c r="F1374" s="99" t="s">
        <v>1425</v>
      </c>
      <c r="G1374" s="100">
        <v>4035.8835999999997</v>
      </c>
      <c r="H1374" s="101">
        <v>6958.42</v>
      </c>
    </row>
    <row r="1375" spans="1:8">
      <c r="A1375" s="102">
        <v>38380</v>
      </c>
      <c r="B1375" s="102" t="str">
        <f>TEXT($A1375,"mmm")</f>
        <v>Jan</v>
      </c>
      <c r="C1375" s="103" t="s">
        <v>104</v>
      </c>
      <c r="D1375" s="103" t="s">
        <v>95</v>
      </c>
      <c r="E1375" s="103" t="s">
        <v>93</v>
      </c>
      <c r="F1375" s="103" t="s">
        <v>1426</v>
      </c>
      <c r="G1375" s="104">
        <v>1917.8987</v>
      </c>
      <c r="H1375" s="105">
        <v>5183.51</v>
      </c>
    </row>
    <row r="1376" spans="1:8">
      <c r="A1376" s="97">
        <v>38380</v>
      </c>
      <c r="B1376" s="97" t="str">
        <f>TEXT($A1376,"mmm")</f>
        <v>Jan</v>
      </c>
      <c r="C1376" s="99" t="s">
        <v>107</v>
      </c>
      <c r="D1376" s="99" t="s">
        <v>98</v>
      </c>
      <c r="E1376" s="99" t="s">
        <v>96</v>
      </c>
      <c r="F1376" s="99" t="s">
        <v>1427</v>
      </c>
      <c r="G1376" s="100">
        <v>510.95249999999999</v>
      </c>
      <c r="H1376" s="101">
        <v>681.27</v>
      </c>
    </row>
    <row r="1377" spans="1:8">
      <c r="A1377" s="102">
        <v>38379</v>
      </c>
      <c r="B1377" s="102" t="str">
        <f>TEXT($A1377,"mmm")</f>
        <v>Jan</v>
      </c>
      <c r="C1377" s="103" t="s">
        <v>79</v>
      </c>
      <c r="D1377" s="103" t="s">
        <v>114</v>
      </c>
      <c r="E1377" s="103" t="s">
        <v>105</v>
      </c>
      <c r="F1377" s="103" t="s">
        <v>1428</v>
      </c>
      <c r="G1377" s="104">
        <v>4695.7468000000008</v>
      </c>
      <c r="H1377" s="105">
        <v>6905.51</v>
      </c>
    </row>
    <row r="1378" spans="1:8">
      <c r="A1378" s="97">
        <v>38379</v>
      </c>
      <c r="B1378" s="97" t="str">
        <f>TEXT($A1378,"mmm")</f>
        <v>Jan</v>
      </c>
      <c r="C1378" s="99" t="s">
        <v>79</v>
      </c>
      <c r="D1378" s="99" t="s">
        <v>80</v>
      </c>
      <c r="E1378" s="99" t="s">
        <v>158</v>
      </c>
      <c r="F1378" s="99" t="s">
        <v>1429</v>
      </c>
      <c r="G1378" s="100">
        <v>4856.2965000000004</v>
      </c>
      <c r="H1378" s="101">
        <v>5193.8999999999996</v>
      </c>
    </row>
    <row r="1379" spans="1:8">
      <c r="A1379" s="102">
        <v>38379</v>
      </c>
      <c r="B1379" s="102" t="str">
        <f>TEXT($A1379,"mmm")</f>
        <v>Jan</v>
      </c>
      <c r="C1379" s="103" t="s">
        <v>107</v>
      </c>
      <c r="D1379" s="103" t="s">
        <v>95</v>
      </c>
      <c r="E1379" s="103" t="s">
        <v>108</v>
      </c>
      <c r="F1379" s="103" t="s">
        <v>1430</v>
      </c>
      <c r="G1379" s="104">
        <v>1915.5491999999999</v>
      </c>
      <c r="H1379" s="105">
        <v>5177.16</v>
      </c>
    </row>
    <row r="1380" spans="1:8">
      <c r="A1380" s="97">
        <v>38379</v>
      </c>
      <c r="B1380" s="97" t="str">
        <f>TEXT($A1380,"mmm")</f>
        <v>Jan</v>
      </c>
      <c r="C1380" s="99" t="s">
        <v>116</v>
      </c>
      <c r="D1380" s="99" t="s">
        <v>87</v>
      </c>
      <c r="E1380" s="99" t="s">
        <v>93</v>
      </c>
      <c r="F1380" s="99" t="s">
        <v>146</v>
      </c>
      <c r="G1380" s="100">
        <v>3576.3728000000001</v>
      </c>
      <c r="H1380" s="101">
        <v>4064.06</v>
      </c>
    </row>
    <row r="1381" spans="1:8">
      <c r="A1381" s="102">
        <v>38379</v>
      </c>
      <c r="B1381" s="102" t="str">
        <f>TEXT($A1381,"mmm")</f>
        <v>Jan</v>
      </c>
      <c r="C1381" s="103" t="s">
        <v>107</v>
      </c>
      <c r="D1381" s="103" t="s">
        <v>101</v>
      </c>
      <c r="E1381" s="103" t="s">
        <v>81</v>
      </c>
      <c r="F1381" s="103" t="s">
        <v>1431</v>
      </c>
      <c r="G1381" s="104">
        <v>2050.2460000000001</v>
      </c>
      <c r="H1381" s="105">
        <v>3727.72</v>
      </c>
    </row>
    <row r="1382" spans="1:8">
      <c r="A1382" s="97">
        <v>38378</v>
      </c>
      <c r="B1382" s="97" t="str">
        <f>TEXT($A1382,"mmm")</f>
        <v>Jan</v>
      </c>
      <c r="C1382" s="99" t="s">
        <v>86</v>
      </c>
      <c r="D1382" s="99" t="s">
        <v>80</v>
      </c>
      <c r="E1382" s="99" t="s">
        <v>120</v>
      </c>
      <c r="F1382" s="99" t="s">
        <v>1432</v>
      </c>
      <c r="G1382" s="100">
        <v>2611.6420000000003</v>
      </c>
      <c r="H1382" s="101">
        <v>3840.65</v>
      </c>
    </row>
    <row r="1383" spans="1:8">
      <c r="A1383" s="102">
        <v>38378</v>
      </c>
      <c r="B1383" s="102" t="str">
        <f>TEXT($A1383,"mmm")</f>
        <v>Jan</v>
      </c>
      <c r="C1383" s="103" t="s">
        <v>107</v>
      </c>
      <c r="D1383" s="103" t="s">
        <v>92</v>
      </c>
      <c r="E1383" s="103" t="s">
        <v>105</v>
      </c>
      <c r="F1383" s="103" t="s">
        <v>1433</v>
      </c>
      <c r="G1383" s="104">
        <v>916.59</v>
      </c>
      <c r="H1383" s="105">
        <v>1222.1199999999999</v>
      </c>
    </row>
    <row r="1384" spans="1:8">
      <c r="A1384" s="97">
        <v>38377</v>
      </c>
      <c r="B1384" s="97" t="str">
        <f>TEXT($A1384,"mmm")</f>
        <v>Jan</v>
      </c>
      <c r="C1384" s="99" t="s">
        <v>104</v>
      </c>
      <c r="D1384" s="99" t="s">
        <v>95</v>
      </c>
      <c r="E1384" s="99" t="s">
        <v>93</v>
      </c>
      <c r="F1384" s="99" t="s">
        <v>1434</v>
      </c>
      <c r="G1384" s="100">
        <v>3998.8349999999996</v>
      </c>
      <c r="H1384" s="101">
        <v>8886.2999999999993</v>
      </c>
    </row>
    <row r="1385" spans="1:8">
      <c r="A1385" s="102">
        <v>38377</v>
      </c>
      <c r="B1385" s="102" t="str">
        <f>TEXT($A1385,"mmm")</f>
        <v>Jan</v>
      </c>
      <c r="C1385" s="103" t="s">
        <v>107</v>
      </c>
      <c r="D1385" s="103" t="s">
        <v>80</v>
      </c>
      <c r="E1385" s="103" t="s">
        <v>144</v>
      </c>
      <c r="F1385" s="103" t="s">
        <v>1435</v>
      </c>
      <c r="G1385" s="104">
        <v>5002.53</v>
      </c>
      <c r="H1385" s="105">
        <v>6670.04</v>
      </c>
    </row>
    <row r="1386" spans="1:8">
      <c r="A1386" s="97">
        <v>38377</v>
      </c>
      <c r="B1386" s="97" t="str">
        <f>TEXT($A1386,"mmm")</f>
        <v>Jan</v>
      </c>
      <c r="C1386" s="99" t="s">
        <v>116</v>
      </c>
      <c r="D1386" s="99" t="s">
        <v>87</v>
      </c>
      <c r="E1386" s="99" t="s">
        <v>96</v>
      </c>
      <c r="F1386" s="99" t="s">
        <v>1436</v>
      </c>
      <c r="G1386" s="100">
        <v>3148.5255999999999</v>
      </c>
      <c r="H1386" s="101">
        <v>3577.87</v>
      </c>
    </row>
    <row r="1387" spans="1:8">
      <c r="A1387" s="102">
        <v>38376</v>
      </c>
      <c r="B1387" s="102" t="str">
        <f>TEXT($A1387,"mmm")</f>
        <v>Jan</v>
      </c>
      <c r="C1387" s="103" t="s">
        <v>86</v>
      </c>
      <c r="D1387" s="103" t="s">
        <v>98</v>
      </c>
      <c r="E1387" s="103" t="s">
        <v>83</v>
      </c>
      <c r="F1387" s="103" t="s">
        <v>1437</v>
      </c>
      <c r="G1387" s="104">
        <v>4773.7608</v>
      </c>
      <c r="H1387" s="105">
        <v>8091.12</v>
      </c>
    </row>
    <row r="1388" spans="1:8">
      <c r="A1388" s="97">
        <v>38376</v>
      </c>
      <c r="B1388" s="97" t="str">
        <f>TEXT($A1388,"mmm")</f>
        <v>Jan</v>
      </c>
      <c r="C1388" s="99" t="s">
        <v>116</v>
      </c>
      <c r="D1388" s="99" t="s">
        <v>127</v>
      </c>
      <c r="E1388" s="99" t="s">
        <v>108</v>
      </c>
      <c r="F1388" s="99" t="s">
        <v>1438</v>
      </c>
      <c r="G1388" s="100">
        <v>2303.4252000000001</v>
      </c>
      <c r="H1388" s="101">
        <v>3387.39</v>
      </c>
    </row>
    <row r="1389" spans="1:8">
      <c r="A1389" s="102">
        <v>38376</v>
      </c>
      <c r="B1389" s="102" t="str">
        <f>TEXT($A1389,"mmm")</f>
        <v>Jan</v>
      </c>
      <c r="C1389" s="103" t="s">
        <v>86</v>
      </c>
      <c r="D1389" s="103" t="s">
        <v>98</v>
      </c>
      <c r="E1389" s="103" t="s">
        <v>122</v>
      </c>
      <c r="F1389" s="103" t="s">
        <v>622</v>
      </c>
      <c r="G1389" s="104">
        <v>1091.1379000000002</v>
      </c>
      <c r="H1389" s="105">
        <v>2537.5300000000002</v>
      </c>
    </row>
    <row r="1390" spans="1:8">
      <c r="A1390" s="97">
        <v>38376</v>
      </c>
      <c r="B1390" s="97" t="str">
        <f>TEXT($A1390,"mmm")</f>
        <v>Jan</v>
      </c>
      <c r="C1390" s="99" t="s">
        <v>79</v>
      </c>
      <c r="D1390" s="99" t="s">
        <v>95</v>
      </c>
      <c r="E1390" s="99" t="s">
        <v>122</v>
      </c>
      <c r="F1390" s="99" t="s">
        <v>1439</v>
      </c>
      <c r="G1390" s="100">
        <v>331.15370000000001</v>
      </c>
      <c r="H1390" s="101">
        <v>895.01</v>
      </c>
    </row>
    <row r="1391" spans="1:8">
      <c r="A1391" s="102">
        <v>38376</v>
      </c>
      <c r="B1391" s="102" t="str">
        <f>TEXT($A1391,"mmm")</f>
        <v>Jan</v>
      </c>
      <c r="C1391" s="103" t="s">
        <v>116</v>
      </c>
      <c r="D1391" s="103" t="s">
        <v>87</v>
      </c>
      <c r="E1391" s="103" t="s">
        <v>93</v>
      </c>
      <c r="F1391" s="103" t="s">
        <v>1440</v>
      </c>
      <c r="G1391" s="104">
        <v>114.02549999999999</v>
      </c>
      <c r="H1391" s="105">
        <v>253.39</v>
      </c>
    </row>
    <row r="1392" spans="1:8">
      <c r="A1392" s="97">
        <v>38375</v>
      </c>
      <c r="B1392" s="97" t="str">
        <f>TEXT($A1392,"mmm")</f>
        <v>Jan</v>
      </c>
      <c r="C1392" s="99" t="s">
        <v>86</v>
      </c>
      <c r="D1392" s="99" t="s">
        <v>87</v>
      </c>
      <c r="E1392" s="99" t="s">
        <v>94</v>
      </c>
      <c r="F1392" s="99" t="s">
        <v>1441</v>
      </c>
      <c r="G1392" s="100">
        <v>3497.4841999999999</v>
      </c>
      <c r="H1392" s="101">
        <v>9452.66</v>
      </c>
    </row>
    <row r="1393" spans="1:8">
      <c r="A1393" s="102">
        <v>38375</v>
      </c>
      <c r="B1393" s="102" t="str">
        <f>TEXT($A1393,"mmm")</f>
        <v>Jan</v>
      </c>
      <c r="C1393" s="103" t="s">
        <v>86</v>
      </c>
      <c r="D1393" s="103" t="s">
        <v>101</v>
      </c>
      <c r="E1393" s="103" t="s">
        <v>89</v>
      </c>
      <c r="F1393" s="103" t="s">
        <v>1442</v>
      </c>
      <c r="G1393" s="104">
        <v>3702.8790000000004</v>
      </c>
      <c r="H1393" s="105">
        <v>8228.6200000000008</v>
      </c>
    </row>
    <row r="1394" spans="1:8">
      <c r="A1394" s="97">
        <v>38375</v>
      </c>
      <c r="B1394" s="97" t="str">
        <f>TEXT($A1394,"mmm")</f>
        <v>Jan</v>
      </c>
      <c r="C1394" s="99" t="s">
        <v>86</v>
      </c>
      <c r="D1394" s="99" t="s">
        <v>92</v>
      </c>
      <c r="E1394" s="99" t="s">
        <v>99</v>
      </c>
      <c r="F1394" s="99" t="s">
        <v>1443</v>
      </c>
      <c r="G1394" s="100">
        <v>4448.4376000000002</v>
      </c>
      <c r="H1394" s="101">
        <v>6541.82</v>
      </c>
    </row>
    <row r="1395" spans="1:8">
      <c r="A1395" s="102">
        <v>38375</v>
      </c>
      <c r="B1395" s="102" t="str">
        <f>TEXT($A1395,"mmm")</f>
        <v>Jan</v>
      </c>
      <c r="C1395" s="103" t="s">
        <v>79</v>
      </c>
      <c r="D1395" s="103" t="s">
        <v>95</v>
      </c>
      <c r="E1395" s="103" t="s">
        <v>81</v>
      </c>
      <c r="F1395" s="103" t="s">
        <v>1444</v>
      </c>
      <c r="G1395" s="104">
        <v>1700.5384000000001</v>
      </c>
      <c r="H1395" s="105">
        <v>1932.43</v>
      </c>
    </row>
    <row r="1396" spans="1:8">
      <c r="A1396" s="97">
        <v>38374</v>
      </c>
      <c r="B1396" s="97" t="str">
        <f>TEXT($A1396,"mmm")</f>
        <v>Jan</v>
      </c>
      <c r="C1396" s="99" t="s">
        <v>116</v>
      </c>
      <c r="D1396" s="99" t="s">
        <v>87</v>
      </c>
      <c r="E1396" s="99" t="s">
        <v>94</v>
      </c>
      <c r="F1396" s="99" t="s">
        <v>1445</v>
      </c>
      <c r="G1396" s="100">
        <v>2673.2411999999999</v>
      </c>
      <c r="H1396" s="101">
        <v>6216.84</v>
      </c>
    </row>
    <row r="1397" spans="1:8">
      <c r="A1397" s="102">
        <v>38374</v>
      </c>
      <c r="B1397" s="102" t="str">
        <f>TEXT($A1397,"mmm")</f>
        <v>Jan</v>
      </c>
      <c r="C1397" s="103" t="s">
        <v>79</v>
      </c>
      <c r="D1397" s="103" t="s">
        <v>92</v>
      </c>
      <c r="E1397" s="103" t="s">
        <v>144</v>
      </c>
      <c r="F1397" s="103" t="s">
        <v>1446</v>
      </c>
      <c r="G1397" s="104">
        <v>2033.1518000000001</v>
      </c>
      <c r="H1397" s="105">
        <v>4728.26</v>
      </c>
    </row>
    <row r="1398" spans="1:8">
      <c r="A1398" s="97">
        <v>38374</v>
      </c>
      <c r="B1398" s="97" t="str">
        <f>TEXT($A1398,"mmm")</f>
        <v>Jan</v>
      </c>
      <c r="C1398" s="99" t="s">
        <v>116</v>
      </c>
      <c r="D1398" s="99" t="s">
        <v>127</v>
      </c>
      <c r="E1398" s="99" t="s">
        <v>89</v>
      </c>
      <c r="F1398" s="99" t="s">
        <v>1447</v>
      </c>
      <c r="G1398" s="100">
        <v>2132.9313500000003</v>
      </c>
      <c r="H1398" s="101">
        <v>2281.21</v>
      </c>
    </row>
    <row r="1399" spans="1:8">
      <c r="A1399" s="102">
        <v>38374</v>
      </c>
      <c r="B1399" s="102" t="str">
        <f>TEXT($A1399,"mmm")</f>
        <v>Jan</v>
      </c>
      <c r="C1399" s="103" t="s">
        <v>104</v>
      </c>
      <c r="D1399" s="103" t="s">
        <v>87</v>
      </c>
      <c r="E1399" s="103" t="s">
        <v>93</v>
      </c>
      <c r="F1399" s="103" t="s">
        <v>1448</v>
      </c>
      <c r="G1399" s="104">
        <v>1735.7340000000002</v>
      </c>
      <c r="H1399" s="105">
        <v>1856.4</v>
      </c>
    </row>
    <row r="1400" spans="1:8">
      <c r="A1400" s="97">
        <v>38374</v>
      </c>
      <c r="B1400" s="97" t="str">
        <f>TEXT($A1400,"mmm")</f>
        <v>Jan</v>
      </c>
      <c r="C1400" s="99" t="s">
        <v>107</v>
      </c>
      <c r="D1400" s="99" t="s">
        <v>101</v>
      </c>
      <c r="E1400" s="99" t="s">
        <v>83</v>
      </c>
      <c r="F1400" s="99" t="s">
        <v>1449</v>
      </c>
      <c r="G1400" s="100">
        <v>521.24860000000001</v>
      </c>
      <c r="H1400" s="101">
        <v>1408.78</v>
      </c>
    </row>
    <row r="1401" spans="1:8">
      <c r="A1401" s="102">
        <v>38373</v>
      </c>
      <c r="B1401" s="102" t="str">
        <f>TEXT($A1401,"mmm")</f>
        <v>Jan</v>
      </c>
      <c r="C1401" s="103" t="s">
        <v>116</v>
      </c>
      <c r="D1401" s="103" t="s">
        <v>114</v>
      </c>
      <c r="E1401" s="103" t="s">
        <v>120</v>
      </c>
      <c r="F1401" s="103" t="s">
        <v>1450</v>
      </c>
      <c r="G1401" s="104">
        <v>8615.6224000000002</v>
      </c>
      <c r="H1401" s="105">
        <v>9790.48</v>
      </c>
    </row>
    <row r="1402" spans="1:8">
      <c r="A1402" s="97">
        <v>38373</v>
      </c>
      <c r="B1402" s="97" t="str">
        <f>TEXT($A1402,"mmm")</f>
        <v>Jan</v>
      </c>
      <c r="C1402" s="99" t="s">
        <v>116</v>
      </c>
      <c r="D1402" s="99" t="s">
        <v>87</v>
      </c>
      <c r="E1402" s="99" t="s">
        <v>158</v>
      </c>
      <c r="F1402" s="99" t="s">
        <v>1451</v>
      </c>
      <c r="G1402" s="100">
        <v>1883.7476999999999</v>
      </c>
      <c r="H1402" s="101">
        <v>5091.21</v>
      </c>
    </row>
    <row r="1403" spans="1:8">
      <c r="A1403" s="102">
        <v>38373</v>
      </c>
      <c r="B1403" s="102" t="str">
        <f>TEXT($A1403,"mmm")</f>
        <v>Jan</v>
      </c>
      <c r="C1403" s="103" t="s">
        <v>86</v>
      </c>
      <c r="D1403" s="103" t="s">
        <v>95</v>
      </c>
      <c r="E1403" s="103" t="s">
        <v>108</v>
      </c>
      <c r="F1403" s="103" t="s">
        <v>1452</v>
      </c>
      <c r="G1403" s="104">
        <v>3070.1549999999997</v>
      </c>
      <c r="H1403" s="105">
        <v>4093.54</v>
      </c>
    </row>
    <row r="1404" spans="1:8">
      <c r="A1404" s="97">
        <v>38373</v>
      </c>
      <c r="B1404" s="97" t="str">
        <f>TEXT($A1404,"mmm")</f>
        <v>Jan</v>
      </c>
      <c r="C1404" s="99" t="s">
        <v>79</v>
      </c>
      <c r="D1404" s="99" t="s">
        <v>127</v>
      </c>
      <c r="E1404" s="99" t="s">
        <v>122</v>
      </c>
      <c r="F1404" s="99" t="s">
        <v>1453</v>
      </c>
      <c r="G1404" s="100">
        <v>1476.2889</v>
      </c>
      <c r="H1404" s="101">
        <v>3989.97</v>
      </c>
    </row>
    <row r="1405" spans="1:8">
      <c r="A1405" s="102">
        <v>38372</v>
      </c>
      <c r="B1405" s="102" t="str">
        <f>TEXT($A1405,"mmm")</f>
        <v>Jan</v>
      </c>
      <c r="C1405" s="103" t="s">
        <v>116</v>
      </c>
      <c r="D1405" s="103" t="s">
        <v>101</v>
      </c>
      <c r="E1405" s="103" t="s">
        <v>99</v>
      </c>
      <c r="F1405" s="103" t="s">
        <v>1454</v>
      </c>
      <c r="G1405" s="104">
        <v>3166.7708000000002</v>
      </c>
      <c r="H1405" s="105">
        <v>8558.84</v>
      </c>
    </row>
    <row r="1406" spans="1:8">
      <c r="A1406" s="97">
        <v>38372</v>
      </c>
      <c r="B1406" s="97" t="str">
        <f>TEXT($A1406,"mmm")</f>
        <v>Jan</v>
      </c>
      <c r="C1406" s="99" t="s">
        <v>107</v>
      </c>
      <c r="D1406" s="99" t="s">
        <v>87</v>
      </c>
      <c r="E1406" s="99" t="s">
        <v>105</v>
      </c>
      <c r="F1406" s="99" t="s">
        <v>1121</v>
      </c>
      <c r="G1406" s="100">
        <v>5085.3074999999999</v>
      </c>
      <c r="H1406" s="101">
        <v>6780.41</v>
      </c>
    </row>
    <row r="1407" spans="1:8">
      <c r="A1407" s="102">
        <v>38372</v>
      </c>
      <c r="B1407" s="102" t="str">
        <f>TEXT($A1407,"mmm")</f>
        <v>Jan</v>
      </c>
      <c r="C1407" s="103" t="s">
        <v>107</v>
      </c>
      <c r="D1407" s="103" t="s">
        <v>80</v>
      </c>
      <c r="E1407" s="103" t="s">
        <v>122</v>
      </c>
      <c r="F1407" s="103" t="s">
        <v>1455</v>
      </c>
      <c r="G1407" s="104">
        <v>466.64890000000003</v>
      </c>
      <c r="H1407" s="105">
        <v>1085.23</v>
      </c>
    </row>
    <row r="1408" spans="1:8">
      <c r="A1408" s="97">
        <v>38371</v>
      </c>
      <c r="B1408" s="97" t="str">
        <f>TEXT($A1408,"mmm")</f>
        <v>Jan</v>
      </c>
      <c r="C1408" s="99" t="s">
        <v>86</v>
      </c>
      <c r="D1408" s="99" t="s">
        <v>80</v>
      </c>
      <c r="E1408" s="99" t="s">
        <v>81</v>
      </c>
      <c r="F1408" s="99" t="s">
        <v>1456</v>
      </c>
      <c r="G1408" s="100">
        <v>4427.9618</v>
      </c>
      <c r="H1408" s="101">
        <v>7505.02</v>
      </c>
    </row>
    <row r="1409" spans="1:8">
      <c r="A1409" s="102">
        <v>38370</v>
      </c>
      <c r="B1409" s="102" t="str">
        <f>TEXT($A1409,"mmm")</f>
        <v>Jan</v>
      </c>
      <c r="C1409" s="103" t="s">
        <v>79</v>
      </c>
      <c r="D1409" s="103" t="s">
        <v>114</v>
      </c>
      <c r="E1409" s="103" t="s">
        <v>83</v>
      </c>
      <c r="F1409" s="103" t="s">
        <v>1457</v>
      </c>
      <c r="G1409" s="104">
        <v>3657.2834999999995</v>
      </c>
      <c r="H1409" s="105">
        <v>9884.5499999999993</v>
      </c>
    </row>
    <row r="1410" spans="1:8">
      <c r="A1410" s="97">
        <v>38370</v>
      </c>
      <c r="B1410" s="97" t="str">
        <f>TEXT($A1410,"mmm")</f>
        <v>Jan</v>
      </c>
      <c r="C1410" s="99" t="s">
        <v>79</v>
      </c>
      <c r="D1410" s="99" t="s">
        <v>95</v>
      </c>
      <c r="E1410" s="99" t="s">
        <v>158</v>
      </c>
      <c r="F1410" s="99" t="s">
        <v>566</v>
      </c>
      <c r="G1410" s="100">
        <v>404.30250000000001</v>
      </c>
      <c r="H1410" s="101">
        <v>539.07000000000005</v>
      </c>
    </row>
    <row r="1411" spans="1:8">
      <c r="A1411" s="102">
        <v>38369</v>
      </c>
      <c r="B1411" s="102" t="str">
        <f>TEXT($A1411,"mmm")</f>
        <v>Jan</v>
      </c>
      <c r="C1411" s="103" t="s">
        <v>104</v>
      </c>
      <c r="D1411" s="103" t="s">
        <v>87</v>
      </c>
      <c r="E1411" s="103" t="s">
        <v>144</v>
      </c>
      <c r="F1411" s="103" t="s">
        <v>1458</v>
      </c>
      <c r="G1411" s="104">
        <v>3119.0852000000004</v>
      </c>
      <c r="H1411" s="105">
        <v>3335.92</v>
      </c>
    </row>
    <row r="1412" spans="1:8">
      <c r="A1412" s="97">
        <v>38368</v>
      </c>
      <c r="B1412" s="97" t="str">
        <f>TEXT($A1412,"mmm")</f>
        <v>Jan</v>
      </c>
      <c r="C1412" s="99" t="s">
        <v>107</v>
      </c>
      <c r="D1412" s="99" t="s">
        <v>80</v>
      </c>
      <c r="E1412" s="99" t="s">
        <v>122</v>
      </c>
      <c r="F1412" s="99" t="s">
        <v>1459</v>
      </c>
      <c r="G1412" s="100">
        <v>3468.3440000000001</v>
      </c>
      <c r="H1412" s="101">
        <v>6306.08</v>
      </c>
    </row>
    <row r="1413" spans="1:8">
      <c r="A1413" s="102">
        <v>38368</v>
      </c>
      <c r="B1413" s="102" t="str">
        <f>TEXT($A1413,"mmm")</f>
        <v>Jan</v>
      </c>
      <c r="C1413" s="103" t="s">
        <v>116</v>
      </c>
      <c r="D1413" s="103" t="s">
        <v>92</v>
      </c>
      <c r="E1413" s="103" t="s">
        <v>122</v>
      </c>
      <c r="F1413" s="103" t="s">
        <v>1460</v>
      </c>
      <c r="G1413" s="104">
        <v>2476.3958000000002</v>
      </c>
      <c r="H1413" s="105">
        <v>5759.06</v>
      </c>
    </row>
    <row r="1414" spans="1:8">
      <c r="A1414" s="97">
        <v>38368</v>
      </c>
      <c r="B1414" s="97" t="str">
        <f>TEXT($A1414,"mmm")</f>
        <v>Jan</v>
      </c>
      <c r="C1414" s="99" t="s">
        <v>104</v>
      </c>
      <c r="D1414" s="99" t="s">
        <v>114</v>
      </c>
      <c r="E1414" s="99" t="s">
        <v>105</v>
      </c>
      <c r="F1414" s="99" t="s">
        <v>1461</v>
      </c>
      <c r="G1414" s="100">
        <v>516.01400000000001</v>
      </c>
      <c r="H1414" s="101">
        <v>874.6</v>
      </c>
    </row>
    <row r="1415" spans="1:8">
      <c r="A1415" s="102">
        <v>38367</v>
      </c>
      <c r="B1415" s="102" t="str">
        <f>TEXT($A1415,"mmm")</f>
        <v>Jan</v>
      </c>
      <c r="C1415" s="103" t="s">
        <v>104</v>
      </c>
      <c r="D1415" s="103" t="s">
        <v>95</v>
      </c>
      <c r="E1415" s="103" t="s">
        <v>129</v>
      </c>
      <c r="F1415" s="103" t="s">
        <v>1462</v>
      </c>
      <c r="G1415" s="104">
        <v>2585.06</v>
      </c>
      <c r="H1415" s="105">
        <v>4457</v>
      </c>
    </row>
    <row r="1416" spans="1:8">
      <c r="A1416" s="97">
        <v>38367</v>
      </c>
      <c r="B1416" s="97" t="str">
        <f>TEXT($A1416,"mmm")</f>
        <v>Jan</v>
      </c>
      <c r="C1416" s="99" t="s">
        <v>107</v>
      </c>
      <c r="D1416" s="99" t="s">
        <v>87</v>
      </c>
      <c r="E1416" s="99" t="s">
        <v>120</v>
      </c>
      <c r="F1416" s="99" t="s">
        <v>1463</v>
      </c>
      <c r="G1416" s="100">
        <v>2303.8200000000002</v>
      </c>
      <c r="H1416" s="101">
        <v>3071.76</v>
      </c>
    </row>
    <row r="1417" spans="1:8">
      <c r="A1417" s="102">
        <v>38367</v>
      </c>
      <c r="B1417" s="102" t="str">
        <f>TEXT($A1417,"mmm")</f>
        <v>Jan</v>
      </c>
      <c r="C1417" s="103" t="s">
        <v>104</v>
      </c>
      <c r="D1417" s="103" t="s">
        <v>114</v>
      </c>
      <c r="E1417" s="103" t="s">
        <v>122</v>
      </c>
      <c r="F1417" s="103" t="s">
        <v>1464</v>
      </c>
      <c r="G1417" s="104">
        <v>1559.6140000000003</v>
      </c>
      <c r="H1417" s="105">
        <v>2293.5500000000002</v>
      </c>
    </row>
    <row r="1418" spans="1:8">
      <c r="A1418" s="97">
        <v>38366</v>
      </c>
      <c r="B1418" s="97" t="str">
        <f>TEXT($A1418,"mmm")</f>
        <v>Jan</v>
      </c>
      <c r="C1418" s="99" t="s">
        <v>104</v>
      </c>
      <c r="D1418" s="99" t="s">
        <v>95</v>
      </c>
      <c r="E1418" s="99" t="s">
        <v>129</v>
      </c>
      <c r="F1418" s="99" t="s">
        <v>1465</v>
      </c>
      <c r="G1418" s="100">
        <v>7063.1880000000001</v>
      </c>
      <c r="H1418" s="101">
        <v>8026.35</v>
      </c>
    </row>
    <row r="1419" spans="1:8">
      <c r="A1419" s="102">
        <v>38366</v>
      </c>
      <c r="B1419" s="102" t="str">
        <f>TEXT($A1419,"mmm")</f>
        <v>Jan</v>
      </c>
      <c r="C1419" s="103" t="s">
        <v>86</v>
      </c>
      <c r="D1419" s="103" t="s">
        <v>92</v>
      </c>
      <c r="E1419" s="103" t="s">
        <v>144</v>
      </c>
      <c r="F1419" s="103" t="s">
        <v>1466</v>
      </c>
      <c r="G1419" s="104">
        <v>6993.4821000000002</v>
      </c>
      <c r="H1419" s="105">
        <v>7479.66</v>
      </c>
    </row>
    <row r="1420" spans="1:8">
      <c r="A1420" s="97">
        <v>38366</v>
      </c>
      <c r="B1420" s="97" t="str">
        <f>TEXT($A1420,"mmm")</f>
        <v>Jan</v>
      </c>
      <c r="C1420" s="99" t="s">
        <v>116</v>
      </c>
      <c r="D1420" s="99" t="s">
        <v>98</v>
      </c>
      <c r="E1420" s="99" t="s">
        <v>158</v>
      </c>
      <c r="F1420" s="99" t="s">
        <v>1467</v>
      </c>
      <c r="G1420" s="100">
        <v>6385.7321000000002</v>
      </c>
      <c r="H1420" s="101">
        <v>6829.66</v>
      </c>
    </row>
    <row r="1421" spans="1:8">
      <c r="A1421" s="102">
        <v>38366</v>
      </c>
      <c r="B1421" s="102" t="str">
        <f>TEXT($A1421,"mmm")</f>
        <v>Jan</v>
      </c>
      <c r="C1421" s="103" t="s">
        <v>79</v>
      </c>
      <c r="D1421" s="103" t="s">
        <v>87</v>
      </c>
      <c r="E1421" s="103" t="s">
        <v>99</v>
      </c>
      <c r="F1421" s="103" t="s">
        <v>1468</v>
      </c>
      <c r="G1421" s="104">
        <v>2876.2097999999996</v>
      </c>
      <c r="H1421" s="105">
        <v>6688.86</v>
      </c>
    </row>
    <row r="1422" spans="1:8">
      <c r="A1422" s="97">
        <v>38366</v>
      </c>
      <c r="B1422" s="97" t="str">
        <f>TEXT($A1422,"mmm")</f>
        <v>Jan</v>
      </c>
      <c r="C1422" s="99" t="s">
        <v>79</v>
      </c>
      <c r="D1422" s="99" t="s">
        <v>114</v>
      </c>
      <c r="E1422" s="99" t="s">
        <v>83</v>
      </c>
      <c r="F1422" s="99" t="s">
        <v>1469</v>
      </c>
      <c r="G1422" s="100">
        <v>2206.5097999999998</v>
      </c>
      <c r="H1422" s="101">
        <v>5963.54</v>
      </c>
    </row>
    <row r="1423" spans="1:8">
      <c r="A1423" s="102">
        <v>38366</v>
      </c>
      <c r="B1423" s="102" t="str">
        <f>TEXT($A1423,"mmm")</f>
        <v>Jan</v>
      </c>
      <c r="C1423" s="103" t="s">
        <v>116</v>
      </c>
      <c r="D1423" s="103" t="s">
        <v>87</v>
      </c>
      <c r="E1423" s="103" t="s">
        <v>93</v>
      </c>
      <c r="F1423" s="103" t="s">
        <v>1470</v>
      </c>
      <c r="G1423" s="104">
        <v>2674.672</v>
      </c>
      <c r="H1423" s="105">
        <v>4863.04</v>
      </c>
    </row>
    <row r="1424" spans="1:8">
      <c r="A1424" s="97">
        <v>38366</v>
      </c>
      <c r="B1424" s="97" t="str">
        <f>TEXT($A1424,"mmm")</f>
        <v>Jan</v>
      </c>
      <c r="C1424" s="99" t="s">
        <v>79</v>
      </c>
      <c r="D1424" s="99" t="s">
        <v>95</v>
      </c>
      <c r="E1424" s="99" t="s">
        <v>144</v>
      </c>
      <c r="F1424" s="99" t="s">
        <v>1471</v>
      </c>
      <c r="G1424" s="100">
        <v>3241.4206000000004</v>
      </c>
      <c r="H1424" s="101">
        <v>3466.76</v>
      </c>
    </row>
    <row r="1425" spans="1:8">
      <c r="A1425" s="102">
        <v>38365</v>
      </c>
      <c r="B1425" s="102" t="str">
        <f>TEXT($A1425,"mmm")</f>
        <v>Jan</v>
      </c>
      <c r="C1425" s="103" t="s">
        <v>116</v>
      </c>
      <c r="D1425" s="103" t="s">
        <v>95</v>
      </c>
      <c r="E1425" s="103" t="s">
        <v>144</v>
      </c>
      <c r="F1425" s="103" t="s">
        <v>1472</v>
      </c>
      <c r="G1425" s="104">
        <v>5046.5826999999999</v>
      </c>
      <c r="H1425" s="105">
        <v>8553.5300000000007</v>
      </c>
    </row>
    <row r="1426" spans="1:8">
      <c r="A1426" s="97">
        <v>38365</v>
      </c>
      <c r="B1426" s="97" t="str">
        <f>TEXT($A1426,"mmm")</f>
        <v>Jan</v>
      </c>
      <c r="C1426" s="99" t="s">
        <v>79</v>
      </c>
      <c r="D1426" s="99" t="s">
        <v>87</v>
      </c>
      <c r="E1426" s="99" t="s">
        <v>96</v>
      </c>
      <c r="F1426" s="99" t="s">
        <v>1473</v>
      </c>
      <c r="G1426" s="100">
        <v>2235.21</v>
      </c>
      <c r="H1426" s="101">
        <v>2980.28</v>
      </c>
    </row>
    <row r="1427" spans="1:8">
      <c r="A1427" s="102">
        <v>38365</v>
      </c>
      <c r="B1427" s="102" t="str">
        <f>TEXT($A1427,"mmm")</f>
        <v>Jan</v>
      </c>
      <c r="C1427" s="103" t="s">
        <v>104</v>
      </c>
      <c r="D1427" s="103" t="s">
        <v>114</v>
      </c>
      <c r="E1427" s="103" t="s">
        <v>83</v>
      </c>
      <c r="F1427" s="103" t="s">
        <v>1474</v>
      </c>
      <c r="G1427" s="104">
        <v>1268.0025000000001</v>
      </c>
      <c r="H1427" s="105">
        <v>1690.67</v>
      </c>
    </row>
    <row r="1428" spans="1:8">
      <c r="A1428" s="97">
        <v>38364</v>
      </c>
      <c r="B1428" s="97" t="str">
        <f>TEXT($A1428,"mmm")</f>
        <v>Jan</v>
      </c>
      <c r="C1428" s="99" t="s">
        <v>116</v>
      </c>
      <c r="D1428" s="99" t="s">
        <v>80</v>
      </c>
      <c r="E1428" s="99" t="s">
        <v>89</v>
      </c>
      <c r="F1428" s="99" t="s">
        <v>1475</v>
      </c>
      <c r="G1428" s="100">
        <v>6619.97</v>
      </c>
      <c r="H1428" s="101">
        <v>9735.25</v>
      </c>
    </row>
    <row r="1429" spans="1:8">
      <c r="A1429" s="102">
        <v>38364</v>
      </c>
      <c r="B1429" s="102" t="str">
        <f>TEXT($A1429,"mmm")</f>
        <v>Jan</v>
      </c>
      <c r="C1429" s="103" t="s">
        <v>107</v>
      </c>
      <c r="D1429" s="103" t="s">
        <v>87</v>
      </c>
      <c r="E1429" s="103" t="s">
        <v>83</v>
      </c>
      <c r="F1429" s="103" t="s">
        <v>1476</v>
      </c>
      <c r="G1429" s="104">
        <v>3305.9025000000001</v>
      </c>
      <c r="H1429" s="105">
        <v>7346.45</v>
      </c>
    </row>
    <row r="1430" spans="1:8">
      <c r="A1430" s="97">
        <v>38364</v>
      </c>
      <c r="B1430" s="97" t="str">
        <f>TEXT($A1430,"mmm")</f>
        <v>Jan</v>
      </c>
      <c r="C1430" s="99" t="s">
        <v>86</v>
      </c>
      <c r="D1430" s="99" t="s">
        <v>95</v>
      </c>
      <c r="E1430" s="99" t="s">
        <v>108</v>
      </c>
      <c r="F1430" s="99" t="s">
        <v>1477</v>
      </c>
      <c r="G1430" s="100">
        <v>3836.5085000000004</v>
      </c>
      <c r="H1430" s="101">
        <v>6975.47</v>
      </c>
    </row>
    <row r="1431" spans="1:8">
      <c r="A1431" s="102">
        <v>38364</v>
      </c>
      <c r="B1431" s="102" t="str">
        <f>TEXT($A1431,"mmm")</f>
        <v>Jan</v>
      </c>
      <c r="C1431" s="103" t="s">
        <v>79</v>
      </c>
      <c r="D1431" s="103" t="s">
        <v>101</v>
      </c>
      <c r="E1431" s="103" t="s">
        <v>129</v>
      </c>
      <c r="F1431" s="103" t="s">
        <v>1478</v>
      </c>
      <c r="G1431" s="104">
        <v>2647.8405000000002</v>
      </c>
      <c r="H1431" s="105">
        <v>5884.09</v>
      </c>
    </row>
    <row r="1432" spans="1:8">
      <c r="A1432" s="97">
        <v>38364</v>
      </c>
      <c r="B1432" s="97" t="str">
        <f>TEXT($A1432,"mmm")</f>
        <v>Jan</v>
      </c>
      <c r="C1432" s="99" t="s">
        <v>116</v>
      </c>
      <c r="D1432" s="99" t="s">
        <v>95</v>
      </c>
      <c r="E1432" s="99" t="s">
        <v>129</v>
      </c>
      <c r="F1432" s="99" t="s">
        <v>1479</v>
      </c>
      <c r="G1432" s="100">
        <v>2118.4757</v>
      </c>
      <c r="H1432" s="101">
        <v>5725.61</v>
      </c>
    </row>
    <row r="1433" spans="1:8">
      <c r="A1433" s="102">
        <v>38364</v>
      </c>
      <c r="B1433" s="102" t="str">
        <f>TEXT($A1433,"mmm")</f>
        <v>Jan</v>
      </c>
      <c r="C1433" s="103" t="s">
        <v>86</v>
      </c>
      <c r="D1433" s="103" t="s">
        <v>80</v>
      </c>
      <c r="E1433" s="103" t="s">
        <v>108</v>
      </c>
      <c r="F1433" s="103" t="s">
        <v>1480</v>
      </c>
      <c r="G1433" s="104">
        <v>975.34960000000001</v>
      </c>
      <c r="H1433" s="105">
        <v>2636.08</v>
      </c>
    </row>
    <row r="1434" spans="1:8">
      <c r="A1434" s="97">
        <v>38363</v>
      </c>
      <c r="B1434" s="97" t="str">
        <f>TEXT($A1434,"mmm")</f>
        <v>Jan</v>
      </c>
      <c r="C1434" s="99" t="s">
        <v>79</v>
      </c>
      <c r="D1434" s="99" t="s">
        <v>87</v>
      </c>
      <c r="E1434" s="99" t="s">
        <v>144</v>
      </c>
      <c r="F1434" s="99" t="s">
        <v>1481</v>
      </c>
      <c r="G1434" s="100">
        <v>6171.4949999999999</v>
      </c>
      <c r="H1434" s="101">
        <v>8228.66</v>
      </c>
    </row>
    <row r="1435" spans="1:8">
      <c r="A1435" s="102">
        <v>38363</v>
      </c>
      <c r="B1435" s="102" t="str">
        <f>TEXT($A1435,"mmm")</f>
        <v>Jan</v>
      </c>
      <c r="C1435" s="103" t="s">
        <v>79</v>
      </c>
      <c r="D1435" s="103" t="s">
        <v>101</v>
      </c>
      <c r="E1435" s="103" t="s">
        <v>105</v>
      </c>
      <c r="F1435" s="103" t="s">
        <v>1482</v>
      </c>
      <c r="G1435" s="104">
        <v>5217.1855999999998</v>
      </c>
      <c r="H1435" s="105">
        <v>5928.62</v>
      </c>
    </row>
    <row r="1436" spans="1:8">
      <c r="A1436" s="97">
        <v>38363</v>
      </c>
      <c r="B1436" s="97" t="str">
        <f>TEXT($A1436,"mmm")</f>
        <v>Jan</v>
      </c>
      <c r="C1436" s="99" t="s">
        <v>86</v>
      </c>
      <c r="D1436" s="99" t="s">
        <v>98</v>
      </c>
      <c r="E1436" s="99" t="s">
        <v>96</v>
      </c>
      <c r="F1436" s="99" t="s">
        <v>1483</v>
      </c>
      <c r="G1436" s="100">
        <v>351.13100000000003</v>
      </c>
      <c r="H1436" s="101">
        <v>638.41999999999996</v>
      </c>
    </row>
    <row r="1437" spans="1:8">
      <c r="A1437" s="102">
        <v>38362</v>
      </c>
      <c r="B1437" s="102" t="str">
        <f>TEXT($A1437,"mmm")</f>
        <v>Jan</v>
      </c>
      <c r="C1437" s="103" t="s">
        <v>79</v>
      </c>
      <c r="D1437" s="103" t="s">
        <v>101</v>
      </c>
      <c r="E1437" s="103" t="s">
        <v>81</v>
      </c>
      <c r="F1437" s="103" t="s">
        <v>1484</v>
      </c>
      <c r="G1437" s="104">
        <v>4120.4360999999999</v>
      </c>
      <c r="H1437" s="105">
        <v>6983.79</v>
      </c>
    </row>
    <row r="1438" spans="1:8">
      <c r="A1438" s="97">
        <v>38362</v>
      </c>
      <c r="B1438" s="97" t="str">
        <f>TEXT($A1438,"mmm")</f>
        <v>Jan</v>
      </c>
      <c r="C1438" s="99" t="s">
        <v>107</v>
      </c>
      <c r="D1438" s="99" t="s">
        <v>95</v>
      </c>
      <c r="E1438" s="99" t="s">
        <v>83</v>
      </c>
      <c r="F1438" s="99" t="s">
        <v>1485</v>
      </c>
      <c r="G1438" s="100">
        <v>5815.1016</v>
      </c>
      <c r="H1438" s="101">
        <v>6608.07</v>
      </c>
    </row>
    <row r="1439" spans="1:8">
      <c r="A1439" s="102">
        <v>38362</v>
      </c>
      <c r="B1439" s="102" t="str">
        <f>TEXT($A1439,"mmm")</f>
        <v>Jan</v>
      </c>
      <c r="C1439" s="103" t="s">
        <v>104</v>
      </c>
      <c r="D1439" s="103" t="s">
        <v>80</v>
      </c>
      <c r="E1439" s="103" t="s">
        <v>83</v>
      </c>
      <c r="F1439" s="103" t="s">
        <v>1486</v>
      </c>
      <c r="G1439" s="104">
        <v>988.23890000000006</v>
      </c>
      <c r="H1439" s="105">
        <v>1056.94</v>
      </c>
    </row>
    <row r="1440" spans="1:8">
      <c r="A1440" s="97">
        <v>38361</v>
      </c>
      <c r="B1440" s="97" t="str">
        <f>TEXT($A1440,"mmm")</f>
        <v>Jan</v>
      </c>
      <c r="C1440" s="99" t="s">
        <v>107</v>
      </c>
      <c r="D1440" s="99" t="s">
        <v>80</v>
      </c>
      <c r="E1440" s="99" t="s">
        <v>93</v>
      </c>
      <c r="F1440" s="99" t="s">
        <v>1487</v>
      </c>
      <c r="G1440" s="100">
        <v>3330.0135</v>
      </c>
      <c r="H1440" s="101">
        <v>7400.03</v>
      </c>
    </row>
    <row r="1441" spans="1:8">
      <c r="A1441" s="102">
        <v>38361</v>
      </c>
      <c r="B1441" s="102" t="str">
        <f>TEXT($A1441,"mmm")</f>
        <v>Jan</v>
      </c>
      <c r="C1441" s="103" t="s">
        <v>116</v>
      </c>
      <c r="D1441" s="103" t="s">
        <v>101</v>
      </c>
      <c r="E1441" s="103" t="s">
        <v>83</v>
      </c>
      <c r="F1441" s="103" t="s">
        <v>1488</v>
      </c>
      <c r="G1441" s="104">
        <v>5832.7015999999994</v>
      </c>
      <c r="H1441" s="105">
        <v>6628.07</v>
      </c>
    </row>
    <row r="1442" spans="1:8">
      <c r="A1442" s="97">
        <v>38361</v>
      </c>
      <c r="B1442" s="97" t="str">
        <f>TEXT($A1442,"mmm")</f>
        <v>Jan</v>
      </c>
      <c r="C1442" s="99" t="s">
        <v>104</v>
      </c>
      <c r="D1442" s="99" t="s">
        <v>87</v>
      </c>
      <c r="E1442" s="99" t="s">
        <v>94</v>
      </c>
      <c r="F1442" s="99" t="s">
        <v>1489</v>
      </c>
      <c r="G1442" s="100">
        <v>1205.0756000000001</v>
      </c>
      <c r="H1442" s="101">
        <v>1772.17</v>
      </c>
    </row>
    <row r="1443" spans="1:8">
      <c r="A1443" s="102">
        <v>38360</v>
      </c>
      <c r="B1443" s="102" t="str">
        <f>TEXT($A1443,"mmm")</f>
        <v>Jan</v>
      </c>
      <c r="C1443" s="103" t="s">
        <v>86</v>
      </c>
      <c r="D1443" s="103" t="s">
        <v>92</v>
      </c>
      <c r="E1443" s="103" t="s">
        <v>81</v>
      </c>
      <c r="F1443" s="103" t="s">
        <v>1490</v>
      </c>
      <c r="G1443" s="104">
        <v>1513.2655999999999</v>
      </c>
      <c r="H1443" s="105">
        <v>1719.62</v>
      </c>
    </row>
    <row r="1444" spans="1:8">
      <c r="A1444" s="97">
        <v>38359</v>
      </c>
      <c r="B1444" s="97" t="str">
        <f>TEXT($A1444,"mmm")</f>
        <v>Jan</v>
      </c>
      <c r="C1444" s="99" t="s">
        <v>116</v>
      </c>
      <c r="D1444" s="99" t="s">
        <v>95</v>
      </c>
      <c r="E1444" s="99" t="s">
        <v>93</v>
      </c>
      <c r="F1444" s="99" t="s">
        <v>1491</v>
      </c>
      <c r="G1444" s="100">
        <v>2486.4555</v>
      </c>
      <c r="H1444" s="101">
        <v>6720.15</v>
      </c>
    </row>
    <row r="1445" spans="1:8">
      <c r="A1445" s="102">
        <v>38359</v>
      </c>
      <c r="B1445" s="102" t="str">
        <f>TEXT($A1445,"mmm")</f>
        <v>Jan</v>
      </c>
      <c r="C1445" s="103" t="s">
        <v>107</v>
      </c>
      <c r="D1445" s="103" t="s">
        <v>114</v>
      </c>
      <c r="E1445" s="103" t="s">
        <v>89</v>
      </c>
      <c r="F1445" s="103" t="s">
        <v>1492</v>
      </c>
      <c r="G1445" s="104">
        <v>3894.4306999999994</v>
      </c>
      <c r="H1445" s="105">
        <v>6600.73</v>
      </c>
    </row>
    <row r="1446" spans="1:8">
      <c r="A1446" s="97">
        <v>38359</v>
      </c>
      <c r="B1446" s="97" t="str">
        <f>TEXT($A1446,"mmm")</f>
        <v>Jan</v>
      </c>
      <c r="C1446" s="99" t="s">
        <v>79</v>
      </c>
      <c r="D1446" s="99" t="s">
        <v>95</v>
      </c>
      <c r="E1446" s="99" t="s">
        <v>129</v>
      </c>
      <c r="F1446" s="99" t="s">
        <v>1493</v>
      </c>
      <c r="G1446" s="100">
        <v>2851.1774999999998</v>
      </c>
      <c r="H1446" s="101">
        <v>6335.95</v>
      </c>
    </row>
    <row r="1447" spans="1:8">
      <c r="A1447" s="102">
        <v>38359</v>
      </c>
      <c r="B1447" s="102" t="str">
        <f>TEXT($A1447,"mmm")</f>
        <v>Jan</v>
      </c>
      <c r="C1447" s="103" t="s">
        <v>86</v>
      </c>
      <c r="D1447" s="103" t="s">
        <v>92</v>
      </c>
      <c r="E1447" s="103" t="s">
        <v>99</v>
      </c>
      <c r="F1447" s="103" t="s">
        <v>1494</v>
      </c>
      <c r="G1447" s="104">
        <v>1406.34</v>
      </c>
      <c r="H1447" s="105">
        <v>3125.2</v>
      </c>
    </row>
    <row r="1448" spans="1:8">
      <c r="A1448" s="97">
        <v>38358</v>
      </c>
      <c r="B1448" s="97" t="str">
        <f>TEXT($A1448,"mmm")</f>
        <v>Jan</v>
      </c>
      <c r="C1448" s="99" t="s">
        <v>79</v>
      </c>
      <c r="D1448" s="99" t="s">
        <v>127</v>
      </c>
      <c r="E1448" s="99" t="s">
        <v>99</v>
      </c>
      <c r="F1448" s="99" t="s">
        <v>1495</v>
      </c>
      <c r="G1448" s="100">
        <v>3370.9940000000001</v>
      </c>
      <c r="H1448" s="101">
        <v>6129.08</v>
      </c>
    </row>
    <row r="1449" spans="1:8">
      <c r="A1449" s="102">
        <v>38358</v>
      </c>
      <c r="B1449" s="102" t="str">
        <f>TEXT($A1449,"mmm")</f>
        <v>Jan</v>
      </c>
      <c r="C1449" s="103" t="s">
        <v>86</v>
      </c>
      <c r="D1449" s="103" t="s">
        <v>80</v>
      </c>
      <c r="E1449" s="103" t="s">
        <v>105</v>
      </c>
      <c r="F1449" s="103" t="s">
        <v>1496</v>
      </c>
      <c r="G1449" s="104">
        <v>2795.4612999999995</v>
      </c>
      <c r="H1449" s="105">
        <v>4738.07</v>
      </c>
    </row>
    <row r="1450" spans="1:8">
      <c r="A1450" s="97">
        <v>38357</v>
      </c>
      <c r="B1450" s="97" t="str">
        <f>TEXT($A1450,"mmm")</f>
        <v>Jan</v>
      </c>
      <c r="C1450" s="99" t="s">
        <v>79</v>
      </c>
      <c r="D1450" s="99" t="s">
        <v>95</v>
      </c>
      <c r="E1450" s="99" t="s">
        <v>93</v>
      </c>
      <c r="F1450" s="99" t="s">
        <v>1497</v>
      </c>
      <c r="G1450" s="100">
        <v>568.01279999999997</v>
      </c>
      <c r="H1450" s="101">
        <v>1320.96</v>
      </c>
    </row>
    <row r="1451" spans="1:8">
      <c r="A1451" s="102">
        <v>38357</v>
      </c>
      <c r="B1451" s="102" t="str">
        <f>TEXT($A1451,"mmm")</f>
        <v>Jan</v>
      </c>
      <c r="C1451" s="103" t="s">
        <v>104</v>
      </c>
      <c r="D1451" s="103" t="s">
        <v>101</v>
      </c>
      <c r="E1451" s="103" t="s">
        <v>158</v>
      </c>
      <c r="F1451" s="103" t="s">
        <v>1498</v>
      </c>
      <c r="G1451" s="104">
        <v>644.46879999999987</v>
      </c>
      <c r="H1451" s="105">
        <v>1092.32</v>
      </c>
    </row>
    <row r="1452" spans="1:8">
      <c r="A1452" s="97">
        <v>38357</v>
      </c>
      <c r="B1452" s="97" t="str">
        <f>TEXT($A1452,"mmm")</f>
        <v>Jan</v>
      </c>
      <c r="C1452" s="99" t="s">
        <v>79</v>
      </c>
      <c r="D1452" s="99" t="s">
        <v>127</v>
      </c>
      <c r="E1452" s="99" t="s">
        <v>94</v>
      </c>
      <c r="F1452" s="99" t="s">
        <v>1499</v>
      </c>
      <c r="G1452" s="100">
        <v>219.00760000000002</v>
      </c>
      <c r="H1452" s="101">
        <v>322.07</v>
      </c>
    </row>
    <row r="1453" spans="1:8">
      <c r="A1453" s="102">
        <v>38357</v>
      </c>
      <c r="B1453" s="102" t="str">
        <f>TEXT($A1453,"mmm")</f>
        <v>Jan</v>
      </c>
      <c r="C1453" s="103" t="s">
        <v>86</v>
      </c>
      <c r="D1453" s="103" t="s">
        <v>92</v>
      </c>
      <c r="E1453" s="103" t="s">
        <v>89</v>
      </c>
      <c r="F1453" s="103" t="s">
        <v>1500</v>
      </c>
      <c r="G1453" s="104">
        <v>135.31049999999999</v>
      </c>
      <c r="H1453" s="105">
        <v>300.69</v>
      </c>
    </row>
    <row r="1454" spans="1:8">
      <c r="A1454" s="97">
        <v>38357</v>
      </c>
      <c r="B1454" s="97" t="str">
        <f>TEXT($A1454,"mmm")</f>
        <v>Jan</v>
      </c>
      <c r="C1454" s="99" t="s">
        <v>86</v>
      </c>
      <c r="D1454" s="99" t="s">
        <v>101</v>
      </c>
      <c r="E1454" s="99" t="s">
        <v>129</v>
      </c>
      <c r="F1454" s="99" t="s">
        <v>617</v>
      </c>
      <c r="G1454" s="100">
        <v>218.95830000000001</v>
      </c>
      <c r="H1454" s="101">
        <v>234.18</v>
      </c>
    </row>
    <row r="1455" spans="1:8">
      <c r="A1455" s="102">
        <v>38356</v>
      </c>
      <c r="B1455" s="102" t="str">
        <f>TEXT($A1455,"mmm")</f>
        <v>Jan</v>
      </c>
      <c r="C1455" s="103" t="s">
        <v>79</v>
      </c>
      <c r="D1455" s="103" t="s">
        <v>114</v>
      </c>
      <c r="E1455" s="103" t="s">
        <v>83</v>
      </c>
      <c r="F1455" s="103" t="s">
        <v>1501</v>
      </c>
      <c r="G1455" s="104">
        <v>3692.1176</v>
      </c>
      <c r="H1455" s="105">
        <v>8586.32</v>
      </c>
    </row>
    <row r="1456" spans="1:8">
      <c r="A1456" s="97">
        <v>38356</v>
      </c>
      <c r="B1456" s="97" t="str">
        <f>TEXT($A1456,"mmm")</f>
        <v>Jan</v>
      </c>
      <c r="C1456" s="99" t="s">
        <v>116</v>
      </c>
      <c r="D1456" s="99" t="s">
        <v>80</v>
      </c>
      <c r="E1456" s="99" t="s">
        <v>94</v>
      </c>
      <c r="F1456" s="99" t="s">
        <v>1502</v>
      </c>
      <c r="G1456" s="100">
        <v>3442.1714999999999</v>
      </c>
      <c r="H1456" s="101">
        <v>8005.05</v>
      </c>
    </row>
    <row r="1457" spans="1:8">
      <c r="A1457" s="102">
        <v>38356</v>
      </c>
      <c r="B1457" s="102" t="str">
        <f>TEXT($A1457,"mmm")</f>
        <v>Jan</v>
      </c>
      <c r="C1457" s="103" t="s">
        <v>116</v>
      </c>
      <c r="D1457" s="103" t="s">
        <v>98</v>
      </c>
      <c r="E1457" s="103" t="s">
        <v>158</v>
      </c>
      <c r="F1457" s="103" t="s">
        <v>1503</v>
      </c>
      <c r="G1457" s="104">
        <v>2681.8387999999995</v>
      </c>
      <c r="H1457" s="105">
        <v>4623.8599999999997</v>
      </c>
    </row>
    <row r="1458" spans="1:8">
      <c r="A1458" s="97">
        <v>38355</v>
      </c>
      <c r="B1458" s="97" t="str">
        <f>TEXT($A1458,"mmm")</f>
        <v>Jan</v>
      </c>
      <c r="C1458" s="99" t="s">
        <v>107</v>
      </c>
      <c r="D1458" s="99" t="s">
        <v>87</v>
      </c>
      <c r="E1458" s="99" t="s">
        <v>81</v>
      </c>
      <c r="F1458" s="99" t="s">
        <v>1504</v>
      </c>
      <c r="G1458" s="100">
        <v>1690.7605000000003</v>
      </c>
      <c r="H1458" s="101">
        <v>3074.11</v>
      </c>
    </row>
    <row r="1459" spans="1:8">
      <c r="A1459" s="102">
        <v>38355</v>
      </c>
      <c r="B1459" s="102" t="str">
        <f>TEXT($A1459,"mmm")</f>
        <v>Jan</v>
      </c>
      <c r="C1459" s="103" t="s">
        <v>86</v>
      </c>
      <c r="D1459" s="103" t="s">
        <v>87</v>
      </c>
      <c r="E1459" s="103" t="s">
        <v>120</v>
      </c>
      <c r="F1459" s="103" t="s">
        <v>1505</v>
      </c>
      <c r="G1459" s="104">
        <v>854.12649999999996</v>
      </c>
      <c r="H1459" s="105">
        <v>2308.4499999999998</v>
      </c>
    </row>
    <row r="1460" spans="1:8">
      <c r="A1460" s="97">
        <v>38354</v>
      </c>
      <c r="B1460" s="97" t="str">
        <f>TEXT($A1460,"mmm")</f>
        <v>Jan</v>
      </c>
      <c r="C1460" s="99" t="s">
        <v>86</v>
      </c>
      <c r="D1460" s="99" t="s">
        <v>98</v>
      </c>
      <c r="E1460" s="99" t="s">
        <v>96</v>
      </c>
      <c r="F1460" s="99" t="s">
        <v>1506</v>
      </c>
      <c r="G1460" s="100">
        <v>5238.7339999999995</v>
      </c>
      <c r="H1460" s="101">
        <v>9032.2999999999993</v>
      </c>
    </row>
    <row r="1461" spans="1:8">
      <c r="A1461" s="102">
        <v>38354</v>
      </c>
      <c r="B1461" s="102" t="str">
        <f>TEXT($A1461,"mmm")</f>
        <v>Jan</v>
      </c>
      <c r="C1461" s="103" t="s">
        <v>104</v>
      </c>
      <c r="D1461" s="103" t="s">
        <v>95</v>
      </c>
      <c r="E1461" s="103" t="s">
        <v>94</v>
      </c>
      <c r="F1461" s="103" t="s">
        <v>1507</v>
      </c>
      <c r="G1461" s="104">
        <v>2272.1071000000002</v>
      </c>
      <c r="H1461" s="105">
        <v>6140.83</v>
      </c>
    </row>
    <row r="1462" spans="1:8">
      <c r="A1462" s="97">
        <v>38354</v>
      </c>
      <c r="B1462" s="97" t="str">
        <f>TEXT($A1462,"mmm")</f>
        <v>Jan</v>
      </c>
      <c r="C1462" s="99" t="s">
        <v>104</v>
      </c>
      <c r="D1462" s="99" t="s">
        <v>101</v>
      </c>
      <c r="E1462" s="99" t="s">
        <v>83</v>
      </c>
      <c r="F1462" s="99" t="s">
        <v>1508</v>
      </c>
      <c r="G1462" s="100">
        <v>3591.4715999999999</v>
      </c>
      <c r="H1462" s="101">
        <v>6087.24</v>
      </c>
    </row>
    <row r="1463" spans="1:8">
      <c r="A1463" s="102">
        <v>38354</v>
      </c>
      <c r="B1463" s="102" t="str">
        <f>TEXT($A1463,"mmm")</f>
        <v>Jan</v>
      </c>
      <c r="C1463" s="103" t="s">
        <v>107</v>
      </c>
      <c r="D1463" s="103" t="s">
        <v>80</v>
      </c>
      <c r="E1463" s="103" t="s">
        <v>96</v>
      </c>
      <c r="F1463" s="103" t="s">
        <v>1509</v>
      </c>
      <c r="G1463" s="104">
        <v>4158.1949999999997</v>
      </c>
      <c r="H1463" s="105">
        <v>5544.26</v>
      </c>
    </row>
    <row r="1464" spans="1:8">
      <c r="A1464" s="97">
        <v>38354</v>
      </c>
      <c r="B1464" s="97" t="str">
        <f>TEXT($A1464,"mmm")</f>
        <v>Jan</v>
      </c>
      <c r="C1464" s="99" t="s">
        <v>86</v>
      </c>
      <c r="D1464" s="99" t="s">
        <v>95</v>
      </c>
      <c r="E1464" s="99" t="s">
        <v>93</v>
      </c>
      <c r="F1464" s="99" t="s">
        <v>1510</v>
      </c>
      <c r="G1464" s="100">
        <v>2423.7455000000004</v>
      </c>
      <c r="H1464" s="101">
        <v>4406.8100000000004</v>
      </c>
    </row>
    <row r="1465" spans="1:8">
      <c r="A1465" s="102">
        <v>38354</v>
      </c>
      <c r="B1465" s="102" t="str">
        <f>TEXT($A1465,"mmm")</f>
        <v>Jan</v>
      </c>
      <c r="C1465" s="103" t="s">
        <v>116</v>
      </c>
      <c r="D1465" s="103" t="s">
        <v>80</v>
      </c>
      <c r="E1465" s="103" t="s">
        <v>83</v>
      </c>
      <c r="F1465" s="103" t="s">
        <v>1511</v>
      </c>
      <c r="G1465" s="104">
        <v>2437.6640000000002</v>
      </c>
      <c r="H1465" s="105">
        <v>3584.8</v>
      </c>
    </row>
    <row r="1466" spans="1:8">
      <c r="A1466" s="97">
        <v>38354</v>
      </c>
      <c r="B1466" s="97" t="str">
        <f>TEXT($A1466,"mmm")</f>
        <v>Jan</v>
      </c>
      <c r="C1466" s="99" t="s">
        <v>79</v>
      </c>
      <c r="D1466" s="99" t="s">
        <v>114</v>
      </c>
      <c r="E1466" s="99" t="s">
        <v>81</v>
      </c>
      <c r="F1466" s="99" t="s">
        <v>1512</v>
      </c>
      <c r="G1466" s="100">
        <v>1373.6816000000001</v>
      </c>
      <c r="H1466" s="101">
        <v>2020.12</v>
      </c>
    </row>
    <row r="1467" spans="1:8">
      <c r="A1467" s="102">
        <v>38354</v>
      </c>
      <c r="B1467" s="102" t="str">
        <f>TEXT($A1467,"mmm")</f>
        <v>Jan</v>
      </c>
      <c r="C1467" s="103" t="s">
        <v>104</v>
      </c>
      <c r="D1467" s="103" t="s">
        <v>98</v>
      </c>
      <c r="E1467" s="103" t="s">
        <v>108</v>
      </c>
      <c r="F1467" s="103" t="s">
        <v>1513</v>
      </c>
      <c r="G1467" s="104">
        <v>1360.41</v>
      </c>
      <c r="H1467" s="105">
        <v>1813.88</v>
      </c>
    </row>
    <row r="1468" spans="1:8">
      <c r="A1468" s="97">
        <v>38353</v>
      </c>
      <c r="B1468" s="97" t="str">
        <f>TEXT($A1468,"mmm")</f>
        <v>Jan</v>
      </c>
      <c r="C1468" s="99" t="s">
        <v>104</v>
      </c>
      <c r="D1468" s="99" t="s">
        <v>80</v>
      </c>
      <c r="E1468" s="99" t="s">
        <v>144</v>
      </c>
      <c r="F1468" s="99" t="s">
        <v>1514</v>
      </c>
      <c r="G1468" s="100">
        <v>1449.1455000000001</v>
      </c>
      <c r="H1468" s="101">
        <v>2634.81</v>
      </c>
    </row>
    <row r="1469" spans="1:8">
      <c r="A1469" s="102">
        <v>38352</v>
      </c>
      <c r="B1469" s="102" t="str">
        <f>TEXT($A1469,"mmm")</f>
        <v>Dec</v>
      </c>
      <c r="C1469" s="103" t="s">
        <v>107</v>
      </c>
      <c r="D1469" s="103" t="s">
        <v>98</v>
      </c>
      <c r="E1469" s="103" t="s">
        <v>108</v>
      </c>
      <c r="F1469" s="103" t="s">
        <v>1515</v>
      </c>
      <c r="G1469" s="104">
        <v>8667.1728000000003</v>
      </c>
      <c r="H1469" s="105">
        <v>9849.06</v>
      </c>
    </row>
    <row r="1470" spans="1:8">
      <c r="A1470" s="97">
        <v>38352</v>
      </c>
      <c r="B1470" s="97" t="str">
        <f>TEXT($A1470,"mmm")</f>
        <v>Dec</v>
      </c>
      <c r="C1470" s="99" t="s">
        <v>79</v>
      </c>
      <c r="D1470" s="99" t="s">
        <v>98</v>
      </c>
      <c r="E1470" s="99" t="s">
        <v>129</v>
      </c>
      <c r="F1470" s="99" t="s">
        <v>1516</v>
      </c>
      <c r="G1470" s="100">
        <v>5394.1449999999995</v>
      </c>
      <c r="H1470" s="101">
        <v>9300.25</v>
      </c>
    </row>
    <row r="1471" spans="1:8">
      <c r="A1471" s="102">
        <v>38351</v>
      </c>
      <c r="B1471" s="102" t="str">
        <f>TEXT($A1471,"mmm")</f>
        <v>Dec</v>
      </c>
      <c r="C1471" s="103" t="s">
        <v>79</v>
      </c>
      <c r="D1471" s="103" t="s">
        <v>92</v>
      </c>
      <c r="E1471" s="103" t="s">
        <v>108</v>
      </c>
      <c r="F1471" s="103" t="s">
        <v>1517</v>
      </c>
      <c r="G1471" s="104">
        <v>4139.7565000000004</v>
      </c>
      <c r="H1471" s="105">
        <v>7526.83</v>
      </c>
    </row>
    <row r="1472" spans="1:8">
      <c r="A1472" s="97">
        <v>38351</v>
      </c>
      <c r="B1472" s="97" t="str">
        <f>TEXT($A1472,"mmm")</f>
        <v>Dec</v>
      </c>
      <c r="C1472" s="99" t="s">
        <v>79</v>
      </c>
      <c r="D1472" s="99" t="s">
        <v>80</v>
      </c>
      <c r="E1472" s="99" t="s">
        <v>158</v>
      </c>
      <c r="F1472" s="99" t="s">
        <v>1518</v>
      </c>
      <c r="G1472" s="100">
        <v>2150.9674999999997</v>
      </c>
      <c r="H1472" s="101">
        <v>5002.25</v>
      </c>
    </row>
    <row r="1473" spans="1:8">
      <c r="A1473" s="102">
        <v>38351</v>
      </c>
      <c r="B1473" s="102" t="str">
        <f>TEXT($A1473,"mmm")</f>
        <v>Dec</v>
      </c>
      <c r="C1473" s="103" t="s">
        <v>79</v>
      </c>
      <c r="D1473" s="103" t="s">
        <v>101</v>
      </c>
      <c r="E1473" s="103" t="s">
        <v>96</v>
      </c>
      <c r="F1473" s="103" t="s">
        <v>1519</v>
      </c>
      <c r="G1473" s="104">
        <v>1309.4024999999999</v>
      </c>
      <c r="H1473" s="105">
        <v>1745.87</v>
      </c>
    </row>
    <row r="1474" spans="1:8">
      <c r="A1474" s="97">
        <v>38350</v>
      </c>
      <c r="B1474" s="97" t="str">
        <f>TEXT($A1474,"mmm")</f>
        <v>Dec</v>
      </c>
      <c r="C1474" s="99" t="s">
        <v>79</v>
      </c>
      <c r="D1474" s="99" t="s">
        <v>101</v>
      </c>
      <c r="E1474" s="99" t="s">
        <v>81</v>
      </c>
      <c r="F1474" s="99" t="s">
        <v>1520</v>
      </c>
      <c r="G1474" s="100">
        <v>4204.4969999999994</v>
      </c>
      <c r="H1474" s="101">
        <v>9777.9</v>
      </c>
    </row>
    <row r="1475" spans="1:8">
      <c r="A1475" s="102">
        <v>38350</v>
      </c>
      <c r="B1475" s="102" t="str">
        <f>TEXT($A1475,"mmm")</f>
        <v>Dec</v>
      </c>
      <c r="C1475" s="103" t="s">
        <v>79</v>
      </c>
      <c r="D1475" s="103" t="s">
        <v>98</v>
      </c>
      <c r="E1475" s="103" t="s">
        <v>83</v>
      </c>
      <c r="F1475" s="103" t="s">
        <v>1521</v>
      </c>
      <c r="G1475" s="104">
        <v>3325.6755000000003</v>
      </c>
      <c r="H1475" s="105">
        <v>7390.39</v>
      </c>
    </row>
    <row r="1476" spans="1:8">
      <c r="A1476" s="97">
        <v>38350</v>
      </c>
      <c r="B1476" s="97" t="str">
        <f>TEXT($A1476,"mmm")</f>
        <v>Dec</v>
      </c>
      <c r="C1476" s="99" t="s">
        <v>104</v>
      </c>
      <c r="D1476" s="99" t="s">
        <v>92</v>
      </c>
      <c r="E1476" s="99" t="s">
        <v>122</v>
      </c>
      <c r="F1476" s="99" t="s">
        <v>1522</v>
      </c>
      <c r="G1476" s="100">
        <v>6379.4115000000002</v>
      </c>
      <c r="H1476" s="101">
        <v>6822.9</v>
      </c>
    </row>
    <row r="1477" spans="1:8">
      <c r="A1477" s="102">
        <v>38350</v>
      </c>
      <c r="B1477" s="102" t="str">
        <f>TEXT($A1477,"mmm")</f>
        <v>Dec</v>
      </c>
      <c r="C1477" s="103" t="s">
        <v>86</v>
      </c>
      <c r="D1477" s="103" t="s">
        <v>80</v>
      </c>
      <c r="E1477" s="103" t="s">
        <v>144</v>
      </c>
      <c r="F1477" s="103" t="s">
        <v>1523</v>
      </c>
      <c r="G1477" s="104">
        <v>1776.5587</v>
      </c>
      <c r="H1477" s="105">
        <v>4801.51</v>
      </c>
    </row>
    <row r="1478" spans="1:8">
      <c r="A1478" s="97">
        <v>38350</v>
      </c>
      <c r="B1478" s="97" t="str">
        <f>TEXT($A1478,"mmm")</f>
        <v>Dec</v>
      </c>
      <c r="C1478" s="99" t="s">
        <v>116</v>
      </c>
      <c r="D1478" s="99" t="s">
        <v>80</v>
      </c>
      <c r="E1478" s="99" t="s">
        <v>99</v>
      </c>
      <c r="F1478" s="99" t="s">
        <v>1524</v>
      </c>
      <c r="G1478" s="100">
        <v>2767.9344000000001</v>
      </c>
      <c r="H1478" s="101">
        <v>3145.38</v>
      </c>
    </row>
    <row r="1479" spans="1:8">
      <c r="A1479" s="102">
        <v>38349</v>
      </c>
      <c r="B1479" s="102" t="str">
        <f>TEXT($A1479,"mmm")</f>
        <v>Dec</v>
      </c>
      <c r="C1479" s="103" t="s">
        <v>79</v>
      </c>
      <c r="D1479" s="103" t="s">
        <v>87</v>
      </c>
      <c r="E1479" s="103" t="s">
        <v>129</v>
      </c>
      <c r="F1479" s="103" t="s">
        <v>1525</v>
      </c>
      <c r="G1479" s="104">
        <v>3621.7487000000001</v>
      </c>
      <c r="H1479" s="105">
        <v>9788.51</v>
      </c>
    </row>
    <row r="1480" spans="1:8">
      <c r="A1480" s="97">
        <v>38348</v>
      </c>
      <c r="B1480" s="97" t="str">
        <f>TEXT($A1480,"mmm")</f>
        <v>Dec</v>
      </c>
      <c r="C1480" s="99" t="s">
        <v>116</v>
      </c>
      <c r="D1480" s="99" t="s">
        <v>114</v>
      </c>
      <c r="E1480" s="99" t="s">
        <v>89</v>
      </c>
      <c r="F1480" s="99" t="s">
        <v>1526</v>
      </c>
      <c r="G1480" s="100">
        <v>3396.2484999999997</v>
      </c>
      <c r="H1480" s="101">
        <v>9179.0499999999993</v>
      </c>
    </row>
    <row r="1481" spans="1:8">
      <c r="A1481" s="102">
        <v>38348</v>
      </c>
      <c r="B1481" s="102" t="str">
        <f>TEXT($A1481,"mmm")</f>
        <v>Dec</v>
      </c>
      <c r="C1481" s="103" t="s">
        <v>107</v>
      </c>
      <c r="D1481" s="103" t="s">
        <v>92</v>
      </c>
      <c r="E1481" s="103" t="s">
        <v>144</v>
      </c>
      <c r="F1481" s="103" t="s">
        <v>1527</v>
      </c>
      <c r="G1481" s="104">
        <v>5832.4125000000004</v>
      </c>
      <c r="H1481" s="105">
        <v>7776.55</v>
      </c>
    </row>
    <row r="1482" spans="1:8">
      <c r="A1482" s="97">
        <v>38348</v>
      </c>
      <c r="B1482" s="97" t="str">
        <f>TEXT($A1482,"mmm")</f>
        <v>Dec</v>
      </c>
      <c r="C1482" s="99" t="s">
        <v>79</v>
      </c>
      <c r="D1482" s="99" t="s">
        <v>101</v>
      </c>
      <c r="E1482" s="99" t="s">
        <v>94</v>
      </c>
      <c r="F1482" s="99" t="s">
        <v>636</v>
      </c>
      <c r="G1482" s="100">
        <v>4638.9192000000003</v>
      </c>
      <c r="H1482" s="101">
        <v>6821.94</v>
      </c>
    </row>
    <row r="1483" spans="1:8">
      <c r="A1483" s="102">
        <v>38348</v>
      </c>
      <c r="B1483" s="102" t="str">
        <f>TEXT($A1483,"mmm")</f>
        <v>Dec</v>
      </c>
      <c r="C1483" s="103" t="s">
        <v>107</v>
      </c>
      <c r="D1483" s="103" t="s">
        <v>80</v>
      </c>
      <c r="E1483" s="103" t="s">
        <v>99</v>
      </c>
      <c r="F1483" s="103" t="s">
        <v>1528</v>
      </c>
      <c r="G1483" s="104">
        <v>1918.9985999999999</v>
      </c>
      <c r="H1483" s="105">
        <v>3252.54</v>
      </c>
    </row>
    <row r="1484" spans="1:8">
      <c r="A1484" s="97">
        <v>38347</v>
      </c>
      <c r="B1484" s="97" t="str">
        <f>TEXT($A1484,"mmm")</f>
        <v>Dec</v>
      </c>
      <c r="C1484" s="99" t="s">
        <v>104</v>
      </c>
      <c r="D1484" s="99" t="s">
        <v>127</v>
      </c>
      <c r="E1484" s="99" t="s">
        <v>83</v>
      </c>
      <c r="F1484" s="99" t="s">
        <v>1529</v>
      </c>
      <c r="G1484" s="100">
        <v>6261.7874999999995</v>
      </c>
      <c r="H1484" s="101">
        <v>8349.0499999999993</v>
      </c>
    </row>
    <row r="1485" spans="1:8">
      <c r="A1485" s="102">
        <v>38347</v>
      </c>
      <c r="B1485" s="102" t="str">
        <f>TEXT($A1485,"mmm")</f>
        <v>Dec</v>
      </c>
      <c r="C1485" s="103" t="s">
        <v>86</v>
      </c>
      <c r="D1485" s="103" t="s">
        <v>92</v>
      </c>
      <c r="E1485" s="103" t="s">
        <v>94</v>
      </c>
      <c r="F1485" s="103" t="s">
        <v>1530</v>
      </c>
      <c r="G1485" s="104">
        <v>5923.0567000000001</v>
      </c>
      <c r="H1485" s="105">
        <v>6334.82</v>
      </c>
    </row>
    <row r="1486" spans="1:8">
      <c r="A1486" s="97">
        <v>38347</v>
      </c>
      <c r="B1486" s="97" t="str">
        <f>TEXT($A1486,"mmm")</f>
        <v>Dec</v>
      </c>
      <c r="C1486" s="99" t="s">
        <v>104</v>
      </c>
      <c r="D1486" s="99" t="s">
        <v>87</v>
      </c>
      <c r="E1486" s="99" t="s">
        <v>83</v>
      </c>
      <c r="F1486" s="99" t="s">
        <v>1531</v>
      </c>
      <c r="G1486" s="100">
        <v>4914.2984000000006</v>
      </c>
      <c r="H1486" s="101">
        <v>5584.43</v>
      </c>
    </row>
    <row r="1487" spans="1:8">
      <c r="A1487" s="102">
        <v>38346</v>
      </c>
      <c r="B1487" s="102" t="str">
        <f>TEXT($A1487,"mmm")</f>
        <v>Dec</v>
      </c>
      <c r="C1487" s="103" t="s">
        <v>116</v>
      </c>
      <c r="D1487" s="103" t="s">
        <v>80</v>
      </c>
      <c r="E1487" s="103" t="s">
        <v>129</v>
      </c>
      <c r="F1487" s="103" t="s">
        <v>1532</v>
      </c>
      <c r="G1487" s="104">
        <v>3664.6785</v>
      </c>
      <c r="H1487" s="105">
        <v>8143.73</v>
      </c>
    </row>
    <row r="1488" spans="1:8">
      <c r="A1488" s="97">
        <v>38346</v>
      </c>
      <c r="B1488" s="97" t="str">
        <f>TEXT($A1488,"mmm")</f>
        <v>Dec</v>
      </c>
      <c r="C1488" s="99" t="s">
        <v>116</v>
      </c>
      <c r="D1488" s="99" t="s">
        <v>101</v>
      </c>
      <c r="E1488" s="99" t="s">
        <v>105</v>
      </c>
      <c r="F1488" s="99" t="s">
        <v>1533</v>
      </c>
      <c r="G1488" s="100">
        <v>3343.9950000000003</v>
      </c>
      <c r="H1488" s="101">
        <v>7431.1</v>
      </c>
    </row>
    <row r="1489" spans="1:8">
      <c r="A1489" s="102">
        <v>38346</v>
      </c>
      <c r="B1489" s="102" t="str">
        <f>TEXT($A1489,"mmm")</f>
        <v>Dec</v>
      </c>
      <c r="C1489" s="103" t="s">
        <v>79</v>
      </c>
      <c r="D1489" s="103" t="s">
        <v>92</v>
      </c>
      <c r="E1489" s="103" t="s">
        <v>144</v>
      </c>
      <c r="F1489" s="103" t="s">
        <v>753</v>
      </c>
      <c r="G1489" s="104">
        <v>2281.6308999999997</v>
      </c>
      <c r="H1489" s="105">
        <v>6166.57</v>
      </c>
    </row>
    <row r="1490" spans="1:8">
      <c r="A1490" s="97">
        <v>38346</v>
      </c>
      <c r="B1490" s="97" t="str">
        <f>TEXT($A1490,"mmm")</f>
        <v>Dec</v>
      </c>
      <c r="C1490" s="99" t="s">
        <v>104</v>
      </c>
      <c r="D1490" s="99" t="s">
        <v>80</v>
      </c>
      <c r="E1490" s="99" t="s">
        <v>94</v>
      </c>
      <c r="F1490" s="99" t="s">
        <v>1534</v>
      </c>
      <c r="G1490" s="100">
        <v>2184.3060999999998</v>
      </c>
      <c r="H1490" s="101">
        <v>5903.53</v>
      </c>
    </row>
    <row r="1491" spans="1:8">
      <c r="A1491" s="102">
        <v>38346</v>
      </c>
      <c r="B1491" s="102" t="str">
        <f>TEXT($A1491,"mmm")</f>
        <v>Dec</v>
      </c>
      <c r="C1491" s="103" t="s">
        <v>79</v>
      </c>
      <c r="D1491" s="103" t="s">
        <v>98</v>
      </c>
      <c r="E1491" s="103" t="s">
        <v>129</v>
      </c>
      <c r="F1491" s="103" t="s">
        <v>1535</v>
      </c>
      <c r="G1491" s="104">
        <v>2636.7345</v>
      </c>
      <c r="H1491" s="105">
        <v>5859.41</v>
      </c>
    </row>
    <row r="1492" spans="1:8">
      <c r="A1492" s="97">
        <v>38345</v>
      </c>
      <c r="B1492" s="97" t="str">
        <f>TEXT($A1492,"mmm")</f>
        <v>Dec</v>
      </c>
      <c r="C1492" s="99" t="s">
        <v>79</v>
      </c>
      <c r="D1492" s="99" t="s">
        <v>87</v>
      </c>
      <c r="E1492" s="99" t="s">
        <v>144</v>
      </c>
      <c r="F1492" s="99" t="s">
        <v>1536</v>
      </c>
      <c r="G1492" s="100">
        <v>435.40079999999995</v>
      </c>
      <c r="H1492" s="101">
        <v>1012.56</v>
      </c>
    </row>
    <row r="1493" spans="1:8">
      <c r="A1493" s="102">
        <v>38345</v>
      </c>
      <c r="B1493" s="102" t="str">
        <f>TEXT($A1493,"mmm")</f>
        <v>Dec</v>
      </c>
      <c r="C1493" s="103" t="s">
        <v>79</v>
      </c>
      <c r="D1493" s="103" t="s">
        <v>80</v>
      </c>
      <c r="E1493" s="103" t="s">
        <v>96</v>
      </c>
      <c r="F1493" s="103" t="s">
        <v>1537</v>
      </c>
      <c r="G1493" s="104">
        <v>322.37560000000002</v>
      </c>
      <c r="H1493" s="105">
        <v>555.82000000000005</v>
      </c>
    </row>
    <row r="1494" spans="1:8">
      <c r="A1494" s="97">
        <v>38344</v>
      </c>
      <c r="B1494" s="97" t="str">
        <f>TEXT($A1494,"mmm")</f>
        <v>Dec</v>
      </c>
      <c r="C1494" s="99" t="s">
        <v>79</v>
      </c>
      <c r="D1494" s="99" t="s">
        <v>98</v>
      </c>
      <c r="E1494" s="99" t="s">
        <v>129</v>
      </c>
      <c r="F1494" s="99" t="s">
        <v>1538</v>
      </c>
      <c r="G1494" s="100">
        <v>4064.72</v>
      </c>
      <c r="H1494" s="101">
        <v>7390.4</v>
      </c>
    </row>
    <row r="1495" spans="1:8">
      <c r="A1495" s="102">
        <v>38343</v>
      </c>
      <c r="B1495" s="102" t="str">
        <f>TEXT($A1495,"mmm")</f>
        <v>Dec</v>
      </c>
      <c r="C1495" s="103" t="s">
        <v>86</v>
      </c>
      <c r="D1495" s="103" t="s">
        <v>114</v>
      </c>
      <c r="E1495" s="103" t="s">
        <v>89</v>
      </c>
      <c r="F1495" s="103" t="s">
        <v>1539</v>
      </c>
      <c r="G1495" s="104">
        <v>3799.3032000000003</v>
      </c>
      <c r="H1495" s="105">
        <v>4317.3900000000003</v>
      </c>
    </row>
    <row r="1496" spans="1:8">
      <c r="A1496" s="97">
        <v>38343</v>
      </c>
      <c r="B1496" s="97" t="str">
        <f>TEXT($A1496,"mmm")</f>
        <v>Dec</v>
      </c>
      <c r="C1496" s="99" t="s">
        <v>104</v>
      </c>
      <c r="D1496" s="99" t="s">
        <v>98</v>
      </c>
      <c r="E1496" s="99" t="s">
        <v>122</v>
      </c>
      <c r="F1496" s="99" t="s">
        <v>1540</v>
      </c>
      <c r="G1496" s="100">
        <v>3786.8863999999999</v>
      </c>
      <c r="H1496" s="101">
        <v>4303.28</v>
      </c>
    </row>
    <row r="1497" spans="1:8">
      <c r="A1497" s="102">
        <v>38343</v>
      </c>
      <c r="B1497" s="102" t="str">
        <f>TEXT($A1497,"mmm")</f>
        <v>Dec</v>
      </c>
      <c r="C1497" s="103" t="s">
        <v>79</v>
      </c>
      <c r="D1497" s="103" t="s">
        <v>87</v>
      </c>
      <c r="E1497" s="103" t="s">
        <v>158</v>
      </c>
      <c r="F1497" s="103" t="s">
        <v>1541</v>
      </c>
      <c r="G1497" s="104">
        <v>3654.4376000000002</v>
      </c>
      <c r="H1497" s="105">
        <v>4152.7700000000004</v>
      </c>
    </row>
    <row r="1498" spans="1:8">
      <c r="A1498" s="97">
        <v>38343</v>
      </c>
      <c r="B1498" s="97" t="str">
        <f>TEXT($A1498,"mmm")</f>
        <v>Dec</v>
      </c>
      <c r="C1498" s="99" t="s">
        <v>86</v>
      </c>
      <c r="D1498" s="99" t="s">
        <v>80</v>
      </c>
      <c r="E1498" s="99" t="s">
        <v>99</v>
      </c>
      <c r="F1498" s="99" t="s">
        <v>1542</v>
      </c>
      <c r="G1498" s="100">
        <v>3727.4616500000002</v>
      </c>
      <c r="H1498" s="101">
        <v>3986.59</v>
      </c>
    </row>
    <row r="1499" spans="1:8">
      <c r="A1499" s="102">
        <v>38342</v>
      </c>
      <c r="B1499" s="102" t="str">
        <f>TEXT($A1499,"mmm")</f>
        <v>Dec</v>
      </c>
      <c r="C1499" s="103" t="s">
        <v>116</v>
      </c>
      <c r="D1499" s="103" t="s">
        <v>98</v>
      </c>
      <c r="E1499" s="103" t="s">
        <v>120</v>
      </c>
      <c r="F1499" s="103" t="s">
        <v>1543</v>
      </c>
      <c r="G1499" s="104">
        <v>2432.7352000000001</v>
      </c>
      <c r="H1499" s="105">
        <v>6574.96</v>
      </c>
    </row>
    <row r="1500" spans="1:8">
      <c r="A1500" s="97">
        <v>38342</v>
      </c>
      <c r="B1500" s="97" t="str">
        <f>TEXT($A1500,"mmm")</f>
        <v>Dec</v>
      </c>
      <c r="C1500" s="99" t="s">
        <v>79</v>
      </c>
      <c r="D1500" s="99" t="s">
        <v>101</v>
      </c>
      <c r="E1500" s="99" t="s">
        <v>89</v>
      </c>
      <c r="F1500" s="99" t="s">
        <v>1544</v>
      </c>
      <c r="G1500" s="100">
        <v>1246.3055000000002</v>
      </c>
      <c r="H1500" s="101">
        <v>2266.0100000000002</v>
      </c>
    </row>
    <row r="1501" spans="1:8">
      <c r="A1501" s="102">
        <v>38342</v>
      </c>
      <c r="B1501" s="102" t="str">
        <f>TEXT($A1501,"mmm")</f>
        <v>Dec</v>
      </c>
      <c r="C1501" s="103" t="s">
        <v>107</v>
      </c>
      <c r="D1501" s="103" t="s">
        <v>114</v>
      </c>
      <c r="E1501" s="103" t="s">
        <v>144</v>
      </c>
      <c r="F1501" s="103" t="s">
        <v>1545</v>
      </c>
      <c r="G1501" s="104">
        <v>1749.0671000000002</v>
      </c>
      <c r="H1501" s="105">
        <v>1870.66</v>
      </c>
    </row>
    <row r="1502" spans="1:8">
      <c r="A1502" s="97">
        <v>38341</v>
      </c>
      <c r="B1502" s="97" t="str">
        <f>TEXT($A1502,"mmm")</f>
        <v>Dec</v>
      </c>
      <c r="C1502" s="99" t="s">
        <v>86</v>
      </c>
      <c r="D1502" s="99" t="s">
        <v>80</v>
      </c>
      <c r="E1502" s="99" t="s">
        <v>89</v>
      </c>
      <c r="F1502" s="99" t="s">
        <v>1546</v>
      </c>
      <c r="G1502" s="100">
        <v>5876.5946999999996</v>
      </c>
      <c r="H1502" s="101">
        <v>9960.33</v>
      </c>
    </row>
    <row r="1503" spans="1:8">
      <c r="A1503" s="102">
        <v>38341</v>
      </c>
      <c r="B1503" s="102" t="str">
        <f>TEXT($A1503,"mmm")</f>
        <v>Dec</v>
      </c>
      <c r="C1503" s="103" t="s">
        <v>116</v>
      </c>
      <c r="D1503" s="103" t="s">
        <v>101</v>
      </c>
      <c r="E1503" s="103" t="s">
        <v>83</v>
      </c>
      <c r="F1503" s="103" t="s">
        <v>88</v>
      </c>
      <c r="G1503" s="104">
        <v>4999.8841999999995</v>
      </c>
      <c r="H1503" s="105">
        <v>8474.3799999999992</v>
      </c>
    </row>
    <row r="1504" spans="1:8">
      <c r="A1504" s="97">
        <v>38341</v>
      </c>
      <c r="B1504" s="97" t="str">
        <f>TEXT($A1504,"mmm")</f>
        <v>Dec</v>
      </c>
      <c r="C1504" s="99" t="s">
        <v>116</v>
      </c>
      <c r="D1504" s="99" t="s">
        <v>80</v>
      </c>
      <c r="E1504" s="99" t="s">
        <v>83</v>
      </c>
      <c r="F1504" s="99" t="s">
        <v>1547</v>
      </c>
      <c r="G1504" s="100">
        <v>3589.2229000000002</v>
      </c>
      <c r="H1504" s="101">
        <v>8347.0300000000007</v>
      </c>
    </row>
    <row r="1505" spans="1:8">
      <c r="A1505" s="102">
        <v>38340</v>
      </c>
      <c r="B1505" s="102" t="str">
        <f>TEXT($A1505,"mmm")</f>
        <v>Dec</v>
      </c>
      <c r="C1505" s="103" t="s">
        <v>79</v>
      </c>
      <c r="D1505" s="103" t="s">
        <v>98</v>
      </c>
      <c r="E1505" s="103" t="s">
        <v>158</v>
      </c>
      <c r="F1505" s="103" t="s">
        <v>1548</v>
      </c>
      <c r="G1505" s="104">
        <v>5867.6561999999994</v>
      </c>
      <c r="H1505" s="105">
        <v>9945.18</v>
      </c>
    </row>
    <row r="1506" spans="1:8">
      <c r="A1506" s="97">
        <v>38340</v>
      </c>
      <c r="B1506" s="97" t="str">
        <f>TEXT($A1506,"mmm")</f>
        <v>Dec</v>
      </c>
      <c r="C1506" s="99" t="s">
        <v>79</v>
      </c>
      <c r="D1506" s="99" t="s">
        <v>127</v>
      </c>
      <c r="E1506" s="99" t="s">
        <v>96</v>
      </c>
      <c r="F1506" s="99" t="s">
        <v>1549</v>
      </c>
      <c r="G1506" s="100">
        <v>3906.0224999999996</v>
      </c>
      <c r="H1506" s="101">
        <v>8680.0499999999993</v>
      </c>
    </row>
    <row r="1507" spans="1:8">
      <c r="A1507" s="102">
        <v>38340</v>
      </c>
      <c r="B1507" s="102" t="str">
        <f>TEXT($A1507,"mmm")</f>
        <v>Dec</v>
      </c>
      <c r="C1507" s="103" t="s">
        <v>79</v>
      </c>
      <c r="D1507" s="103" t="s">
        <v>80</v>
      </c>
      <c r="E1507" s="103" t="s">
        <v>94</v>
      </c>
      <c r="F1507" s="103" t="s">
        <v>1550</v>
      </c>
      <c r="G1507" s="104">
        <v>766.89919999999995</v>
      </c>
      <c r="H1507" s="105">
        <v>1322.24</v>
      </c>
    </row>
    <row r="1508" spans="1:8">
      <c r="A1508" s="97">
        <v>38339</v>
      </c>
      <c r="B1508" s="97" t="str">
        <f>TEXT($A1508,"mmm")</f>
        <v>Dec</v>
      </c>
      <c r="C1508" s="99" t="s">
        <v>79</v>
      </c>
      <c r="D1508" s="99" t="s">
        <v>80</v>
      </c>
      <c r="E1508" s="99" t="s">
        <v>94</v>
      </c>
      <c r="F1508" s="99" t="s">
        <v>1551</v>
      </c>
      <c r="G1508" s="100">
        <v>2692.7083000000002</v>
      </c>
      <c r="H1508" s="101">
        <v>7277.59</v>
      </c>
    </row>
    <row r="1509" spans="1:8">
      <c r="A1509" s="102">
        <v>38339</v>
      </c>
      <c r="B1509" s="102" t="str">
        <f>TEXT($A1509,"mmm")</f>
        <v>Dec</v>
      </c>
      <c r="C1509" s="103" t="s">
        <v>79</v>
      </c>
      <c r="D1509" s="103" t="s">
        <v>92</v>
      </c>
      <c r="E1509" s="103" t="s">
        <v>81</v>
      </c>
      <c r="F1509" s="103" t="s">
        <v>1552</v>
      </c>
      <c r="G1509" s="104">
        <v>1826.6171999999999</v>
      </c>
      <c r="H1509" s="105">
        <v>3149.34</v>
      </c>
    </row>
    <row r="1510" spans="1:8">
      <c r="A1510" s="97">
        <v>38339</v>
      </c>
      <c r="B1510" s="97" t="str">
        <f>TEXT($A1510,"mmm")</f>
        <v>Dec</v>
      </c>
      <c r="C1510" s="99" t="s">
        <v>86</v>
      </c>
      <c r="D1510" s="99" t="s">
        <v>95</v>
      </c>
      <c r="E1510" s="99" t="s">
        <v>120</v>
      </c>
      <c r="F1510" s="99" t="s">
        <v>1553</v>
      </c>
      <c r="G1510" s="100">
        <v>758.18889999999999</v>
      </c>
      <c r="H1510" s="101">
        <v>1763.23</v>
      </c>
    </row>
    <row r="1511" spans="1:8">
      <c r="A1511" s="102">
        <v>38339</v>
      </c>
      <c r="B1511" s="102" t="str">
        <f>TEXT($A1511,"mmm")</f>
        <v>Dec</v>
      </c>
      <c r="C1511" s="103" t="s">
        <v>86</v>
      </c>
      <c r="D1511" s="103" t="s">
        <v>80</v>
      </c>
      <c r="E1511" s="103" t="s">
        <v>122</v>
      </c>
      <c r="F1511" s="103" t="s">
        <v>590</v>
      </c>
      <c r="G1511" s="104">
        <v>331.26139999999998</v>
      </c>
      <c r="H1511" s="105">
        <v>561.46</v>
      </c>
    </row>
    <row r="1512" spans="1:8">
      <c r="A1512" s="97">
        <v>38339</v>
      </c>
      <c r="B1512" s="97" t="str">
        <f>TEXT($A1512,"mmm")</f>
        <v>Dec</v>
      </c>
      <c r="C1512" s="99" t="s">
        <v>104</v>
      </c>
      <c r="D1512" s="99" t="s">
        <v>95</v>
      </c>
      <c r="E1512" s="99" t="s">
        <v>83</v>
      </c>
      <c r="F1512" s="99" t="s">
        <v>1554</v>
      </c>
      <c r="G1512" s="100">
        <v>114.453</v>
      </c>
      <c r="H1512" s="101">
        <v>254.34</v>
      </c>
    </row>
    <row r="1513" spans="1:8">
      <c r="A1513" s="102">
        <v>38338</v>
      </c>
      <c r="B1513" s="102" t="str">
        <f>TEXT($A1513,"mmm")</f>
        <v>Dec</v>
      </c>
      <c r="C1513" s="103" t="s">
        <v>79</v>
      </c>
      <c r="D1513" s="103" t="s">
        <v>92</v>
      </c>
      <c r="E1513" s="103" t="s">
        <v>129</v>
      </c>
      <c r="F1513" s="103" t="s">
        <v>1555</v>
      </c>
      <c r="G1513" s="104">
        <v>4085.4915000000005</v>
      </c>
      <c r="H1513" s="105">
        <v>9078.8700000000008</v>
      </c>
    </row>
    <row r="1514" spans="1:8">
      <c r="A1514" s="97">
        <v>38338</v>
      </c>
      <c r="B1514" s="97" t="str">
        <f>TEXT($A1514,"mmm")</f>
        <v>Dec</v>
      </c>
      <c r="C1514" s="99" t="s">
        <v>116</v>
      </c>
      <c r="D1514" s="99" t="s">
        <v>98</v>
      </c>
      <c r="E1514" s="99" t="s">
        <v>129</v>
      </c>
      <c r="F1514" s="99" t="s">
        <v>1556</v>
      </c>
      <c r="G1514" s="100">
        <v>3075.82</v>
      </c>
      <c r="H1514" s="101">
        <v>5592.4</v>
      </c>
    </row>
    <row r="1515" spans="1:8">
      <c r="A1515" s="102">
        <v>38338</v>
      </c>
      <c r="B1515" s="102" t="str">
        <f>TEXT($A1515,"mmm")</f>
        <v>Dec</v>
      </c>
      <c r="C1515" s="103" t="s">
        <v>104</v>
      </c>
      <c r="D1515" s="103" t="s">
        <v>92</v>
      </c>
      <c r="E1515" s="103" t="s">
        <v>129</v>
      </c>
      <c r="F1515" s="103" t="s">
        <v>1557</v>
      </c>
      <c r="G1515" s="104">
        <v>758.69640000000004</v>
      </c>
      <c r="H1515" s="105">
        <v>1115.73</v>
      </c>
    </row>
    <row r="1516" spans="1:8">
      <c r="A1516" s="97">
        <v>38337</v>
      </c>
      <c r="B1516" s="97" t="str">
        <f>TEXT($A1516,"mmm")</f>
        <v>Dec</v>
      </c>
      <c r="C1516" s="99" t="s">
        <v>116</v>
      </c>
      <c r="D1516" s="99" t="s">
        <v>92</v>
      </c>
      <c r="E1516" s="99" t="s">
        <v>83</v>
      </c>
      <c r="F1516" s="99" t="s">
        <v>1193</v>
      </c>
      <c r="G1516" s="100">
        <v>7221.7023999999992</v>
      </c>
      <c r="H1516" s="101">
        <v>8206.48</v>
      </c>
    </row>
    <row r="1517" spans="1:8">
      <c r="A1517" s="102">
        <v>38337</v>
      </c>
      <c r="B1517" s="102" t="str">
        <f>TEXT($A1517,"mmm")</f>
        <v>Dec</v>
      </c>
      <c r="C1517" s="103" t="s">
        <v>116</v>
      </c>
      <c r="D1517" s="103" t="s">
        <v>127</v>
      </c>
      <c r="E1517" s="103" t="s">
        <v>129</v>
      </c>
      <c r="F1517" s="103" t="s">
        <v>1558</v>
      </c>
      <c r="G1517" s="104">
        <v>4145.5819000000001</v>
      </c>
      <c r="H1517" s="105">
        <v>7026.41</v>
      </c>
    </row>
    <row r="1518" spans="1:8">
      <c r="A1518" s="97">
        <v>38337</v>
      </c>
      <c r="B1518" s="97" t="str">
        <f>TEXT($A1518,"mmm")</f>
        <v>Dec</v>
      </c>
      <c r="C1518" s="99" t="s">
        <v>104</v>
      </c>
      <c r="D1518" s="99" t="s">
        <v>92</v>
      </c>
      <c r="E1518" s="99" t="s">
        <v>144</v>
      </c>
      <c r="F1518" s="99" t="s">
        <v>1559</v>
      </c>
      <c r="G1518" s="100">
        <v>2335.029</v>
      </c>
      <c r="H1518" s="101">
        <v>5430.3</v>
      </c>
    </row>
    <row r="1519" spans="1:8">
      <c r="A1519" s="102">
        <v>38337</v>
      </c>
      <c r="B1519" s="102" t="str">
        <f>TEXT($A1519,"mmm")</f>
        <v>Dec</v>
      </c>
      <c r="C1519" s="103" t="s">
        <v>79</v>
      </c>
      <c r="D1519" s="103" t="s">
        <v>87</v>
      </c>
      <c r="E1519" s="103" t="s">
        <v>89</v>
      </c>
      <c r="F1519" s="103" t="s">
        <v>1560</v>
      </c>
      <c r="G1519" s="104">
        <v>1232.2650000000001</v>
      </c>
      <c r="H1519" s="105">
        <v>1643.02</v>
      </c>
    </row>
    <row r="1520" spans="1:8">
      <c r="A1520" s="97">
        <v>38336</v>
      </c>
      <c r="B1520" s="97" t="str">
        <f>TEXT($A1520,"mmm")</f>
        <v>Dec</v>
      </c>
      <c r="C1520" s="99" t="s">
        <v>86</v>
      </c>
      <c r="D1520" s="99" t="s">
        <v>95</v>
      </c>
      <c r="E1520" s="99" t="s">
        <v>99</v>
      </c>
      <c r="F1520" s="99" t="s">
        <v>1561</v>
      </c>
      <c r="G1520" s="100">
        <v>6418.8778499999999</v>
      </c>
      <c r="H1520" s="101">
        <v>6865.11</v>
      </c>
    </row>
    <row r="1521" spans="1:8">
      <c r="A1521" s="102">
        <v>38336</v>
      </c>
      <c r="B1521" s="102" t="str">
        <f>TEXT($A1521,"mmm")</f>
        <v>Dec</v>
      </c>
      <c r="C1521" s="103" t="s">
        <v>79</v>
      </c>
      <c r="D1521" s="103" t="s">
        <v>101</v>
      </c>
      <c r="E1521" s="103" t="s">
        <v>144</v>
      </c>
      <c r="F1521" s="103" t="s">
        <v>1562</v>
      </c>
      <c r="G1521" s="104">
        <v>1838.2328</v>
      </c>
      <c r="H1521" s="105">
        <v>4274.96</v>
      </c>
    </row>
    <row r="1522" spans="1:8">
      <c r="A1522" s="97">
        <v>38336</v>
      </c>
      <c r="B1522" s="97" t="str">
        <f>TEXT($A1522,"mmm")</f>
        <v>Dec</v>
      </c>
      <c r="C1522" s="99" t="s">
        <v>86</v>
      </c>
      <c r="D1522" s="99" t="s">
        <v>87</v>
      </c>
      <c r="E1522" s="99" t="s">
        <v>83</v>
      </c>
      <c r="F1522" s="99" t="s">
        <v>1563</v>
      </c>
      <c r="G1522" s="100">
        <v>1378.5929000000001</v>
      </c>
      <c r="H1522" s="101">
        <v>3206.03</v>
      </c>
    </row>
    <row r="1523" spans="1:8">
      <c r="A1523" s="102">
        <v>38335</v>
      </c>
      <c r="B1523" s="102" t="str">
        <f>TEXT($A1523,"mmm")</f>
        <v>Dec</v>
      </c>
      <c r="C1523" s="103" t="s">
        <v>79</v>
      </c>
      <c r="D1523" s="103" t="s">
        <v>92</v>
      </c>
      <c r="E1523" s="103" t="s">
        <v>99</v>
      </c>
      <c r="F1523" s="103" t="s">
        <v>1564</v>
      </c>
      <c r="G1523" s="104">
        <v>6245.3716000000013</v>
      </c>
      <c r="H1523" s="105">
        <v>9184.3700000000008</v>
      </c>
    </row>
    <row r="1524" spans="1:8">
      <c r="A1524" s="97">
        <v>38335</v>
      </c>
      <c r="B1524" s="97" t="str">
        <f>TEXT($A1524,"mmm")</f>
        <v>Dec</v>
      </c>
      <c r="C1524" s="99" t="s">
        <v>107</v>
      </c>
      <c r="D1524" s="99" t="s">
        <v>87</v>
      </c>
      <c r="E1524" s="99" t="s">
        <v>122</v>
      </c>
      <c r="F1524" s="99" t="s">
        <v>1565</v>
      </c>
      <c r="G1524" s="100">
        <v>4676.4413999999997</v>
      </c>
      <c r="H1524" s="101">
        <v>8062.83</v>
      </c>
    </row>
    <row r="1525" spans="1:8">
      <c r="A1525" s="102">
        <v>38335</v>
      </c>
      <c r="B1525" s="102" t="str">
        <f>TEXT($A1525,"mmm")</f>
        <v>Dec</v>
      </c>
      <c r="C1525" s="103" t="s">
        <v>79</v>
      </c>
      <c r="D1525" s="103" t="s">
        <v>92</v>
      </c>
      <c r="E1525" s="103" t="s">
        <v>122</v>
      </c>
      <c r="F1525" s="103" t="s">
        <v>1566</v>
      </c>
      <c r="G1525" s="104">
        <v>5300.6646000000001</v>
      </c>
      <c r="H1525" s="105">
        <v>5669.16</v>
      </c>
    </row>
    <row r="1526" spans="1:8">
      <c r="A1526" s="97">
        <v>38335</v>
      </c>
      <c r="B1526" s="97" t="str">
        <f>TEXT($A1526,"mmm")</f>
        <v>Dec</v>
      </c>
      <c r="C1526" s="99" t="s">
        <v>86</v>
      </c>
      <c r="D1526" s="99" t="s">
        <v>127</v>
      </c>
      <c r="E1526" s="99" t="s">
        <v>96</v>
      </c>
      <c r="F1526" s="99" t="s">
        <v>1567</v>
      </c>
      <c r="G1526" s="100">
        <v>2230.9245000000001</v>
      </c>
      <c r="H1526" s="101">
        <v>4957.6099999999997</v>
      </c>
    </row>
    <row r="1527" spans="1:8">
      <c r="A1527" s="102">
        <v>38335</v>
      </c>
      <c r="B1527" s="102" t="str">
        <f>TEXT($A1527,"mmm")</f>
        <v>Dec</v>
      </c>
      <c r="C1527" s="103" t="s">
        <v>116</v>
      </c>
      <c r="D1527" s="103" t="s">
        <v>114</v>
      </c>
      <c r="E1527" s="103" t="s">
        <v>105</v>
      </c>
      <c r="F1527" s="103" t="s">
        <v>1568</v>
      </c>
      <c r="G1527" s="104">
        <v>2046.6315</v>
      </c>
      <c r="H1527" s="105">
        <v>4548.07</v>
      </c>
    </row>
    <row r="1528" spans="1:8">
      <c r="A1528" s="97">
        <v>38335</v>
      </c>
      <c r="B1528" s="97" t="str">
        <f>TEXT($A1528,"mmm")</f>
        <v>Dec</v>
      </c>
      <c r="C1528" s="99" t="s">
        <v>107</v>
      </c>
      <c r="D1528" s="99" t="s">
        <v>80</v>
      </c>
      <c r="E1528" s="99" t="s">
        <v>105</v>
      </c>
      <c r="F1528" s="99" t="s">
        <v>1569</v>
      </c>
      <c r="G1528" s="100">
        <v>699.70040000000006</v>
      </c>
      <c r="H1528" s="101">
        <v>1206.3800000000001</v>
      </c>
    </row>
    <row r="1529" spans="1:8">
      <c r="A1529" s="102">
        <v>38334</v>
      </c>
      <c r="B1529" s="102" t="str">
        <f>TEXT($A1529,"mmm")</f>
        <v>Dec</v>
      </c>
      <c r="C1529" s="103" t="s">
        <v>104</v>
      </c>
      <c r="D1529" s="103" t="s">
        <v>92</v>
      </c>
      <c r="E1529" s="103" t="s">
        <v>120</v>
      </c>
      <c r="F1529" s="103" t="s">
        <v>930</v>
      </c>
      <c r="G1529" s="104">
        <v>8046.4510500000006</v>
      </c>
      <c r="H1529" s="105">
        <v>8605.83</v>
      </c>
    </row>
    <row r="1530" spans="1:8">
      <c r="A1530" s="97">
        <v>38334</v>
      </c>
      <c r="B1530" s="97" t="str">
        <f>TEXT($A1530,"mmm")</f>
        <v>Dec</v>
      </c>
      <c r="C1530" s="99" t="s">
        <v>79</v>
      </c>
      <c r="D1530" s="99" t="s">
        <v>92</v>
      </c>
      <c r="E1530" s="99" t="s">
        <v>144</v>
      </c>
      <c r="F1530" s="99" t="s">
        <v>1570</v>
      </c>
      <c r="G1530" s="100">
        <v>3371.7255</v>
      </c>
      <c r="H1530" s="101">
        <v>6130.41</v>
      </c>
    </row>
    <row r="1531" spans="1:8">
      <c r="A1531" s="102">
        <v>38332</v>
      </c>
      <c r="B1531" s="102" t="str">
        <f>TEXT($A1531,"mmm")</f>
        <v>Dec</v>
      </c>
      <c r="C1531" s="103" t="s">
        <v>107</v>
      </c>
      <c r="D1531" s="103" t="s">
        <v>114</v>
      </c>
      <c r="E1531" s="103" t="s">
        <v>94</v>
      </c>
      <c r="F1531" s="103" t="s">
        <v>1571</v>
      </c>
      <c r="G1531" s="104">
        <v>3413.6274000000003</v>
      </c>
      <c r="H1531" s="105">
        <v>9226.02</v>
      </c>
    </row>
    <row r="1532" spans="1:8">
      <c r="A1532" s="97">
        <v>38332</v>
      </c>
      <c r="B1532" s="97" t="str">
        <f>TEXT($A1532,"mmm")</f>
        <v>Dec</v>
      </c>
      <c r="C1532" s="99" t="s">
        <v>86</v>
      </c>
      <c r="D1532" s="99" t="s">
        <v>114</v>
      </c>
      <c r="E1532" s="99" t="s">
        <v>105</v>
      </c>
      <c r="F1532" s="99" t="s">
        <v>1572</v>
      </c>
      <c r="G1532" s="100">
        <v>6585.66</v>
      </c>
      <c r="H1532" s="101">
        <v>8780.8799999999992</v>
      </c>
    </row>
    <row r="1533" spans="1:8">
      <c r="A1533" s="102">
        <v>38332</v>
      </c>
      <c r="B1533" s="102" t="str">
        <f>TEXT($A1533,"mmm")</f>
        <v>Dec</v>
      </c>
      <c r="C1533" s="103" t="s">
        <v>79</v>
      </c>
      <c r="D1533" s="103" t="s">
        <v>127</v>
      </c>
      <c r="E1533" s="103" t="s">
        <v>120</v>
      </c>
      <c r="F1533" s="103" t="s">
        <v>1573</v>
      </c>
      <c r="G1533" s="104">
        <v>4424.6163500000002</v>
      </c>
      <c r="H1533" s="105">
        <v>4732.21</v>
      </c>
    </row>
    <row r="1534" spans="1:8">
      <c r="A1534" s="97">
        <v>38331</v>
      </c>
      <c r="B1534" s="97" t="str">
        <f>TEXT($A1534,"mmm")</f>
        <v>Dec</v>
      </c>
      <c r="C1534" s="99" t="s">
        <v>104</v>
      </c>
      <c r="D1534" s="99" t="s">
        <v>127</v>
      </c>
      <c r="E1534" s="99" t="s">
        <v>94</v>
      </c>
      <c r="F1534" s="99" t="s">
        <v>1574</v>
      </c>
      <c r="G1534" s="100">
        <v>3043.75225</v>
      </c>
      <c r="H1534" s="101">
        <v>3255.35</v>
      </c>
    </row>
    <row r="1535" spans="1:8">
      <c r="A1535" s="102">
        <v>38330</v>
      </c>
      <c r="B1535" s="102" t="str">
        <f>TEXT($A1535,"mmm")</f>
        <v>Dec</v>
      </c>
      <c r="C1535" s="103" t="s">
        <v>116</v>
      </c>
      <c r="D1535" s="103" t="s">
        <v>101</v>
      </c>
      <c r="E1535" s="103" t="s">
        <v>158</v>
      </c>
      <c r="F1535" s="103" t="s">
        <v>1575</v>
      </c>
      <c r="G1535" s="104">
        <v>6029.9849999999997</v>
      </c>
      <c r="H1535" s="105">
        <v>8039.98</v>
      </c>
    </row>
    <row r="1536" spans="1:8">
      <c r="A1536" s="97">
        <v>38330</v>
      </c>
      <c r="B1536" s="97" t="str">
        <f>TEXT($A1536,"mmm")</f>
        <v>Dec</v>
      </c>
      <c r="C1536" s="99" t="s">
        <v>116</v>
      </c>
      <c r="D1536" s="99" t="s">
        <v>92</v>
      </c>
      <c r="E1536" s="99" t="s">
        <v>81</v>
      </c>
      <c r="F1536" s="99" t="s">
        <v>1576</v>
      </c>
      <c r="G1536" s="100">
        <v>2607.7049000000002</v>
      </c>
      <c r="H1536" s="101">
        <v>6064.43</v>
      </c>
    </row>
    <row r="1537" spans="1:8">
      <c r="A1537" s="102">
        <v>38330</v>
      </c>
      <c r="B1537" s="102" t="str">
        <f>TEXT($A1537,"mmm")</f>
        <v>Dec</v>
      </c>
      <c r="C1537" s="103" t="s">
        <v>86</v>
      </c>
      <c r="D1537" s="103" t="s">
        <v>114</v>
      </c>
      <c r="E1537" s="103" t="s">
        <v>94</v>
      </c>
      <c r="F1537" s="103" t="s">
        <v>1577</v>
      </c>
      <c r="G1537" s="104">
        <v>2935.0364</v>
      </c>
      <c r="H1537" s="105">
        <v>4316.2299999999996</v>
      </c>
    </row>
    <row r="1538" spans="1:8">
      <c r="A1538" s="97">
        <v>38330</v>
      </c>
      <c r="B1538" s="97" t="str">
        <f>TEXT($A1538,"mmm")</f>
        <v>Dec</v>
      </c>
      <c r="C1538" s="99" t="s">
        <v>79</v>
      </c>
      <c r="D1538" s="99" t="s">
        <v>98</v>
      </c>
      <c r="E1538" s="99" t="s">
        <v>158</v>
      </c>
      <c r="F1538" s="99" t="s">
        <v>1578</v>
      </c>
      <c r="G1538" s="100">
        <v>1918.1961999999999</v>
      </c>
      <c r="H1538" s="101">
        <v>3251.18</v>
      </c>
    </row>
    <row r="1539" spans="1:8">
      <c r="A1539" s="102">
        <v>38330</v>
      </c>
      <c r="B1539" s="102" t="str">
        <f>TEXT($A1539,"mmm")</f>
        <v>Dec</v>
      </c>
      <c r="C1539" s="103" t="s">
        <v>104</v>
      </c>
      <c r="D1539" s="103" t="s">
        <v>92</v>
      </c>
      <c r="E1539" s="103" t="s">
        <v>93</v>
      </c>
      <c r="F1539" s="103" t="s">
        <v>1579</v>
      </c>
      <c r="G1539" s="104">
        <v>627.28200000000004</v>
      </c>
      <c r="H1539" s="105">
        <v>1393.96</v>
      </c>
    </row>
    <row r="1540" spans="1:8">
      <c r="A1540" s="97">
        <v>38329</v>
      </c>
      <c r="B1540" s="97" t="str">
        <f>TEXT($A1540,"mmm")</f>
        <v>Dec</v>
      </c>
      <c r="C1540" s="99" t="s">
        <v>107</v>
      </c>
      <c r="D1540" s="99" t="s">
        <v>87</v>
      </c>
      <c r="E1540" s="99" t="s">
        <v>108</v>
      </c>
      <c r="F1540" s="99" t="s">
        <v>1580</v>
      </c>
      <c r="G1540" s="100">
        <v>5488.9764999999998</v>
      </c>
      <c r="H1540" s="101">
        <v>9303.35</v>
      </c>
    </row>
    <row r="1541" spans="1:8">
      <c r="A1541" s="102">
        <v>38329</v>
      </c>
      <c r="B1541" s="102" t="str">
        <f>TEXT($A1541,"mmm")</f>
        <v>Dec</v>
      </c>
      <c r="C1541" s="103" t="s">
        <v>104</v>
      </c>
      <c r="D1541" s="103" t="s">
        <v>95</v>
      </c>
      <c r="E1541" s="103" t="s">
        <v>96</v>
      </c>
      <c r="F1541" s="103" t="s">
        <v>1581</v>
      </c>
      <c r="G1541" s="104">
        <v>975.5483999999999</v>
      </c>
      <c r="H1541" s="105">
        <v>1681.98</v>
      </c>
    </row>
    <row r="1542" spans="1:8">
      <c r="A1542" s="97">
        <v>38328</v>
      </c>
      <c r="B1542" s="97" t="str">
        <f>TEXT($A1542,"mmm")</f>
        <v>Dec</v>
      </c>
      <c r="C1542" s="99" t="s">
        <v>116</v>
      </c>
      <c r="D1542" s="99" t="s">
        <v>101</v>
      </c>
      <c r="E1542" s="99" t="s">
        <v>144</v>
      </c>
      <c r="F1542" s="99" t="s">
        <v>1582</v>
      </c>
      <c r="G1542" s="100">
        <v>3649.0770000000002</v>
      </c>
      <c r="H1542" s="101">
        <v>8109.06</v>
      </c>
    </row>
    <row r="1543" spans="1:8">
      <c r="A1543" s="102">
        <v>38328</v>
      </c>
      <c r="B1543" s="102" t="str">
        <f>TEXT($A1543,"mmm")</f>
        <v>Dec</v>
      </c>
      <c r="C1543" s="103" t="s">
        <v>104</v>
      </c>
      <c r="D1543" s="103" t="s">
        <v>92</v>
      </c>
      <c r="E1543" s="103" t="s">
        <v>108</v>
      </c>
      <c r="F1543" s="103" t="s">
        <v>1583</v>
      </c>
      <c r="G1543" s="104">
        <v>3845.5505000000003</v>
      </c>
      <c r="H1543" s="105">
        <v>6991.91</v>
      </c>
    </row>
    <row r="1544" spans="1:8">
      <c r="A1544" s="97">
        <v>38328</v>
      </c>
      <c r="B1544" s="97" t="str">
        <f>TEXT($A1544,"mmm")</f>
        <v>Dec</v>
      </c>
      <c r="C1544" s="99" t="s">
        <v>79</v>
      </c>
      <c r="D1544" s="99" t="s">
        <v>101</v>
      </c>
      <c r="E1544" s="99" t="s">
        <v>96</v>
      </c>
      <c r="F1544" s="99" t="s">
        <v>1584</v>
      </c>
      <c r="G1544" s="100">
        <v>2845.9004</v>
      </c>
      <c r="H1544" s="101">
        <v>4823.5600000000004</v>
      </c>
    </row>
    <row r="1545" spans="1:8">
      <c r="A1545" s="102">
        <v>38328</v>
      </c>
      <c r="B1545" s="102" t="str">
        <f>TEXT($A1545,"mmm")</f>
        <v>Dec</v>
      </c>
      <c r="C1545" s="103" t="s">
        <v>79</v>
      </c>
      <c r="D1545" s="103" t="s">
        <v>87</v>
      </c>
      <c r="E1545" s="103" t="s">
        <v>158</v>
      </c>
      <c r="F1545" s="103" t="s">
        <v>1585</v>
      </c>
      <c r="G1545" s="104">
        <v>4485.4381000000003</v>
      </c>
      <c r="H1545" s="105">
        <v>4797.26</v>
      </c>
    </row>
    <row r="1546" spans="1:8">
      <c r="A1546" s="97">
        <v>38328</v>
      </c>
      <c r="B1546" s="97" t="str">
        <f>TEXT($A1546,"mmm")</f>
        <v>Dec</v>
      </c>
      <c r="C1546" s="99" t="s">
        <v>107</v>
      </c>
      <c r="D1546" s="99" t="s">
        <v>127</v>
      </c>
      <c r="E1546" s="99" t="s">
        <v>81</v>
      </c>
      <c r="F1546" s="99" t="s">
        <v>564</v>
      </c>
      <c r="G1546" s="100">
        <v>2540.1992</v>
      </c>
      <c r="H1546" s="101">
        <v>2886.59</v>
      </c>
    </row>
    <row r="1547" spans="1:8">
      <c r="A1547" s="102">
        <v>38327</v>
      </c>
      <c r="B1547" s="102" t="str">
        <f>TEXT($A1547,"mmm")</f>
        <v>Dec</v>
      </c>
      <c r="C1547" s="103" t="s">
        <v>104</v>
      </c>
      <c r="D1547" s="103" t="s">
        <v>95</v>
      </c>
      <c r="E1547" s="103" t="s">
        <v>108</v>
      </c>
      <c r="F1547" s="103" t="s">
        <v>1586</v>
      </c>
      <c r="G1547" s="104">
        <v>2226.9456</v>
      </c>
      <c r="H1547" s="105">
        <v>2530.62</v>
      </c>
    </row>
    <row r="1548" spans="1:8">
      <c r="A1548" s="97">
        <v>38327</v>
      </c>
      <c r="B1548" s="97" t="str">
        <f>TEXT($A1548,"mmm")</f>
        <v>Dec</v>
      </c>
      <c r="C1548" s="99" t="s">
        <v>107</v>
      </c>
      <c r="D1548" s="99" t="s">
        <v>92</v>
      </c>
      <c r="E1548" s="99" t="s">
        <v>94</v>
      </c>
      <c r="F1548" s="99" t="s">
        <v>1581</v>
      </c>
      <c r="G1548" s="100">
        <v>54.287500000000001</v>
      </c>
      <c r="H1548" s="101">
        <v>126.25</v>
      </c>
    </row>
    <row r="1549" spans="1:8">
      <c r="A1549" s="102">
        <v>38327</v>
      </c>
      <c r="B1549" s="102" t="str">
        <f>TEXT($A1549,"mmm")</f>
        <v>Dec</v>
      </c>
      <c r="C1549" s="103" t="s">
        <v>79</v>
      </c>
      <c r="D1549" s="103" t="s">
        <v>127</v>
      </c>
      <c r="E1549" s="103" t="s">
        <v>93</v>
      </c>
      <c r="F1549" s="103" t="s">
        <v>1587</v>
      </c>
      <c r="G1549" s="104">
        <v>31.749200000000002</v>
      </c>
      <c r="H1549" s="105">
        <v>46.69</v>
      </c>
    </row>
    <row r="1550" spans="1:8">
      <c r="A1550" s="97">
        <v>38326</v>
      </c>
      <c r="B1550" s="97" t="str">
        <f>TEXT($A1550,"mmm")</f>
        <v>Dec</v>
      </c>
      <c r="C1550" s="99" t="s">
        <v>104</v>
      </c>
      <c r="D1550" s="99" t="s">
        <v>87</v>
      </c>
      <c r="E1550" s="99" t="s">
        <v>129</v>
      </c>
      <c r="F1550" s="99" t="s">
        <v>1588</v>
      </c>
      <c r="G1550" s="100">
        <v>2640.1320000000001</v>
      </c>
      <c r="H1550" s="101">
        <v>4800.24</v>
      </c>
    </row>
    <row r="1551" spans="1:8">
      <c r="A1551" s="102">
        <v>38326</v>
      </c>
      <c r="B1551" s="102" t="str">
        <f>TEXT($A1551,"mmm")</f>
        <v>Dec</v>
      </c>
      <c r="C1551" s="103" t="s">
        <v>79</v>
      </c>
      <c r="D1551" s="103" t="s">
        <v>127</v>
      </c>
      <c r="E1551" s="103" t="s">
        <v>108</v>
      </c>
      <c r="F1551" s="103" t="s">
        <v>1589</v>
      </c>
      <c r="G1551" s="104">
        <v>2498.9850000000001</v>
      </c>
      <c r="H1551" s="105">
        <v>3331.98</v>
      </c>
    </row>
    <row r="1552" spans="1:8">
      <c r="A1552" s="97">
        <v>38326</v>
      </c>
      <c r="B1552" s="97" t="str">
        <f>TEXT($A1552,"mmm")</f>
        <v>Dec</v>
      </c>
      <c r="C1552" s="99" t="s">
        <v>116</v>
      </c>
      <c r="D1552" s="99" t="s">
        <v>98</v>
      </c>
      <c r="E1552" s="99" t="s">
        <v>105</v>
      </c>
      <c r="F1552" s="99" t="s">
        <v>1590</v>
      </c>
      <c r="G1552" s="100">
        <v>505.125</v>
      </c>
      <c r="H1552" s="101">
        <v>673.5</v>
      </c>
    </row>
    <row r="1553" spans="1:8">
      <c r="A1553" s="102">
        <v>38325</v>
      </c>
      <c r="B1553" s="102" t="str">
        <f>TEXT($A1553,"mmm")</f>
        <v>Dec</v>
      </c>
      <c r="C1553" s="103" t="s">
        <v>86</v>
      </c>
      <c r="D1553" s="103" t="s">
        <v>80</v>
      </c>
      <c r="E1553" s="103" t="s">
        <v>105</v>
      </c>
      <c r="F1553" s="103" t="s">
        <v>1591</v>
      </c>
      <c r="G1553" s="104">
        <v>3906.9855000000002</v>
      </c>
      <c r="H1553" s="105">
        <v>8682.19</v>
      </c>
    </row>
    <row r="1554" spans="1:8">
      <c r="A1554" s="97">
        <v>38325</v>
      </c>
      <c r="B1554" s="97" t="str">
        <f>TEXT($A1554,"mmm")</f>
        <v>Dec</v>
      </c>
      <c r="C1554" s="99" t="s">
        <v>86</v>
      </c>
      <c r="D1554" s="99" t="s">
        <v>127</v>
      </c>
      <c r="E1554" s="99" t="s">
        <v>129</v>
      </c>
      <c r="F1554" s="99" t="s">
        <v>634</v>
      </c>
      <c r="G1554" s="100">
        <v>4262.5165000000006</v>
      </c>
      <c r="H1554" s="101">
        <v>7750.03</v>
      </c>
    </row>
    <row r="1555" spans="1:8">
      <c r="A1555" s="102">
        <v>38325</v>
      </c>
      <c r="B1555" s="102" t="str">
        <f>TEXT($A1555,"mmm")</f>
        <v>Dec</v>
      </c>
      <c r="C1555" s="103" t="s">
        <v>107</v>
      </c>
      <c r="D1555" s="103" t="s">
        <v>87</v>
      </c>
      <c r="E1555" s="103" t="s">
        <v>120</v>
      </c>
      <c r="F1555" s="103" t="s">
        <v>1592</v>
      </c>
      <c r="G1555" s="104">
        <v>2970.6956000000005</v>
      </c>
      <c r="H1555" s="105">
        <v>4368.67</v>
      </c>
    </row>
    <row r="1556" spans="1:8">
      <c r="A1556" s="97">
        <v>38325</v>
      </c>
      <c r="B1556" s="97" t="str">
        <f>TEXT($A1556,"mmm")</f>
        <v>Dec</v>
      </c>
      <c r="C1556" s="99" t="s">
        <v>107</v>
      </c>
      <c r="D1556" s="99" t="s">
        <v>98</v>
      </c>
      <c r="E1556" s="99" t="s">
        <v>144</v>
      </c>
      <c r="F1556" s="99" t="s">
        <v>356</v>
      </c>
      <c r="G1556" s="100">
        <v>1980.135</v>
      </c>
      <c r="H1556" s="101">
        <v>2640.18</v>
      </c>
    </row>
    <row r="1557" spans="1:8">
      <c r="A1557" s="102">
        <v>38324</v>
      </c>
      <c r="B1557" s="102" t="str">
        <f>TEXT($A1557,"mmm")</f>
        <v>Dec</v>
      </c>
      <c r="C1557" s="103" t="s">
        <v>104</v>
      </c>
      <c r="D1557" s="103" t="s">
        <v>95</v>
      </c>
      <c r="E1557" s="103" t="s">
        <v>93</v>
      </c>
      <c r="F1557" s="103" t="s">
        <v>1593</v>
      </c>
      <c r="G1557" s="104">
        <v>1514.9516000000001</v>
      </c>
      <c r="H1557" s="105">
        <v>2227.87</v>
      </c>
    </row>
    <row r="1558" spans="1:8">
      <c r="A1558" s="97">
        <v>38323</v>
      </c>
      <c r="B1558" s="97" t="str">
        <f>TEXT($A1558,"mmm")</f>
        <v>Dec</v>
      </c>
      <c r="C1558" s="99" t="s">
        <v>104</v>
      </c>
      <c r="D1558" s="99" t="s">
        <v>80</v>
      </c>
      <c r="E1558" s="99" t="s">
        <v>99</v>
      </c>
      <c r="F1558" s="99" t="s">
        <v>1594</v>
      </c>
      <c r="G1558" s="100">
        <v>6835.9719999999998</v>
      </c>
      <c r="H1558" s="101">
        <v>7768.15</v>
      </c>
    </row>
    <row r="1559" spans="1:8">
      <c r="A1559" s="102">
        <v>38323</v>
      </c>
      <c r="B1559" s="102" t="str">
        <f>TEXT($A1559,"mmm")</f>
        <v>Dec</v>
      </c>
      <c r="C1559" s="103" t="s">
        <v>116</v>
      </c>
      <c r="D1559" s="103" t="s">
        <v>95</v>
      </c>
      <c r="E1559" s="103" t="s">
        <v>158</v>
      </c>
      <c r="F1559" s="103" t="s">
        <v>1595</v>
      </c>
      <c r="G1559" s="104">
        <v>2965.0391999999997</v>
      </c>
      <c r="H1559" s="105">
        <v>6895.44</v>
      </c>
    </row>
    <row r="1560" spans="1:8">
      <c r="A1560" s="97">
        <v>38322</v>
      </c>
      <c r="B1560" s="97" t="str">
        <f>TEXT($A1560,"mmm")</f>
        <v>Dec</v>
      </c>
      <c r="C1560" s="99" t="s">
        <v>107</v>
      </c>
      <c r="D1560" s="99" t="s">
        <v>92</v>
      </c>
      <c r="E1560" s="99" t="s">
        <v>93</v>
      </c>
      <c r="F1560" s="99" t="s">
        <v>1596</v>
      </c>
      <c r="G1560" s="100">
        <v>7115.3280000000004</v>
      </c>
      <c r="H1560" s="101">
        <v>8085.6</v>
      </c>
    </row>
    <row r="1561" spans="1:8">
      <c r="A1561" s="102">
        <v>38322</v>
      </c>
      <c r="B1561" s="102" t="str">
        <f>TEXT($A1561,"mmm")</f>
        <v>Dec</v>
      </c>
      <c r="C1561" s="103" t="s">
        <v>107</v>
      </c>
      <c r="D1561" s="103" t="s">
        <v>101</v>
      </c>
      <c r="E1561" s="103" t="s">
        <v>94</v>
      </c>
      <c r="F1561" s="103" t="s">
        <v>1597</v>
      </c>
      <c r="G1561" s="104">
        <v>730.53800000000001</v>
      </c>
      <c r="H1561" s="105">
        <v>1238.2</v>
      </c>
    </row>
    <row r="1562" spans="1:8">
      <c r="A1562" s="97">
        <v>38321</v>
      </c>
      <c r="B1562" s="97" t="str">
        <f>TEXT($A1562,"mmm")</f>
        <v>Nov</v>
      </c>
      <c r="C1562" s="99" t="s">
        <v>104</v>
      </c>
      <c r="D1562" s="99" t="s">
        <v>95</v>
      </c>
      <c r="E1562" s="99" t="s">
        <v>108</v>
      </c>
      <c r="F1562" s="99" t="s">
        <v>1598</v>
      </c>
      <c r="G1562" s="100">
        <v>4760.7907999999998</v>
      </c>
      <c r="H1562" s="101">
        <v>8208.26</v>
      </c>
    </row>
    <row r="1563" spans="1:8">
      <c r="A1563" s="102">
        <v>38321</v>
      </c>
      <c r="B1563" s="102" t="str">
        <f>TEXT($A1563,"mmm")</f>
        <v>Nov</v>
      </c>
      <c r="C1563" s="103" t="s">
        <v>104</v>
      </c>
      <c r="D1563" s="103" t="s">
        <v>92</v>
      </c>
      <c r="E1563" s="103" t="s">
        <v>108</v>
      </c>
      <c r="F1563" s="103" t="s">
        <v>1599</v>
      </c>
      <c r="G1563" s="104">
        <v>6286.9751999999999</v>
      </c>
      <c r="H1563" s="105">
        <v>7144.29</v>
      </c>
    </row>
    <row r="1564" spans="1:8">
      <c r="A1564" s="97">
        <v>38321</v>
      </c>
      <c r="B1564" s="97" t="str">
        <f>TEXT($A1564,"mmm")</f>
        <v>Nov</v>
      </c>
      <c r="C1564" s="99" t="s">
        <v>79</v>
      </c>
      <c r="D1564" s="99" t="s">
        <v>101</v>
      </c>
      <c r="E1564" s="99" t="s">
        <v>129</v>
      </c>
      <c r="F1564" s="99" t="s">
        <v>1600</v>
      </c>
      <c r="G1564" s="100">
        <v>6499.4374500000004</v>
      </c>
      <c r="H1564" s="101">
        <v>6951.27</v>
      </c>
    </row>
    <row r="1565" spans="1:8">
      <c r="A1565" s="102">
        <v>38320</v>
      </c>
      <c r="B1565" s="102" t="str">
        <f>TEXT($A1565,"mmm")</f>
        <v>Nov</v>
      </c>
      <c r="C1565" s="103" t="s">
        <v>107</v>
      </c>
      <c r="D1565" s="103" t="s">
        <v>101</v>
      </c>
      <c r="E1565" s="103" t="s">
        <v>105</v>
      </c>
      <c r="F1565" s="103" t="s">
        <v>1601</v>
      </c>
      <c r="G1565" s="104">
        <v>4756.4436000000005</v>
      </c>
      <c r="H1565" s="105">
        <v>6994.77</v>
      </c>
    </row>
    <row r="1566" spans="1:8">
      <c r="A1566" s="97">
        <v>38320</v>
      </c>
      <c r="B1566" s="97" t="str">
        <f>TEXT($A1566,"mmm")</f>
        <v>Nov</v>
      </c>
      <c r="C1566" s="99" t="s">
        <v>116</v>
      </c>
      <c r="D1566" s="99" t="s">
        <v>92</v>
      </c>
      <c r="E1566" s="99" t="s">
        <v>94</v>
      </c>
      <c r="F1566" s="99" t="s">
        <v>920</v>
      </c>
      <c r="G1566" s="100">
        <v>2682.0261</v>
      </c>
      <c r="H1566" s="101">
        <v>6237.27</v>
      </c>
    </row>
    <row r="1567" spans="1:8">
      <c r="A1567" s="102">
        <v>38320</v>
      </c>
      <c r="B1567" s="102" t="str">
        <f>TEXT($A1567,"mmm")</f>
        <v>Nov</v>
      </c>
      <c r="C1567" s="103" t="s">
        <v>116</v>
      </c>
      <c r="D1567" s="103" t="s">
        <v>92</v>
      </c>
      <c r="E1567" s="103" t="s">
        <v>129</v>
      </c>
      <c r="F1567" s="103" t="s">
        <v>1602</v>
      </c>
      <c r="G1567" s="104">
        <v>2669.4</v>
      </c>
      <c r="H1567" s="105">
        <v>5932</v>
      </c>
    </row>
    <row r="1568" spans="1:8">
      <c r="A1568" s="97">
        <v>38320</v>
      </c>
      <c r="B1568" s="97" t="str">
        <f>TEXT($A1568,"mmm")</f>
        <v>Nov</v>
      </c>
      <c r="C1568" s="99" t="s">
        <v>79</v>
      </c>
      <c r="D1568" s="99" t="s">
        <v>98</v>
      </c>
      <c r="E1568" s="99" t="s">
        <v>94</v>
      </c>
      <c r="F1568" s="99" t="s">
        <v>1143</v>
      </c>
      <c r="G1568" s="100">
        <v>2962.6167999999998</v>
      </c>
      <c r="H1568" s="101">
        <v>5107.96</v>
      </c>
    </row>
    <row r="1569" spans="1:8">
      <c r="A1569" s="102">
        <v>38320</v>
      </c>
      <c r="B1569" s="102" t="str">
        <f>TEXT($A1569,"mmm")</f>
        <v>Nov</v>
      </c>
      <c r="C1569" s="103" t="s">
        <v>104</v>
      </c>
      <c r="D1569" s="103" t="s">
        <v>80</v>
      </c>
      <c r="E1569" s="103" t="s">
        <v>144</v>
      </c>
      <c r="F1569" s="103" t="s">
        <v>1603</v>
      </c>
      <c r="G1569" s="104">
        <v>2674.6056999999996</v>
      </c>
      <c r="H1569" s="105">
        <v>4533.2299999999996</v>
      </c>
    </row>
    <row r="1570" spans="1:8">
      <c r="A1570" s="97">
        <v>38319</v>
      </c>
      <c r="B1570" s="97" t="str">
        <f>TEXT($A1570,"mmm")</f>
        <v>Nov</v>
      </c>
      <c r="C1570" s="99" t="s">
        <v>116</v>
      </c>
      <c r="D1570" s="99" t="s">
        <v>95</v>
      </c>
      <c r="E1570" s="99" t="s">
        <v>83</v>
      </c>
      <c r="F1570" s="99" t="s">
        <v>1495</v>
      </c>
      <c r="G1570" s="100">
        <v>2143.98</v>
      </c>
      <c r="H1570" s="101">
        <v>4764.3999999999996</v>
      </c>
    </row>
    <row r="1571" spans="1:8">
      <c r="A1571" s="102">
        <v>38318</v>
      </c>
      <c r="B1571" s="102" t="str">
        <f>TEXT($A1571,"mmm")</f>
        <v>Nov</v>
      </c>
      <c r="C1571" s="103" t="s">
        <v>86</v>
      </c>
      <c r="D1571" s="103" t="s">
        <v>101</v>
      </c>
      <c r="E1571" s="103" t="s">
        <v>120</v>
      </c>
      <c r="F1571" s="103" t="s">
        <v>1604</v>
      </c>
      <c r="G1571" s="104">
        <v>2003.94</v>
      </c>
      <c r="H1571" s="105">
        <v>4453.2</v>
      </c>
    </row>
    <row r="1572" spans="1:8">
      <c r="A1572" s="97">
        <v>38318</v>
      </c>
      <c r="B1572" s="97" t="str">
        <f>TEXT($A1572,"mmm")</f>
        <v>Nov</v>
      </c>
      <c r="C1572" s="99" t="s">
        <v>79</v>
      </c>
      <c r="D1572" s="99" t="s">
        <v>87</v>
      </c>
      <c r="E1572" s="99" t="s">
        <v>96</v>
      </c>
      <c r="F1572" s="99" t="s">
        <v>1605</v>
      </c>
      <c r="G1572" s="100">
        <v>4085.2581000000005</v>
      </c>
      <c r="H1572" s="101">
        <v>4369.26</v>
      </c>
    </row>
    <row r="1573" spans="1:8">
      <c r="A1573" s="102">
        <v>38318</v>
      </c>
      <c r="B1573" s="102" t="str">
        <f>TEXT($A1573,"mmm")</f>
        <v>Nov</v>
      </c>
      <c r="C1573" s="103" t="s">
        <v>86</v>
      </c>
      <c r="D1573" s="103" t="s">
        <v>101</v>
      </c>
      <c r="E1573" s="103" t="s">
        <v>120</v>
      </c>
      <c r="F1573" s="103" t="s">
        <v>1606</v>
      </c>
      <c r="G1573" s="104">
        <v>2595.2701500000003</v>
      </c>
      <c r="H1573" s="105">
        <v>2775.69</v>
      </c>
    </row>
    <row r="1574" spans="1:8">
      <c r="A1574" s="97">
        <v>38317</v>
      </c>
      <c r="B1574" s="97" t="str">
        <f>TEXT($A1574,"mmm")</f>
        <v>Nov</v>
      </c>
      <c r="C1574" s="99" t="s">
        <v>79</v>
      </c>
      <c r="D1574" s="99" t="s">
        <v>101</v>
      </c>
      <c r="E1574" s="99" t="s">
        <v>122</v>
      </c>
      <c r="F1574" s="99" t="s">
        <v>1607</v>
      </c>
      <c r="G1574" s="100">
        <v>3950.3463999999999</v>
      </c>
      <c r="H1574" s="101">
        <v>4489.03</v>
      </c>
    </row>
    <row r="1575" spans="1:8">
      <c r="A1575" s="102">
        <v>38317</v>
      </c>
      <c r="B1575" s="102" t="str">
        <f>TEXT($A1575,"mmm")</f>
        <v>Nov</v>
      </c>
      <c r="C1575" s="103" t="s">
        <v>107</v>
      </c>
      <c r="D1575" s="103" t="s">
        <v>87</v>
      </c>
      <c r="E1575" s="103" t="s">
        <v>108</v>
      </c>
      <c r="F1575" s="103" t="s">
        <v>1268</v>
      </c>
      <c r="G1575" s="104">
        <v>3238.5688500000001</v>
      </c>
      <c r="H1575" s="105">
        <v>3463.71</v>
      </c>
    </row>
    <row r="1576" spans="1:8">
      <c r="A1576" s="97">
        <v>38316</v>
      </c>
      <c r="B1576" s="97" t="str">
        <f>TEXT($A1576,"mmm")</f>
        <v>Nov</v>
      </c>
      <c r="C1576" s="99" t="s">
        <v>79</v>
      </c>
      <c r="D1576" s="99" t="s">
        <v>92</v>
      </c>
      <c r="E1576" s="99" t="s">
        <v>99</v>
      </c>
      <c r="F1576" s="99" t="s">
        <v>1608</v>
      </c>
      <c r="G1576" s="100">
        <v>3066.8078999999998</v>
      </c>
      <c r="H1576" s="101">
        <v>8288.67</v>
      </c>
    </row>
    <row r="1577" spans="1:8">
      <c r="A1577" s="102">
        <v>38316</v>
      </c>
      <c r="B1577" s="102" t="str">
        <f>TEXT($A1577,"mmm")</f>
        <v>Nov</v>
      </c>
      <c r="C1577" s="103" t="s">
        <v>86</v>
      </c>
      <c r="D1577" s="103" t="s">
        <v>87</v>
      </c>
      <c r="E1577" s="103" t="s">
        <v>96</v>
      </c>
      <c r="F1577" s="103" t="s">
        <v>1609</v>
      </c>
      <c r="G1577" s="104">
        <v>1332.1132</v>
      </c>
      <c r="H1577" s="105">
        <v>1958.99</v>
      </c>
    </row>
    <row r="1578" spans="1:8">
      <c r="A1578" s="97">
        <v>38315</v>
      </c>
      <c r="B1578" s="97" t="str">
        <f>TEXT($A1578,"mmm")</f>
        <v>Nov</v>
      </c>
      <c r="C1578" s="99" t="s">
        <v>79</v>
      </c>
      <c r="D1578" s="99" t="s">
        <v>98</v>
      </c>
      <c r="E1578" s="99" t="s">
        <v>83</v>
      </c>
      <c r="F1578" s="99" t="s">
        <v>1610</v>
      </c>
      <c r="G1578" s="100">
        <v>3068.3971999999999</v>
      </c>
      <c r="H1578" s="101">
        <v>5290.34</v>
      </c>
    </row>
    <row r="1579" spans="1:8">
      <c r="A1579" s="102">
        <v>38315</v>
      </c>
      <c r="B1579" s="102" t="str">
        <f>TEXT($A1579,"mmm")</f>
        <v>Nov</v>
      </c>
      <c r="C1579" s="103" t="s">
        <v>79</v>
      </c>
      <c r="D1579" s="103" t="s">
        <v>98</v>
      </c>
      <c r="E1579" s="103" t="s">
        <v>99</v>
      </c>
      <c r="F1579" s="103" t="s">
        <v>1611</v>
      </c>
      <c r="G1579" s="104">
        <v>2266.0715000000005</v>
      </c>
      <c r="H1579" s="105">
        <v>4120.13</v>
      </c>
    </row>
    <row r="1580" spans="1:8">
      <c r="A1580" s="97">
        <v>38315</v>
      </c>
      <c r="B1580" s="97" t="str">
        <f>TEXT($A1580,"mmm")</f>
        <v>Nov</v>
      </c>
      <c r="C1580" s="99" t="s">
        <v>79</v>
      </c>
      <c r="D1580" s="99" t="s">
        <v>95</v>
      </c>
      <c r="E1580" s="99" t="s">
        <v>105</v>
      </c>
      <c r="F1580" s="99" t="s">
        <v>1612</v>
      </c>
      <c r="G1580" s="100">
        <v>2308.6609999999996</v>
      </c>
      <c r="H1580" s="101">
        <v>3980.45</v>
      </c>
    </row>
    <row r="1581" spans="1:8">
      <c r="A1581" s="102">
        <v>38314</v>
      </c>
      <c r="B1581" s="102" t="str">
        <f>TEXT($A1581,"mmm")</f>
        <v>Nov</v>
      </c>
      <c r="C1581" s="103" t="s">
        <v>107</v>
      </c>
      <c r="D1581" s="103" t="s">
        <v>92</v>
      </c>
      <c r="E1581" s="103" t="s">
        <v>96</v>
      </c>
      <c r="F1581" s="103" t="s">
        <v>1613</v>
      </c>
      <c r="G1581" s="104">
        <v>4699.1120000000001</v>
      </c>
      <c r="H1581" s="105">
        <v>5339.9</v>
      </c>
    </row>
    <row r="1582" spans="1:8">
      <c r="A1582" s="97">
        <v>38314</v>
      </c>
      <c r="B1582" s="97" t="str">
        <f>TEXT($A1582,"mmm")</f>
        <v>Nov</v>
      </c>
      <c r="C1582" s="99" t="s">
        <v>107</v>
      </c>
      <c r="D1582" s="99" t="s">
        <v>95</v>
      </c>
      <c r="E1582" s="99" t="s">
        <v>83</v>
      </c>
      <c r="F1582" s="99" t="s">
        <v>1614</v>
      </c>
      <c r="G1582" s="100">
        <v>682.20900000000006</v>
      </c>
      <c r="H1582" s="101">
        <v>1240.3800000000001</v>
      </c>
    </row>
    <row r="1583" spans="1:8">
      <c r="A1583" s="102">
        <v>38313</v>
      </c>
      <c r="B1583" s="102" t="str">
        <f>TEXT($A1583,"mmm")</f>
        <v>Nov</v>
      </c>
      <c r="C1583" s="103" t="s">
        <v>79</v>
      </c>
      <c r="D1583" s="103" t="s">
        <v>127</v>
      </c>
      <c r="E1583" s="103" t="s">
        <v>144</v>
      </c>
      <c r="F1583" s="103" t="s">
        <v>1615</v>
      </c>
      <c r="G1583" s="104">
        <v>7012.7711500000005</v>
      </c>
      <c r="H1583" s="105">
        <v>7500.29</v>
      </c>
    </row>
    <row r="1584" spans="1:8">
      <c r="A1584" s="97">
        <v>38313</v>
      </c>
      <c r="B1584" s="97" t="str">
        <f>TEXT($A1584,"mmm")</f>
        <v>Nov</v>
      </c>
      <c r="C1584" s="99" t="s">
        <v>104</v>
      </c>
      <c r="D1584" s="99" t="s">
        <v>127</v>
      </c>
      <c r="E1584" s="99" t="s">
        <v>144</v>
      </c>
      <c r="F1584" s="99" t="s">
        <v>1616</v>
      </c>
      <c r="G1584" s="100">
        <v>4711.2295999999997</v>
      </c>
      <c r="H1584" s="101">
        <v>5353.67</v>
      </c>
    </row>
    <row r="1585" spans="1:8">
      <c r="A1585" s="102">
        <v>38312</v>
      </c>
      <c r="B1585" s="102" t="str">
        <f>TEXT($A1585,"mmm")</f>
        <v>Nov</v>
      </c>
      <c r="C1585" s="103" t="s">
        <v>107</v>
      </c>
      <c r="D1585" s="103" t="s">
        <v>127</v>
      </c>
      <c r="E1585" s="103" t="s">
        <v>105</v>
      </c>
      <c r="F1585" s="103" t="s">
        <v>1617</v>
      </c>
      <c r="G1585" s="104">
        <v>5029.8975</v>
      </c>
      <c r="H1585" s="105">
        <v>8525.25</v>
      </c>
    </row>
    <row r="1586" spans="1:8">
      <c r="A1586" s="97">
        <v>38312</v>
      </c>
      <c r="B1586" s="97" t="str">
        <f>TEXT($A1586,"mmm")</f>
        <v>Nov</v>
      </c>
      <c r="C1586" s="99" t="s">
        <v>86</v>
      </c>
      <c r="D1586" s="99" t="s">
        <v>114</v>
      </c>
      <c r="E1586" s="99" t="s">
        <v>96</v>
      </c>
      <c r="F1586" s="99" t="s">
        <v>529</v>
      </c>
      <c r="G1586" s="100">
        <v>7479.7888000000003</v>
      </c>
      <c r="H1586" s="101">
        <v>8499.76</v>
      </c>
    </row>
    <row r="1587" spans="1:8">
      <c r="A1587" s="102">
        <v>38312</v>
      </c>
      <c r="B1587" s="102" t="str">
        <f>TEXT($A1587,"mmm")</f>
        <v>Nov</v>
      </c>
      <c r="C1587" s="103" t="s">
        <v>79</v>
      </c>
      <c r="D1587" s="103" t="s">
        <v>101</v>
      </c>
      <c r="E1587" s="103" t="s">
        <v>120</v>
      </c>
      <c r="F1587" s="103" t="s">
        <v>1618</v>
      </c>
      <c r="G1587" s="104">
        <v>2500.83</v>
      </c>
      <c r="H1587" s="105">
        <v>6759</v>
      </c>
    </row>
    <row r="1588" spans="1:8">
      <c r="A1588" s="97">
        <v>38312</v>
      </c>
      <c r="B1588" s="97" t="str">
        <f>TEXT($A1588,"mmm")</f>
        <v>Nov</v>
      </c>
      <c r="C1588" s="99" t="s">
        <v>79</v>
      </c>
      <c r="D1588" s="99" t="s">
        <v>92</v>
      </c>
      <c r="E1588" s="99" t="s">
        <v>105</v>
      </c>
      <c r="F1588" s="99" t="s">
        <v>1619</v>
      </c>
      <c r="G1588" s="100">
        <v>3386.79</v>
      </c>
      <c r="H1588" s="101">
        <v>6157.8</v>
      </c>
    </row>
    <row r="1589" spans="1:8">
      <c r="A1589" s="102">
        <v>38310</v>
      </c>
      <c r="B1589" s="102" t="str">
        <f>TEXT($A1589,"mmm")</f>
        <v>Nov</v>
      </c>
      <c r="C1589" s="103" t="s">
        <v>107</v>
      </c>
      <c r="D1589" s="103" t="s">
        <v>80</v>
      </c>
      <c r="E1589" s="103" t="s">
        <v>94</v>
      </c>
      <c r="F1589" s="103" t="s">
        <v>1121</v>
      </c>
      <c r="G1589" s="104">
        <v>4198.0210999999999</v>
      </c>
      <c r="H1589" s="105">
        <v>7115.29</v>
      </c>
    </row>
    <row r="1590" spans="1:8">
      <c r="A1590" s="97">
        <v>38310</v>
      </c>
      <c r="B1590" s="97" t="str">
        <f>TEXT($A1590,"mmm")</f>
        <v>Nov</v>
      </c>
      <c r="C1590" s="99" t="s">
        <v>79</v>
      </c>
      <c r="D1590" s="99" t="s">
        <v>114</v>
      </c>
      <c r="E1590" s="99" t="s">
        <v>89</v>
      </c>
      <c r="F1590" s="99" t="s">
        <v>1620</v>
      </c>
      <c r="G1590" s="100">
        <v>1795.5729999999999</v>
      </c>
      <c r="H1590" s="101">
        <v>4852.8999999999996</v>
      </c>
    </row>
    <row r="1591" spans="1:8">
      <c r="A1591" s="102">
        <v>38310</v>
      </c>
      <c r="B1591" s="102" t="str">
        <f>TEXT($A1591,"mmm")</f>
        <v>Nov</v>
      </c>
      <c r="C1591" s="103" t="s">
        <v>86</v>
      </c>
      <c r="D1591" s="103" t="s">
        <v>95</v>
      </c>
      <c r="E1591" s="103" t="s">
        <v>99</v>
      </c>
      <c r="F1591" s="103" t="s">
        <v>1621</v>
      </c>
      <c r="G1591" s="104">
        <v>4507.0646500000003</v>
      </c>
      <c r="H1591" s="105">
        <v>4820.3900000000003</v>
      </c>
    </row>
    <row r="1592" spans="1:8">
      <c r="A1592" s="97">
        <v>38308</v>
      </c>
      <c r="B1592" s="97" t="str">
        <f>TEXT($A1592,"mmm")</f>
        <v>Nov</v>
      </c>
      <c r="C1592" s="99" t="s">
        <v>116</v>
      </c>
      <c r="D1592" s="99" t="s">
        <v>95</v>
      </c>
      <c r="E1592" s="99" t="s">
        <v>94</v>
      </c>
      <c r="F1592" s="99" t="s">
        <v>1622</v>
      </c>
      <c r="G1592" s="100">
        <v>3404.2008000000001</v>
      </c>
      <c r="H1592" s="101">
        <v>3868.41</v>
      </c>
    </row>
    <row r="1593" spans="1:8">
      <c r="A1593" s="102">
        <v>38307</v>
      </c>
      <c r="B1593" s="102" t="str">
        <f>TEXT($A1593,"mmm")</f>
        <v>Nov</v>
      </c>
      <c r="C1593" s="103" t="s">
        <v>86</v>
      </c>
      <c r="D1593" s="103" t="s">
        <v>101</v>
      </c>
      <c r="E1593" s="103" t="s">
        <v>144</v>
      </c>
      <c r="F1593" s="103" t="s">
        <v>1623</v>
      </c>
      <c r="G1593" s="104">
        <v>5399.0169999999998</v>
      </c>
      <c r="H1593" s="105">
        <v>9308.65</v>
      </c>
    </row>
    <row r="1594" spans="1:8">
      <c r="A1594" s="97">
        <v>38307</v>
      </c>
      <c r="B1594" s="97" t="str">
        <f>TEXT($A1594,"mmm")</f>
        <v>Nov</v>
      </c>
      <c r="C1594" s="99" t="s">
        <v>86</v>
      </c>
      <c r="D1594" s="99" t="s">
        <v>92</v>
      </c>
      <c r="E1594" s="99" t="s">
        <v>108</v>
      </c>
      <c r="F1594" s="99" t="s">
        <v>1624</v>
      </c>
      <c r="G1594" s="100">
        <v>3608.3834999999999</v>
      </c>
      <c r="H1594" s="101">
        <v>8018.63</v>
      </c>
    </row>
    <row r="1595" spans="1:8">
      <c r="A1595" s="102">
        <v>38307</v>
      </c>
      <c r="B1595" s="102" t="str">
        <f>TEXT($A1595,"mmm")</f>
        <v>Nov</v>
      </c>
      <c r="C1595" s="103" t="s">
        <v>104</v>
      </c>
      <c r="D1595" s="103" t="s">
        <v>92</v>
      </c>
      <c r="E1595" s="103" t="s">
        <v>89</v>
      </c>
      <c r="F1595" s="103" t="s">
        <v>1625</v>
      </c>
      <c r="G1595" s="104">
        <v>2953.2215999999999</v>
      </c>
      <c r="H1595" s="105">
        <v>7981.68</v>
      </c>
    </row>
    <row r="1596" spans="1:8">
      <c r="A1596" s="97">
        <v>38305</v>
      </c>
      <c r="B1596" s="97" t="str">
        <f>TEXT($A1596,"mmm")</f>
        <v>Nov</v>
      </c>
      <c r="C1596" s="99" t="s">
        <v>79</v>
      </c>
      <c r="D1596" s="99" t="s">
        <v>98</v>
      </c>
      <c r="E1596" s="99" t="s">
        <v>120</v>
      </c>
      <c r="F1596" s="99" t="s">
        <v>1626</v>
      </c>
      <c r="G1596" s="100">
        <v>28.538299999999996</v>
      </c>
      <c r="H1596" s="101">
        <v>48.37</v>
      </c>
    </row>
    <row r="1597" spans="1:8">
      <c r="A1597" s="102">
        <v>38304</v>
      </c>
      <c r="B1597" s="102" t="str">
        <f>TEXT($A1597,"mmm")</f>
        <v>Nov</v>
      </c>
      <c r="C1597" s="103" t="s">
        <v>116</v>
      </c>
      <c r="D1597" s="103" t="s">
        <v>87</v>
      </c>
      <c r="E1597" s="103" t="s">
        <v>108</v>
      </c>
      <c r="F1597" s="103" t="s">
        <v>1627</v>
      </c>
      <c r="G1597" s="104">
        <v>3755.3823999999995</v>
      </c>
      <c r="H1597" s="105">
        <v>4267.4799999999996</v>
      </c>
    </row>
    <row r="1598" spans="1:8">
      <c r="A1598" s="97">
        <v>38303</v>
      </c>
      <c r="B1598" s="97" t="str">
        <f>TEXT($A1598,"mmm")</f>
        <v>Nov</v>
      </c>
      <c r="C1598" s="99" t="s">
        <v>79</v>
      </c>
      <c r="D1598" s="99" t="s">
        <v>92</v>
      </c>
      <c r="E1598" s="99" t="s">
        <v>83</v>
      </c>
      <c r="F1598" s="99" t="s">
        <v>1628</v>
      </c>
      <c r="G1598" s="100">
        <v>6395.6774999999998</v>
      </c>
      <c r="H1598" s="101">
        <v>8527.57</v>
      </c>
    </row>
    <row r="1599" spans="1:8">
      <c r="A1599" s="102">
        <v>38303</v>
      </c>
      <c r="B1599" s="102" t="str">
        <f>TEXT($A1599,"mmm")</f>
        <v>Nov</v>
      </c>
      <c r="C1599" s="103" t="s">
        <v>116</v>
      </c>
      <c r="D1599" s="103" t="s">
        <v>87</v>
      </c>
      <c r="E1599" s="103" t="s">
        <v>89</v>
      </c>
      <c r="F1599" s="103" t="s">
        <v>1629</v>
      </c>
      <c r="G1599" s="104">
        <v>3504.6547999999998</v>
      </c>
      <c r="H1599" s="105">
        <v>8150.36</v>
      </c>
    </row>
    <row r="1600" spans="1:8">
      <c r="A1600" s="97">
        <v>38302</v>
      </c>
      <c r="B1600" s="97" t="str">
        <f>TEXT($A1600,"mmm")</f>
        <v>Nov</v>
      </c>
      <c r="C1600" s="99" t="s">
        <v>104</v>
      </c>
      <c r="D1600" s="99" t="s">
        <v>114</v>
      </c>
      <c r="E1600" s="99" t="s">
        <v>108</v>
      </c>
      <c r="F1600" s="99" t="s">
        <v>1085</v>
      </c>
      <c r="G1600" s="100">
        <v>3891.0923999999995</v>
      </c>
      <c r="H1600" s="101">
        <v>6708.78</v>
      </c>
    </row>
    <row r="1601" spans="1:8">
      <c r="A1601" s="102">
        <v>38302</v>
      </c>
      <c r="B1601" s="102" t="str">
        <f>TEXT($A1601,"mmm")</f>
        <v>Nov</v>
      </c>
      <c r="C1601" s="103" t="s">
        <v>86</v>
      </c>
      <c r="D1601" s="103" t="s">
        <v>87</v>
      </c>
      <c r="E1601" s="103" t="s">
        <v>122</v>
      </c>
      <c r="F1601" s="103" t="s">
        <v>1630</v>
      </c>
      <c r="G1601" s="104">
        <v>1819.989</v>
      </c>
      <c r="H1601" s="105">
        <v>4044.42</v>
      </c>
    </row>
    <row r="1602" spans="1:8">
      <c r="A1602" s="97">
        <v>38301</v>
      </c>
      <c r="B1602" s="97" t="str">
        <f>TEXT($A1602,"mmm")</f>
        <v>Nov</v>
      </c>
      <c r="C1602" s="99" t="s">
        <v>86</v>
      </c>
      <c r="D1602" s="99" t="s">
        <v>101</v>
      </c>
      <c r="E1602" s="99" t="s">
        <v>81</v>
      </c>
      <c r="F1602" s="99" t="s">
        <v>1631</v>
      </c>
      <c r="G1602" s="100">
        <v>5467.0048999999999</v>
      </c>
      <c r="H1602" s="101">
        <v>9266.11</v>
      </c>
    </row>
    <row r="1603" spans="1:8">
      <c r="A1603" s="102">
        <v>38301</v>
      </c>
      <c r="B1603" s="102" t="str">
        <f>TEXT($A1603,"mmm")</f>
        <v>Nov</v>
      </c>
      <c r="C1603" s="103" t="s">
        <v>86</v>
      </c>
      <c r="D1603" s="103" t="s">
        <v>87</v>
      </c>
      <c r="E1603" s="103" t="s">
        <v>96</v>
      </c>
      <c r="F1603" s="103" t="s">
        <v>1632</v>
      </c>
      <c r="G1603" s="104">
        <v>3426.7310000000002</v>
      </c>
      <c r="H1603" s="105">
        <v>6230.42</v>
      </c>
    </row>
    <row r="1604" spans="1:8">
      <c r="A1604" s="97">
        <v>38301</v>
      </c>
      <c r="B1604" s="97" t="str">
        <f>TEXT($A1604,"mmm")</f>
        <v>Nov</v>
      </c>
      <c r="C1604" s="99" t="s">
        <v>86</v>
      </c>
      <c r="D1604" s="99" t="s">
        <v>127</v>
      </c>
      <c r="E1604" s="99" t="s">
        <v>105</v>
      </c>
      <c r="F1604" s="99" t="s">
        <v>1633</v>
      </c>
      <c r="G1604" s="100">
        <v>4171.4396000000006</v>
      </c>
      <c r="H1604" s="101">
        <v>6134.47</v>
      </c>
    </row>
    <row r="1605" spans="1:8">
      <c r="A1605" s="102">
        <v>38301</v>
      </c>
      <c r="B1605" s="102" t="str">
        <f>TEXT($A1605,"mmm")</f>
        <v>Nov</v>
      </c>
      <c r="C1605" s="103" t="s">
        <v>79</v>
      </c>
      <c r="D1605" s="103" t="s">
        <v>127</v>
      </c>
      <c r="E1605" s="103" t="s">
        <v>89</v>
      </c>
      <c r="F1605" s="103" t="s">
        <v>1634</v>
      </c>
      <c r="G1605" s="104">
        <v>335.88159999999999</v>
      </c>
      <c r="H1605" s="105">
        <v>781.12</v>
      </c>
    </row>
    <row r="1606" spans="1:8">
      <c r="A1606" s="97">
        <v>38301</v>
      </c>
      <c r="B1606" s="97" t="str">
        <f>TEXT($A1606,"mmm")</f>
        <v>Nov</v>
      </c>
      <c r="C1606" s="99" t="s">
        <v>107</v>
      </c>
      <c r="D1606" s="99" t="s">
        <v>98</v>
      </c>
      <c r="E1606" s="99" t="s">
        <v>120</v>
      </c>
      <c r="F1606" s="99" t="s">
        <v>1635</v>
      </c>
      <c r="G1606" s="100">
        <v>243.90300000000002</v>
      </c>
      <c r="H1606" s="101">
        <v>443.46</v>
      </c>
    </row>
    <row r="1607" spans="1:8">
      <c r="A1607" s="102">
        <v>38300</v>
      </c>
      <c r="B1607" s="102" t="str">
        <f>TEXT($A1607,"mmm")</f>
        <v>Nov</v>
      </c>
      <c r="C1607" s="103" t="s">
        <v>86</v>
      </c>
      <c r="D1607" s="103" t="s">
        <v>95</v>
      </c>
      <c r="E1607" s="103" t="s">
        <v>122</v>
      </c>
      <c r="F1607" s="103" t="s">
        <v>1636</v>
      </c>
      <c r="G1607" s="104">
        <v>3374.2057</v>
      </c>
      <c r="H1607" s="105">
        <v>7846.99</v>
      </c>
    </row>
    <row r="1608" spans="1:8">
      <c r="A1608" s="97">
        <v>38300</v>
      </c>
      <c r="B1608" s="97" t="str">
        <f>TEXT($A1608,"mmm")</f>
        <v>Nov</v>
      </c>
      <c r="C1608" s="99" t="s">
        <v>104</v>
      </c>
      <c r="D1608" s="99" t="s">
        <v>87</v>
      </c>
      <c r="E1608" s="99" t="s">
        <v>89</v>
      </c>
      <c r="F1608" s="99" t="s">
        <v>1637</v>
      </c>
      <c r="G1608" s="100">
        <v>3704.6549999999997</v>
      </c>
      <c r="H1608" s="101">
        <v>4939.54</v>
      </c>
    </row>
    <row r="1609" spans="1:8">
      <c r="A1609" s="102">
        <v>38298</v>
      </c>
      <c r="B1609" s="102" t="str">
        <f>TEXT($A1609,"mmm")</f>
        <v>Nov</v>
      </c>
      <c r="C1609" s="103" t="s">
        <v>79</v>
      </c>
      <c r="D1609" s="103" t="s">
        <v>87</v>
      </c>
      <c r="E1609" s="103" t="s">
        <v>129</v>
      </c>
      <c r="F1609" s="103" t="s">
        <v>1638</v>
      </c>
      <c r="G1609" s="104">
        <v>3407.4755</v>
      </c>
      <c r="H1609" s="105">
        <v>6195.41</v>
      </c>
    </row>
    <row r="1610" spans="1:8">
      <c r="A1610" s="97">
        <v>38298</v>
      </c>
      <c r="B1610" s="97" t="str">
        <f>TEXT($A1610,"mmm")</f>
        <v>Nov</v>
      </c>
      <c r="C1610" s="99" t="s">
        <v>116</v>
      </c>
      <c r="D1610" s="99" t="s">
        <v>101</v>
      </c>
      <c r="E1610" s="99" t="s">
        <v>129</v>
      </c>
      <c r="F1610" s="99" t="s">
        <v>1639</v>
      </c>
      <c r="G1610" s="100">
        <v>2972.2392</v>
      </c>
      <c r="H1610" s="101">
        <v>4370.9399999999996</v>
      </c>
    </row>
    <row r="1611" spans="1:8">
      <c r="A1611" s="102">
        <v>38297</v>
      </c>
      <c r="B1611" s="102" t="str">
        <f>TEXT($A1611,"mmm")</f>
        <v>Nov</v>
      </c>
      <c r="C1611" s="103" t="s">
        <v>79</v>
      </c>
      <c r="D1611" s="103" t="s">
        <v>114</v>
      </c>
      <c r="E1611" s="103" t="s">
        <v>105</v>
      </c>
      <c r="F1611" s="103" t="s">
        <v>1640</v>
      </c>
      <c r="G1611" s="104">
        <v>563.5630000000001</v>
      </c>
      <c r="H1611" s="105">
        <v>1024.6600000000001</v>
      </c>
    </row>
    <row r="1612" spans="1:8">
      <c r="A1612" s="97">
        <v>38295</v>
      </c>
      <c r="B1612" s="97" t="str">
        <f>TEXT($A1612,"mmm")</f>
        <v>Nov</v>
      </c>
      <c r="C1612" s="99" t="s">
        <v>107</v>
      </c>
      <c r="D1612" s="99" t="s">
        <v>127</v>
      </c>
      <c r="E1612" s="99" t="s">
        <v>120</v>
      </c>
      <c r="F1612" s="99" t="s">
        <v>1641</v>
      </c>
      <c r="G1612" s="100">
        <v>5753.4897999999994</v>
      </c>
      <c r="H1612" s="101">
        <v>9919.81</v>
      </c>
    </row>
    <row r="1613" spans="1:8">
      <c r="A1613" s="102">
        <v>38295</v>
      </c>
      <c r="B1613" s="102" t="str">
        <f>TEXT($A1613,"mmm")</f>
        <v>Nov</v>
      </c>
      <c r="C1613" s="103" t="s">
        <v>79</v>
      </c>
      <c r="D1613" s="103" t="s">
        <v>87</v>
      </c>
      <c r="E1613" s="103" t="s">
        <v>93</v>
      </c>
      <c r="F1613" s="103" t="s">
        <v>1642</v>
      </c>
      <c r="G1613" s="104">
        <v>8100.62</v>
      </c>
      <c r="H1613" s="105">
        <v>9205.25</v>
      </c>
    </row>
    <row r="1614" spans="1:8">
      <c r="A1614" s="97">
        <v>38295</v>
      </c>
      <c r="B1614" s="97" t="str">
        <f>TEXT($A1614,"mmm")</f>
        <v>Nov</v>
      </c>
      <c r="C1614" s="99" t="s">
        <v>116</v>
      </c>
      <c r="D1614" s="99" t="s">
        <v>92</v>
      </c>
      <c r="E1614" s="99" t="s">
        <v>120</v>
      </c>
      <c r="F1614" s="99" t="s">
        <v>1643</v>
      </c>
      <c r="G1614" s="100">
        <v>1445.4114999999999</v>
      </c>
      <c r="H1614" s="101">
        <v>2449.85</v>
      </c>
    </row>
    <row r="1615" spans="1:8">
      <c r="A1615" s="102">
        <v>38294</v>
      </c>
      <c r="B1615" s="102" t="str">
        <f>TEXT($A1615,"mmm")</f>
        <v>Nov</v>
      </c>
      <c r="C1615" s="103" t="s">
        <v>79</v>
      </c>
      <c r="D1615" s="103" t="s">
        <v>95</v>
      </c>
      <c r="E1615" s="103" t="s">
        <v>81</v>
      </c>
      <c r="F1615" s="103" t="s">
        <v>1644</v>
      </c>
      <c r="G1615" s="104">
        <v>1971.5475000000001</v>
      </c>
      <c r="H1615" s="105">
        <v>2628.73</v>
      </c>
    </row>
    <row r="1616" spans="1:8">
      <c r="A1616" s="97">
        <v>38294</v>
      </c>
      <c r="B1616" s="97" t="str">
        <f>TEXT($A1616,"mmm")</f>
        <v>Nov</v>
      </c>
      <c r="C1616" s="99" t="s">
        <v>79</v>
      </c>
      <c r="D1616" s="99" t="s">
        <v>92</v>
      </c>
      <c r="E1616" s="99" t="s">
        <v>129</v>
      </c>
      <c r="F1616" s="99" t="s">
        <v>1645</v>
      </c>
      <c r="G1616" s="100">
        <v>462.10079999999999</v>
      </c>
      <c r="H1616" s="101">
        <v>679.56</v>
      </c>
    </row>
    <row r="1617" spans="1:8">
      <c r="A1617" s="102">
        <v>38293</v>
      </c>
      <c r="B1617" s="102" t="str">
        <f>TEXT($A1617,"mmm")</f>
        <v>Nov</v>
      </c>
      <c r="C1617" s="103" t="s">
        <v>86</v>
      </c>
      <c r="D1617" s="103" t="s">
        <v>114</v>
      </c>
      <c r="E1617" s="103" t="s">
        <v>93</v>
      </c>
      <c r="F1617" s="103" t="s">
        <v>1646</v>
      </c>
      <c r="G1617" s="104">
        <v>8311.7407999999996</v>
      </c>
      <c r="H1617" s="105">
        <v>9445.16</v>
      </c>
    </row>
    <row r="1618" spans="1:8">
      <c r="A1618" s="97">
        <v>38293</v>
      </c>
      <c r="B1618" s="97" t="str">
        <f>TEXT($A1618,"mmm")</f>
        <v>Nov</v>
      </c>
      <c r="C1618" s="99" t="s">
        <v>86</v>
      </c>
      <c r="D1618" s="99" t="s">
        <v>98</v>
      </c>
      <c r="E1618" s="99" t="s">
        <v>108</v>
      </c>
      <c r="F1618" s="99" t="s">
        <v>1503</v>
      </c>
      <c r="G1618" s="100">
        <v>3549.6149999999998</v>
      </c>
      <c r="H1618" s="101">
        <v>4732.82</v>
      </c>
    </row>
    <row r="1619" spans="1:8">
      <c r="A1619" s="102">
        <v>38292</v>
      </c>
      <c r="B1619" s="102" t="str">
        <f>TEXT($A1619,"mmm")</f>
        <v>Nov</v>
      </c>
      <c r="C1619" s="103" t="s">
        <v>79</v>
      </c>
      <c r="D1619" s="103" t="s">
        <v>92</v>
      </c>
      <c r="E1619" s="103" t="s">
        <v>83</v>
      </c>
      <c r="F1619" s="103" t="s">
        <v>1647</v>
      </c>
      <c r="G1619" s="104">
        <v>3679.8238999999999</v>
      </c>
      <c r="H1619" s="105">
        <v>9945.4699999999993</v>
      </c>
    </row>
    <row r="1620" spans="1:8">
      <c r="A1620" s="97">
        <v>38292</v>
      </c>
      <c r="B1620" s="97" t="str">
        <f>TEXT($A1620,"mmm")</f>
        <v>Nov</v>
      </c>
      <c r="C1620" s="99" t="s">
        <v>79</v>
      </c>
      <c r="D1620" s="99" t="s">
        <v>101</v>
      </c>
      <c r="E1620" s="99" t="s">
        <v>94</v>
      </c>
      <c r="F1620" s="99" t="s">
        <v>1648</v>
      </c>
      <c r="G1620" s="100">
        <v>1283.5119</v>
      </c>
      <c r="H1620" s="101">
        <v>1372.74</v>
      </c>
    </row>
    <row r="1621" spans="1:8">
      <c r="A1621" s="102">
        <v>38291</v>
      </c>
      <c r="B1621" s="102" t="str">
        <f>TEXT($A1621,"mmm")</f>
        <v>Oct</v>
      </c>
      <c r="C1621" s="103" t="s">
        <v>116</v>
      </c>
      <c r="D1621" s="103" t="s">
        <v>95</v>
      </c>
      <c r="E1621" s="103" t="s">
        <v>99</v>
      </c>
      <c r="F1621" s="103" t="s">
        <v>1177</v>
      </c>
      <c r="G1621" s="104">
        <v>7841.6447999999991</v>
      </c>
      <c r="H1621" s="105">
        <v>8910.9599999999991</v>
      </c>
    </row>
    <row r="1622" spans="1:8">
      <c r="A1622" s="97">
        <v>38291</v>
      </c>
      <c r="B1622" s="97" t="str">
        <f>TEXT($A1622,"mmm")</f>
        <v>Oct</v>
      </c>
      <c r="C1622" s="99" t="s">
        <v>79</v>
      </c>
      <c r="D1622" s="99" t="s">
        <v>98</v>
      </c>
      <c r="E1622" s="99" t="s">
        <v>120</v>
      </c>
      <c r="F1622" s="99" t="s">
        <v>1649</v>
      </c>
      <c r="G1622" s="100">
        <v>4549.0356999999995</v>
      </c>
      <c r="H1622" s="101">
        <v>7710.23</v>
      </c>
    </row>
    <row r="1623" spans="1:8">
      <c r="A1623" s="102">
        <v>38291</v>
      </c>
      <c r="B1623" s="102" t="str">
        <f>TEXT($A1623,"mmm")</f>
        <v>Oct</v>
      </c>
      <c r="C1623" s="103" t="s">
        <v>79</v>
      </c>
      <c r="D1623" s="103" t="s">
        <v>127</v>
      </c>
      <c r="E1623" s="103" t="s">
        <v>83</v>
      </c>
      <c r="F1623" s="103" t="s">
        <v>1650</v>
      </c>
      <c r="G1623" s="104">
        <v>3592.0060000000003</v>
      </c>
      <c r="H1623" s="105">
        <v>6530.92</v>
      </c>
    </row>
    <row r="1624" spans="1:8">
      <c r="A1624" s="97">
        <v>38291</v>
      </c>
      <c r="B1624" s="97" t="str">
        <f>TEXT($A1624,"mmm")</f>
        <v>Oct</v>
      </c>
      <c r="C1624" s="99" t="s">
        <v>79</v>
      </c>
      <c r="D1624" s="99" t="s">
        <v>92</v>
      </c>
      <c r="E1624" s="99" t="s">
        <v>120</v>
      </c>
      <c r="F1624" s="99" t="s">
        <v>655</v>
      </c>
      <c r="G1624" s="100">
        <v>3871.0950000000003</v>
      </c>
      <c r="H1624" s="101">
        <v>5161.46</v>
      </c>
    </row>
    <row r="1625" spans="1:8">
      <c r="A1625" s="102">
        <v>38290</v>
      </c>
      <c r="B1625" s="102" t="str">
        <f>TEXT($A1625,"mmm")</f>
        <v>Oct</v>
      </c>
      <c r="C1625" s="103" t="s">
        <v>79</v>
      </c>
      <c r="D1625" s="103" t="s">
        <v>87</v>
      </c>
      <c r="E1625" s="103" t="s">
        <v>96</v>
      </c>
      <c r="F1625" s="103" t="s">
        <v>1651</v>
      </c>
      <c r="G1625" s="104">
        <v>4481.1405000000004</v>
      </c>
      <c r="H1625" s="105">
        <v>9958.09</v>
      </c>
    </row>
    <row r="1626" spans="1:8">
      <c r="A1626" s="97">
        <v>38290</v>
      </c>
      <c r="B1626" s="97" t="str">
        <f>TEXT($A1626,"mmm")</f>
        <v>Oct</v>
      </c>
      <c r="C1626" s="99" t="s">
        <v>79</v>
      </c>
      <c r="D1626" s="99" t="s">
        <v>127</v>
      </c>
      <c r="E1626" s="99" t="s">
        <v>89</v>
      </c>
      <c r="F1626" s="99" t="s">
        <v>1652</v>
      </c>
      <c r="G1626" s="100">
        <v>5628.1751999999997</v>
      </c>
      <c r="H1626" s="101">
        <v>9539.2800000000007</v>
      </c>
    </row>
    <row r="1627" spans="1:8">
      <c r="A1627" s="102">
        <v>38290</v>
      </c>
      <c r="B1627" s="102" t="str">
        <f>TEXT($A1627,"mmm")</f>
        <v>Oct</v>
      </c>
      <c r="C1627" s="103" t="s">
        <v>107</v>
      </c>
      <c r="D1627" s="103" t="s">
        <v>101</v>
      </c>
      <c r="E1627" s="103" t="s">
        <v>120</v>
      </c>
      <c r="F1627" s="103" t="s">
        <v>1653</v>
      </c>
      <c r="G1627" s="104">
        <v>4304.0030000000006</v>
      </c>
      <c r="H1627" s="105">
        <v>7825.46</v>
      </c>
    </row>
    <row r="1628" spans="1:8">
      <c r="A1628" s="97">
        <v>38290</v>
      </c>
      <c r="B1628" s="97" t="str">
        <f>TEXT($A1628,"mmm")</f>
        <v>Oct</v>
      </c>
      <c r="C1628" s="99" t="s">
        <v>79</v>
      </c>
      <c r="D1628" s="99" t="s">
        <v>92</v>
      </c>
      <c r="E1628" s="99" t="s">
        <v>122</v>
      </c>
      <c r="F1628" s="99" t="s">
        <v>763</v>
      </c>
      <c r="G1628" s="100">
        <v>1438.4744000000001</v>
      </c>
      <c r="H1628" s="101">
        <v>1634.63</v>
      </c>
    </row>
    <row r="1629" spans="1:8">
      <c r="A1629" s="102">
        <v>38289</v>
      </c>
      <c r="B1629" s="102" t="str">
        <f>TEXT($A1629,"mmm")</f>
        <v>Oct</v>
      </c>
      <c r="C1629" s="103" t="s">
        <v>104</v>
      </c>
      <c r="D1629" s="103" t="s">
        <v>80</v>
      </c>
      <c r="E1629" s="103" t="s">
        <v>105</v>
      </c>
      <c r="F1629" s="103" t="s">
        <v>1654</v>
      </c>
      <c r="G1629" s="104">
        <v>3180.6213999999995</v>
      </c>
      <c r="H1629" s="105">
        <v>5483.83</v>
      </c>
    </row>
    <row r="1630" spans="1:8">
      <c r="A1630" s="97">
        <v>38289</v>
      </c>
      <c r="B1630" s="97" t="str">
        <f>TEXT($A1630,"mmm")</f>
        <v>Oct</v>
      </c>
      <c r="C1630" s="99" t="s">
        <v>104</v>
      </c>
      <c r="D1630" s="99" t="s">
        <v>127</v>
      </c>
      <c r="E1630" s="99" t="s">
        <v>93</v>
      </c>
      <c r="F1630" s="99" t="s">
        <v>1655</v>
      </c>
      <c r="G1630" s="100">
        <v>89.3673</v>
      </c>
      <c r="H1630" s="101">
        <v>151.47</v>
      </c>
    </row>
    <row r="1631" spans="1:8">
      <c r="A1631" s="102">
        <v>38288</v>
      </c>
      <c r="B1631" s="102" t="str">
        <f>TEXT($A1631,"mmm")</f>
        <v>Oct</v>
      </c>
      <c r="C1631" s="103" t="s">
        <v>104</v>
      </c>
      <c r="D1631" s="103" t="s">
        <v>114</v>
      </c>
      <c r="E1631" s="103" t="s">
        <v>93</v>
      </c>
      <c r="F1631" s="103" t="s">
        <v>1656</v>
      </c>
      <c r="G1631" s="104">
        <v>5717.7188000000006</v>
      </c>
      <c r="H1631" s="105">
        <v>8408.41</v>
      </c>
    </row>
    <row r="1632" spans="1:8">
      <c r="A1632" s="97">
        <v>38288</v>
      </c>
      <c r="B1632" s="97" t="str">
        <f>TEXT($A1632,"mmm")</f>
        <v>Oct</v>
      </c>
      <c r="C1632" s="99" t="s">
        <v>79</v>
      </c>
      <c r="D1632" s="99" t="s">
        <v>87</v>
      </c>
      <c r="E1632" s="99" t="s">
        <v>99</v>
      </c>
      <c r="F1632" s="99" t="s">
        <v>1657</v>
      </c>
      <c r="G1632" s="100">
        <v>1701.0268000000001</v>
      </c>
      <c r="H1632" s="101">
        <v>1819.28</v>
      </c>
    </row>
    <row r="1633" spans="1:8">
      <c r="A1633" s="102">
        <v>38288</v>
      </c>
      <c r="B1633" s="102" t="str">
        <f>TEXT($A1633,"mmm")</f>
        <v>Oct</v>
      </c>
      <c r="C1633" s="103" t="s">
        <v>86</v>
      </c>
      <c r="D1633" s="103" t="s">
        <v>101</v>
      </c>
      <c r="E1633" s="103" t="s">
        <v>129</v>
      </c>
      <c r="F1633" s="103" t="s">
        <v>1658</v>
      </c>
      <c r="G1633" s="104">
        <v>748.32300000000009</v>
      </c>
      <c r="H1633" s="105">
        <v>1662.94</v>
      </c>
    </row>
    <row r="1634" spans="1:8">
      <c r="A1634" s="97">
        <v>38288</v>
      </c>
      <c r="B1634" s="97" t="str">
        <f>TEXT($A1634,"mmm")</f>
        <v>Oct</v>
      </c>
      <c r="C1634" s="99" t="s">
        <v>116</v>
      </c>
      <c r="D1634" s="99" t="s">
        <v>127</v>
      </c>
      <c r="E1634" s="99" t="s">
        <v>93</v>
      </c>
      <c r="F1634" s="99" t="s">
        <v>607</v>
      </c>
      <c r="G1634" s="100">
        <v>499.13550000000004</v>
      </c>
      <c r="H1634" s="101">
        <v>1109.19</v>
      </c>
    </row>
    <row r="1635" spans="1:8">
      <c r="A1635" s="102">
        <v>38286</v>
      </c>
      <c r="B1635" s="102" t="str">
        <f>TEXT($A1635,"mmm")</f>
        <v>Oct</v>
      </c>
      <c r="C1635" s="103" t="s">
        <v>104</v>
      </c>
      <c r="D1635" s="103" t="s">
        <v>92</v>
      </c>
      <c r="E1635" s="103" t="s">
        <v>93</v>
      </c>
      <c r="F1635" s="103" t="s">
        <v>1659</v>
      </c>
      <c r="G1635" s="104">
        <v>3188.9187000000002</v>
      </c>
      <c r="H1635" s="105">
        <v>7416.09</v>
      </c>
    </row>
    <row r="1636" spans="1:8">
      <c r="A1636" s="97">
        <v>38286</v>
      </c>
      <c r="B1636" s="97" t="str">
        <f>TEXT($A1636,"mmm")</f>
        <v>Oct</v>
      </c>
      <c r="C1636" s="99" t="s">
        <v>79</v>
      </c>
      <c r="D1636" s="99" t="s">
        <v>127</v>
      </c>
      <c r="E1636" s="99" t="s">
        <v>108</v>
      </c>
      <c r="F1636" s="99" t="s">
        <v>1660</v>
      </c>
      <c r="G1636" s="100">
        <v>5841.5896000000002</v>
      </c>
      <c r="H1636" s="101">
        <v>6638.17</v>
      </c>
    </row>
    <row r="1637" spans="1:8">
      <c r="A1637" s="102">
        <v>38286</v>
      </c>
      <c r="B1637" s="102" t="str">
        <f>TEXT($A1637,"mmm")</f>
        <v>Oct</v>
      </c>
      <c r="C1637" s="103" t="s">
        <v>79</v>
      </c>
      <c r="D1637" s="103" t="s">
        <v>127</v>
      </c>
      <c r="E1637" s="103" t="s">
        <v>144</v>
      </c>
      <c r="F1637" s="103" t="s">
        <v>682</v>
      </c>
      <c r="G1637" s="104">
        <v>2137.2927</v>
      </c>
      <c r="H1637" s="105">
        <v>3622.53</v>
      </c>
    </row>
    <row r="1638" spans="1:8">
      <c r="A1638" s="97">
        <v>38284</v>
      </c>
      <c r="B1638" s="97" t="str">
        <f>TEXT($A1638,"mmm")</f>
        <v>Oct</v>
      </c>
      <c r="C1638" s="99" t="s">
        <v>79</v>
      </c>
      <c r="D1638" s="99" t="s">
        <v>101</v>
      </c>
      <c r="E1638" s="99" t="s">
        <v>96</v>
      </c>
      <c r="F1638" s="99" t="s">
        <v>1661</v>
      </c>
      <c r="G1638" s="100">
        <v>5011.1716000000006</v>
      </c>
      <c r="H1638" s="101">
        <v>7369.37</v>
      </c>
    </row>
    <row r="1639" spans="1:8">
      <c r="A1639" s="102">
        <v>38284</v>
      </c>
      <c r="B1639" s="102" t="str">
        <f>TEXT($A1639,"mmm")</f>
        <v>Oct</v>
      </c>
      <c r="C1639" s="103" t="s">
        <v>79</v>
      </c>
      <c r="D1639" s="103" t="s">
        <v>87</v>
      </c>
      <c r="E1639" s="103" t="s">
        <v>81</v>
      </c>
      <c r="F1639" s="103" t="s">
        <v>1662</v>
      </c>
      <c r="G1639" s="104">
        <v>1515.5573999999999</v>
      </c>
      <c r="H1639" s="105">
        <v>2613.0300000000002</v>
      </c>
    </row>
    <row r="1640" spans="1:8">
      <c r="A1640" s="97">
        <v>38284</v>
      </c>
      <c r="B1640" s="97" t="str">
        <f>TEXT($A1640,"mmm")</f>
        <v>Oct</v>
      </c>
      <c r="C1640" s="99" t="s">
        <v>86</v>
      </c>
      <c r="D1640" s="99" t="s">
        <v>92</v>
      </c>
      <c r="E1640" s="99" t="s">
        <v>158</v>
      </c>
      <c r="F1640" s="99" t="s">
        <v>1663</v>
      </c>
      <c r="G1640" s="100">
        <v>450.47089999999997</v>
      </c>
      <c r="H1640" s="101">
        <v>763.51</v>
      </c>
    </row>
    <row r="1641" spans="1:8">
      <c r="A1641" s="102">
        <v>38283</v>
      </c>
      <c r="B1641" s="102" t="str">
        <f>TEXT($A1641,"mmm")</f>
        <v>Oct</v>
      </c>
      <c r="C1641" s="103" t="s">
        <v>86</v>
      </c>
      <c r="D1641" s="103" t="s">
        <v>92</v>
      </c>
      <c r="E1641" s="103" t="s">
        <v>94</v>
      </c>
      <c r="F1641" s="103" t="s">
        <v>1664</v>
      </c>
      <c r="G1641" s="104">
        <v>4923.0425999999998</v>
      </c>
      <c r="H1641" s="105">
        <v>8344.14</v>
      </c>
    </row>
    <row r="1642" spans="1:8">
      <c r="A1642" s="97">
        <v>38283</v>
      </c>
      <c r="B1642" s="97" t="str">
        <f>TEXT($A1642,"mmm")</f>
        <v>Oct</v>
      </c>
      <c r="C1642" s="99" t="s">
        <v>79</v>
      </c>
      <c r="D1642" s="99" t="s">
        <v>101</v>
      </c>
      <c r="E1642" s="99" t="s">
        <v>108</v>
      </c>
      <c r="F1642" s="99" t="s">
        <v>1665</v>
      </c>
      <c r="G1642" s="100">
        <v>1719.2168000000004</v>
      </c>
      <c r="H1642" s="101">
        <v>2528.2600000000002</v>
      </c>
    </row>
    <row r="1643" spans="1:8">
      <c r="A1643" s="102">
        <v>38283</v>
      </c>
      <c r="B1643" s="102" t="str">
        <f>TEXT($A1643,"mmm")</f>
        <v>Oct</v>
      </c>
      <c r="C1643" s="103" t="s">
        <v>79</v>
      </c>
      <c r="D1643" s="103" t="s">
        <v>98</v>
      </c>
      <c r="E1643" s="103" t="s">
        <v>120</v>
      </c>
      <c r="F1643" s="103" t="s">
        <v>1666</v>
      </c>
      <c r="G1643" s="104">
        <v>564.322</v>
      </c>
      <c r="H1643" s="105">
        <v>1026.04</v>
      </c>
    </row>
    <row r="1644" spans="1:8">
      <c r="A1644" s="97">
        <v>38282</v>
      </c>
      <c r="B1644" s="97" t="str">
        <f>TEXT($A1644,"mmm")</f>
        <v>Oct</v>
      </c>
      <c r="C1644" s="99" t="s">
        <v>104</v>
      </c>
      <c r="D1644" s="99" t="s">
        <v>92</v>
      </c>
      <c r="E1644" s="99" t="s">
        <v>93</v>
      </c>
      <c r="F1644" s="99" t="s">
        <v>1667</v>
      </c>
      <c r="G1644" s="100">
        <v>1721.5523000000001</v>
      </c>
      <c r="H1644" s="101">
        <v>4003.61</v>
      </c>
    </row>
    <row r="1645" spans="1:8">
      <c r="A1645" s="102">
        <v>38281</v>
      </c>
      <c r="B1645" s="102" t="str">
        <f>TEXT($A1645,"mmm")</f>
        <v>Oct</v>
      </c>
      <c r="C1645" s="103" t="s">
        <v>86</v>
      </c>
      <c r="D1645" s="103" t="s">
        <v>87</v>
      </c>
      <c r="E1645" s="103" t="s">
        <v>158</v>
      </c>
      <c r="F1645" s="103" t="s">
        <v>1668</v>
      </c>
      <c r="G1645" s="104">
        <v>5842.7912000000006</v>
      </c>
      <c r="H1645" s="105">
        <v>8592.34</v>
      </c>
    </row>
    <row r="1646" spans="1:8">
      <c r="A1646" s="97">
        <v>38280</v>
      </c>
      <c r="B1646" s="97" t="str">
        <f>TEXT($A1646,"mmm")</f>
        <v>Oct</v>
      </c>
      <c r="C1646" s="99" t="s">
        <v>107</v>
      </c>
      <c r="D1646" s="99" t="s">
        <v>95</v>
      </c>
      <c r="E1646" s="99" t="s">
        <v>129</v>
      </c>
      <c r="F1646" s="99" t="s">
        <v>1669</v>
      </c>
      <c r="G1646" s="100">
        <v>5499.7788</v>
      </c>
      <c r="H1646" s="101">
        <v>8087.91</v>
      </c>
    </row>
    <row r="1647" spans="1:8">
      <c r="A1647" s="102">
        <v>38280</v>
      </c>
      <c r="B1647" s="102" t="str">
        <f>TEXT($A1647,"mmm")</f>
        <v>Oct</v>
      </c>
      <c r="C1647" s="103" t="s">
        <v>79</v>
      </c>
      <c r="D1647" s="103" t="s">
        <v>95</v>
      </c>
      <c r="E1647" s="103" t="s">
        <v>122</v>
      </c>
      <c r="F1647" s="103" t="s">
        <v>1670</v>
      </c>
      <c r="G1647" s="104">
        <v>6882.5680000000002</v>
      </c>
      <c r="H1647" s="105">
        <v>7821.1</v>
      </c>
    </row>
    <row r="1648" spans="1:8">
      <c r="A1648" s="97">
        <v>38280</v>
      </c>
      <c r="B1648" s="97" t="str">
        <f>TEXT($A1648,"mmm")</f>
        <v>Oct</v>
      </c>
      <c r="C1648" s="99" t="s">
        <v>79</v>
      </c>
      <c r="D1648" s="99" t="s">
        <v>87</v>
      </c>
      <c r="E1648" s="99" t="s">
        <v>93</v>
      </c>
      <c r="F1648" s="99" t="s">
        <v>1671</v>
      </c>
      <c r="G1648" s="100">
        <v>3183.9780000000001</v>
      </c>
      <c r="H1648" s="101">
        <v>7404.6</v>
      </c>
    </row>
    <row r="1649" spans="1:8">
      <c r="A1649" s="102">
        <v>38280</v>
      </c>
      <c r="B1649" s="102" t="str">
        <f>TEXT($A1649,"mmm")</f>
        <v>Oct</v>
      </c>
      <c r="C1649" s="103" t="s">
        <v>107</v>
      </c>
      <c r="D1649" s="103" t="s">
        <v>87</v>
      </c>
      <c r="E1649" s="103" t="s">
        <v>93</v>
      </c>
      <c r="F1649" s="103" t="s">
        <v>1672</v>
      </c>
      <c r="G1649" s="104">
        <v>6214.076</v>
      </c>
      <c r="H1649" s="105">
        <v>7061.45</v>
      </c>
    </row>
    <row r="1650" spans="1:8">
      <c r="A1650" s="97">
        <v>38279</v>
      </c>
      <c r="B1650" s="97" t="str">
        <f>TEXT($A1650,"mmm")</f>
        <v>Oct</v>
      </c>
      <c r="C1650" s="99" t="s">
        <v>79</v>
      </c>
      <c r="D1650" s="99" t="s">
        <v>95</v>
      </c>
      <c r="E1650" s="99" t="s">
        <v>108</v>
      </c>
      <c r="F1650" s="99" t="s">
        <v>1673</v>
      </c>
      <c r="G1650" s="100">
        <v>3251.1050000000005</v>
      </c>
      <c r="H1650" s="101">
        <v>5911.1</v>
      </c>
    </row>
    <row r="1651" spans="1:8">
      <c r="A1651" s="102">
        <v>38278</v>
      </c>
      <c r="B1651" s="102" t="str">
        <f>TEXT($A1651,"mmm")</f>
        <v>Oct</v>
      </c>
      <c r="C1651" s="103" t="s">
        <v>116</v>
      </c>
      <c r="D1651" s="103" t="s">
        <v>114</v>
      </c>
      <c r="E1651" s="103" t="s">
        <v>144</v>
      </c>
      <c r="F1651" s="103" t="s">
        <v>1674</v>
      </c>
      <c r="G1651" s="104">
        <v>8929.9045000000006</v>
      </c>
      <c r="H1651" s="105">
        <v>9550.7000000000007</v>
      </c>
    </row>
    <row r="1652" spans="1:8">
      <c r="A1652" s="97">
        <v>38278</v>
      </c>
      <c r="B1652" s="97" t="str">
        <f>TEXT($A1652,"mmm")</f>
        <v>Oct</v>
      </c>
      <c r="C1652" s="99" t="s">
        <v>86</v>
      </c>
      <c r="D1652" s="99" t="s">
        <v>114</v>
      </c>
      <c r="E1652" s="99" t="s">
        <v>93</v>
      </c>
      <c r="F1652" s="99" t="s">
        <v>1675</v>
      </c>
      <c r="G1652" s="100">
        <v>427.90360000000004</v>
      </c>
      <c r="H1652" s="101">
        <v>629.27</v>
      </c>
    </row>
    <row r="1653" spans="1:8">
      <c r="A1653" s="102">
        <v>38277</v>
      </c>
      <c r="B1653" s="102" t="str">
        <f>TEXT($A1653,"mmm")</f>
        <v>Oct</v>
      </c>
      <c r="C1653" s="103" t="s">
        <v>86</v>
      </c>
      <c r="D1653" s="103" t="s">
        <v>127</v>
      </c>
      <c r="E1653" s="103" t="s">
        <v>94</v>
      </c>
      <c r="F1653" s="103" t="s">
        <v>1676</v>
      </c>
      <c r="G1653" s="104">
        <v>4014.8121999999998</v>
      </c>
      <c r="H1653" s="105">
        <v>6922.09</v>
      </c>
    </row>
    <row r="1654" spans="1:8">
      <c r="A1654" s="97">
        <v>38277</v>
      </c>
      <c r="B1654" s="97" t="str">
        <f>TEXT($A1654,"mmm")</f>
        <v>Oct</v>
      </c>
      <c r="C1654" s="99" t="s">
        <v>116</v>
      </c>
      <c r="D1654" s="99" t="s">
        <v>87</v>
      </c>
      <c r="E1654" s="99" t="s">
        <v>93</v>
      </c>
      <c r="F1654" s="99" t="s">
        <v>1677</v>
      </c>
      <c r="G1654" s="100">
        <v>4316.7080000000005</v>
      </c>
      <c r="H1654" s="101">
        <v>4616.8</v>
      </c>
    </row>
    <row r="1655" spans="1:8">
      <c r="A1655" s="102">
        <v>38277</v>
      </c>
      <c r="B1655" s="102" t="str">
        <f>TEXT($A1655,"mmm")</f>
        <v>Oct</v>
      </c>
      <c r="C1655" s="103" t="s">
        <v>79</v>
      </c>
      <c r="D1655" s="103" t="s">
        <v>127</v>
      </c>
      <c r="E1655" s="103" t="s">
        <v>81</v>
      </c>
      <c r="F1655" s="103" t="s">
        <v>1291</v>
      </c>
      <c r="G1655" s="104">
        <v>3852.9106000000006</v>
      </c>
      <c r="H1655" s="105">
        <v>4120.76</v>
      </c>
    </row>
    <row r="1656" spans="1:8">
      <c r="A1656" s="97">
        <v>38276</v>
      </c>
      <c r="B1656" s="97" t="str">
        <f>TEXT($A1656,"mmm")</f>
        <v>Oct</v>
      </c>
      <c r="C1656" s="99" t="s">
        <v>79</v>
      </c>
      <c r="D1656" s="99" t="s">
        <v>114</v>
      </c>
      <c r="E1656" s="99" t="s">
        <v>94</v>
      </c>
      <c r="F1656" s="99" t="s">
        <v>1678</v>
      </c>
      <c r="G1656" s="100">
        <v>3394.8045000000002</v>
      </c>
      <c r="H1656" s="101">
        <v>7544.01</v>
      </c>
    </row>
    <row r="1657" spans="1:8">
      <c r="A1657" s="102">
        <v>38276</v>
      </c>
      <c r="B1657" s="102" t="str">
        <f>TEXT($A1657,"mmm")</f>
        <v>Oct</v>
      </c>
      <c r="C1657" s="103" t="s">
        <v>116</v>
      </c>
      <c r="D1657" s="103" t="s">
        <v>114</v>
      </c>
      <c r="E1657" s="103" t="s">
        <v>89</v>
      </c>
      <c r="F1657" s="103" t="s">
        <v>1679</v>
      </c>
      <c r="G1657" s="104">
        <v>4250.1646000000001</v>
      </c>
      <c r="H1657" s="105">
        <v>7327.87</v>
      </c>
    </row>
    <row r="1658" spans="1:8">
      <c r="A1658" s="97">
        <v>38276</v>
      </c>
      <c r="B1658" s="97" t="str">
        <f>TEXT($A1658,"mmm")</f>
        <v>Oct</v>
      </c>
      <c r="C1658" s="99" t="s">
        <v>86</v>
      </c>
      <c r="D1658" s="99" t="s">
        <v>80</v>
      </c>
      <c r="E1658" s="99" t="s">
        <v>144</v>
      </c>
      <c r="F1658" s="99" t="s">
        <v>1680</v>
      </c>
      <c r="G1658" s="100">
        <v>1135.3204000000001</v>
      </c>
      <c r="H1658" s="101">
        <v>2640.28</v>
      </c>
    </row>
    <row r="1659" spans="1:8">
      <c r="A1659" s="102">
        <v>38275</v>
      </c>
      <c r="B1659" s="102" t="str">
        <f>TEXT($A1659,"mmm")</f>
        <v>Oct</v>
      </c>
      <c r="C1659" s="103" t="s">
        <v>86</v>
      </c>
      <c r="D1659" s="103" t="s">
        <v>98</v>
      </c>
      <c r="E1659" s="103" t="s">
        <v>105</v>
      </c>
      <c r="F1659" s="103" t="s">
        <v>1681</v>
      </c>
      <c r="G1659" s="104">
        <v>2989.3365000000003</v>
      </c>
      <c r="H1659" s="105">
        <v>6642.97</v>
      </c>
    </row>
    <row r="1660" spans="1:8">
      <c r="A1660" s="97">
        <v>38275</v>
      </c>
      <c r="B1660" s="97" t="str">
        <f>TEXT($A1660,"mmm")</f>
        <v>Oct</v>
      </c>
      <c r="C1660" s="99" t="s">
        <v>79</v>
      </c>
      <c r="D1660" s="99" t="s">
        <v>87</v>
      </c>
      <c r="E1660" s="99" t="s">
        <v>83</v>
      </c>
      <c r="F1660" s="99" t="s">
        <v>1682</v>
      </c>
      <c r="G1660" s="100">
        <v>2648.9624999999996</v>
      </c>
      <c r="H1660" s="101">
        <v>3531.95</v>
      </c>
    </row>
    <row r="1661" spans="1:8">
      <c r="A1661" s="102">
        <v>38275</v>
      </c>
      <c r="B1661" s="102" t="str">
        <f>TEXT($A1661,"mmm")</f>
        <v>Oct</v>
      </c>
      <c r="C1661" s="103" t="s">
        <v>79</v>
      </c>
      <c r="D1661" s="103" t="s">
        <v>80</v>
      </c>
      <c r="E1661" s="103" t="s">
        <v>81</v>
      </c>
      <c r="F1661" s="103" t="s">
        <v>1159</v>
      </c>
      <c r="G1661" s="104">
        <v>353.83479999999997</v>
      </c>
      <c r="H1661" s="105">
        <v>599.72</v>
      </c>
    </row>
    <row r="1662" spans="1:8">
      <c r="A1662" s="97">
        <v>38275</v>
      </c>
      <c r="B1662" s="97" t="str">
        <f>TEXT($A1662,"mmm")</f>
        <v>Oct</v>
      </c>
      <c r="C1662" s="99" t="s">
        <v>86</v>
      </c>
      <c r="D1662" s="99" t="s">
        <v>127</v>
      </c>
      <c r="E1662" s="99" t="s">
        <v>129</v>
      </c>
      <c r="F1662" s="99" t="s">
        <v>1683</v>
      </c>
      <c r="G1662" s="100">
        <v>56.572499999999998</v>
      </c>
      <c r="H1662" s="101">
        <v>75.430000000000007</v>
      </c>
    </row>
    <row r="1663" spans="1:8">
      <c r="A1663" s="102">
        <v>38274</v>
      </c>
      <c r="B1663" s="102" t="str">
        <f>TEXT($A1663,"mmm")</f>
        <v>Oct</v>
      </c>
      <c r="C1663" s="103" t="s">
        <v>79</v>
      </c>
      <c r="D1663" s="103" t="s">
        <v>95</v>
      </c>
      <c r="E1663" s="103" t="s">
        <v>105</v>
      </c>
      <c r="F1663" s="103" t="s">
        <v>1684</v>
      </c>
      <c r="G1663" s="104">
        <v>4442.5744000000004</v>
      </c>
      <c r="H1663" s="105">
        <v>5048.38</v>
      </c>
    </row>
    <row r="1664" spans="1:8">
      <c r="A1664" s="97">
        <v>38274</v>
      </c>
      <c r="B1664" s="97" t="str">
        <f>TEXT($A1664,"mmm")</f>
        <v>Oct</v>
      </c>
      <c r="C1664" s="99" t="s">
        <v>116</v>
      </c>
      <c r="D1664" s="99" t="s">
        <v>127</v>
      </c>
      <c r="E1664" s="99" t="s">
        <v>99</v>
      </c>
      <c r="F1664" s="99" t="s">
        <v>1685</v>
      </c>
      <c r="G1664" s="100">
        <v>2317.3040000000001</v>
      </c>
      <c r="H1664" s="101">
        <v>3407.8</v>
      </c>
    </row>
    <row r="1665" spans="1:8">
      <c r="A1665" s="102">
        <v>38274</v>
      </c>
      <c r="B1665" s="102" t="str">
        <f>TEXT($A1665,"mmm")</f>
        <v>Oct</v>
      </c>
      <c r="C1665" s="103" t="s">
        <v>104</v>
      </c>
      <c r="D1665" s="103" t="s">
        <v>101</v>
      </c>
      <c r="E1665" s="103" t="s">
        <v>108</v>
      </c>
      <c r="F1665" s="103" t="s">
        <v>1686</v>
      </c>
      <c r="G1665" s="104">
        <v>185.87119999999999</v>
      </c>
      <c r="H1665" s="105">
        <v>273.33999999999997</v>
      </c>
    </row>
    <row r="1666" spans="1:8">
      <c r="A1666" s="97">
        <v>38273</v>
      </c>
      <c r="B1666" s="97" t="str">
        <f>TEXT($A1666,"mmm")</f>
        <v>Oct</v>
      </c>
      <c r="C1666" s="99" t="s">
        <v>79</v>
      </c>
      <c r="D1666" s="99" t="s">
        <v>101</v>
      </c>
      <c r="E1666" s="99" t="s">
        <v>96</v>
      </c>
      <c r="F1666" s="99" t="s">
        <v>1687</v>
      </c>
      <c r="G1666" s="100">
        <v>1801.0616</v>
      </c>
      <c r="H1666" s="101">
        <v>2648.62</v>
      </c>
    </row>
    <row r="1667" spans="1:8">
      <c r="A1667" s="102">
        <v>38273</v>
      </c>
      <c r="B1667" s="102" t="str">
        <f>TEXT($A1667,"mmm")</f>
        <v>Oct</v>
      </c>
      <c r="C1667" s="103" t="s">
        <v>116</v>
      </c>
      <c r="D1667" s="103" t="s">
        <v>127</v>
      </c>
      <c r="E1667" s="103" t="s">
        <v>120</v>
      </c>
      <c r="F1667" s="103" t="s">
        <v>1688</v>
      </c>
      <c r="G1667" s="104">
        <v>1108.8071500000001</v>
      </c>
      <c r="H1667" s="105">
        <v>1185.8900000000001</v>
      </c>
    </row>
    <row r="1668" spans="1:8">
      <c r="A1668" s="97">
        <v>38272</v>
      </c>
      <c r="B1668" s="97" t="str">
        <f>TEXT($A1668,"mmm")</f>
        <v>Oct</v>
      </c>
      <c r="C1668" s="99" t="s">
        <v>79</v>
      </c>
      <c r="D1668" s="99" t="s">
        <v>87</v>
      </c>
      <c r="E1668" s="99" t="s">
        <v>83</v>
      </c>
      <c r="F1668" s="99" t="s">
        <v>1689</v>
      </c>
      <c r="G1668" s="100">
        <v>7133.7449999999999</v>
      </c>
      <c r="H1668" s="101">
        <v>9511.66</v>
      </c>
    </row>
    <row r="1669" spans="1:8">
      <c r="A1669" s="102">
        <v>38272</v>
      </c>
      <c r="B1669" s="102" t="str">
        <f>TEXT($A1669,"mmm")</f>
        <v>Oct</v>
      </c>
      <c r="C1669" s="103" t="s">
        <v>107</v>
      </c>
      <c r="D1669" s="103" t="s">
        <v>92</v>
      </c>
      <c r="E1669" s="103" t="s">
        <v>108</v>
      </c>
      <c r="F1669" s="103" t="s">
        <v>1690</v>
      </c>
      <c r="G1669" s="104">
        <v>3837.6513999999997</v>
      </c>
      <c r="H1669" s="105">
        <v>4104.4399999999996</v>
      </c>
    </row>
    <row r="1670" spans="1:8">
      <c r="A1670" s="97">
        <v>38272</v>
      </c>
      <c r="B1670" s="97" t="str">
        <f>TEXT($A1670,"mmm")</f>
        <v>Oct</v>
      </c>
      <c r="C1670" s="99" t="s">
        <v>107</v>
      </c>
      <c r="D1670" s="99" t="s">
        <v>80</v>
      </c>
      <c r="E1670" s="99" t="s">
        <v>93</v>
      </c>
      <c r="F1670" s="99" t="s">
        <v>1691</v>
      </c>
      <c r="G1670" s="100">
        <v>2274.3017999999997</v>
      </c>
      <c r="H1670" s="101">
        <v>3921.21</v>
      </c>
    </row>
    <row r="1671" spans="1:8">
      <c r="A1671" s="102">
        <v>38271</v>
      </c>
      <c r="B1671" s="102" t="str">
        <f>TEXT($A1671,"mmm")</f>
        <v>Oct</v>
      </c>
      <c r="C1671" s="103" t="s">
        <v>104</v>
      </c>
      <c r="D1671" s="103" t="s">
        <v>98</v>
      </c>
      <c r="E1671" s="103" t="s">
        <v>120</v>
      </c>
      <c r="F1671" s="103" t="s">
        <v>1692</v>
      </c>
      <c r="G1671" s="104">
        <v>7307.2961500000001</v>
      </c>
      <c r="H1671" s="105">
        <v>7815.29</v>
      </c>
    </row>
    <row r="1672" spans="1:8">
      <c r="A1672" s="97">
        <v>38271</v>
      </c>
      <c r="B1672" s="97" t="str">
        <f>TEXT($A1672,"mmm")</f>
        <v>Oct</v>
      </c>
      <c r="C1672" s="99" t="s">
        <v>79</v>
      </c>
      <c r="D1672" s="99" t="s">
        <v>101</v>
      </c>
      <c r="E1672" s="99" t="s">
        <v>83</v>
      </c>
      <c r="F1672" s="99" t="s">
        <v>1693</v>
      </c>
      <c r="G1672" s="100">
        <v>1496.8125</v>
      </c>
      <c r="H1672" s="101">
        <v>3326.25</v>
      </c>
    </row>
    <row r="1673" spans="1:8">
      <c r="A1673" s="102">
        <v>38271</v>
      </c>
      <c r="B1673" s="102" t="str">
        <f>TEXT($A1673,"mmm")</f>
        <v>Oct</v>
      </c>
      <c r="C1673" s="103" t="s">
        <v>86</v>
      </c>
      <c r="D1673" s="103" t="s">
        <v>101</v>
      </c>
      <c r="E1673" s="103" t="s">
        <v>93</v>
      </c>
      <c r="F1673" s="103" t="s">
        <v>1694</v>
      </c>
      <c r="G1673" s="104">
        <v>1094.3504</v>
      </c>
      <c r="H1673" s="105">
        <v>1243.58</v>
      </c>
    </row>
    <row r="1674" spans="1:8">
      <c r="A1674" s="97">
        <v>38270</v>
      </c>
      <c r="B1674" s="97" t="str">
        <f>TEXT($A1674,"mmm")</f>
        <v>Oct</v>
      </c>
      <c r="C1674" s="99" t="s">
        <v>86</v>
      </c>
      <c r="D1674" s="99" t="s">
        <v>98</v>
      </c>
      <c r="E1674" s="99" t="s">
        <v>108</v>
      </c>
      <c r="F1674" s="99" t="s">
        <v>1695</v>
      </c>
      <c r="G1674" s="100">
        <v>6417.6632</v>
      </c>
      <c r="H1674" s="101">
        <v>9437.74</v>
      </c>
    </row>
    <row r="1675" spans="1:8">
      <c r="A1675" s="102">
        <v>38270</v>
      </c>
      <c r="B1675" s="102" t="str">
        <f>TEXT($A1675,"mmm")</f>
        <v>Oct</v>
      </c>
      <c r="C1675" s="103" t="s">
        <v>79</v>
      </c>
      <c r="D1675" s="103" t="s">
        <v>114</v>
      </c>
      <c r="E1675" s="103" t="s">
        <v>120</v>
      </c>
      <c r="F1675" s="103" t="s">
        <v>1696</v>
      </c>
      <c r="G1675" s="104">
        <v>6162.9149999999991</v>
      </c>
      <c r="H1675" s="105">
        <v>8217.2199999999993</v>
      </c>
    </row>
    <row r="1676" spans="1:8">
      <c r="A1676" s="97">
        <v>38270</v>
      </c>
      <c r="B1676" s="97" t="str">
        <f>TEXT($A1676,"mmm")</f>
        <v>Oct</v>
      </c>
      <c r="C1676" s="99" t="s">
        <v>104</v>
      </c>
      <c r="D1676" s="99" t="s">
        <v>98</v>
      </c>
      <c r="E1676" s="99" t="s">
        <v>96</v>
      </c>
      <c r="F1676" s="99" t="s">
        <v>1697</v>
      </c>
      <c r="G1676" s="100">
        <v>434.61439999999999</v>
      </c>
      <c r="H1676" s="101">
        <v>493.88</v>
      </c>
    </row>
    <row r="1677" spans="1:8">
      <c r="A1677" s="102">
        <v>38269</v>
      </c>
      <c r="B1677" s="102" t="str">
        <f>TEXT($A1677,"mmm")</f>
        <v>Oct</v>
      </c>
      <c r="C1677" s="103" t="s">
        <v>86</v>
      </c>
      <c r="D1677" s="103" t="s">
        <v>127</v>
      </c>
      <c r="E1677" s="103" t="s">
        <v>105</v>
      </c>
      <c r="F1677" s="103" t="s">
        <v>1559</v>
      </c>
      <c r="G1677" s="104">
        <v>5723.3220000000001</v>
      </c>
      <c r="H1677" s="105">
        <v>8416.65</v>
      </c>
    </row>
    <row r="1678" spans="1:8">
      <c r="A1678" s="97">
        <v>38269</v>
      </c>
      <c r="B1678" s="97" t="str">
        <f>TEXT($A1678,"mmm")</f>
        <v>Oct</v>
      </c>
      <c r="C1678" s="99" t="s">
        <v>107</v>
      </c>
      <c r="D1678" s="99" t="s">
        <v>80</v>
      </c>
      <c r="E1678" s="99" t="s">
        <v>96</v>
      </c>
      <c r="F1678" s="99" t="s">
        <v>1698</v>
      </c>
      <c r="G1678" s="100">
        <v>3347.6670000000004</v>
      </c>
      <c r="H1678" s="101">
        <v>7439.26</v>
      </c>
    </row>
    <row r="1679" spans="1:8">
      <c r="A1679" s="102">
        <v>38269</v>
      </c>
      <c r="B1679" s="102" t="str">
        <f>TEXT($A1679,"mmm")</f>
        <v>Oct</v>
      </c>
      <c r="C1679" s="103" t="s">
        <v>79</v>
      </c>
      <c r="D1679" s="103" t="s">
        <v>98</v>
      </c>
      <c r="E1679" s="103" t="s">
        <v>129</v>
      </c>
      <c r="F1679" s="103" t="s">
        <v>1699</v>
      </c>
      <c r="G1679" s="104">
        <v>5385.81</v>
      </c>
      <c r="H1679" s="105">
        <v>7181.08</v>
      </c>
    </row>
    <row r="1680" spans="1:8">
      <c r="A1680" s="97">
        <v>38269</v>
      </c>
      <c r="B1680" s="97" t="str">
        <f>TEXT($A1680,"mmm")</f>
        <v>Oct</v>
      </c>
      <c r="C1680" s="99" t="s">
        <v>79</v>
      </c>
      <c r="D1680" s="99" t="s">
        <v>98</v>
      </c>
      <c r="E1680" s="99" t="s">
        <v>99</v>
      </c>
      <c r="F1680" s="99" t="s">
        <v>1700</v>
      </c>
      <c r="G1680" s="100">
        <v>1935.6095</v>
      </c>
      <c r="H1680" s="101">
        <v>3519.29</v>
      </c>
    </row>
    <row r="1681" spans="1:8">
      <c r="A1681" s="102">
        <v>38269</v>
      </c>
      <c r="B1681" s="102" t="str">
        <f>TEXT($A1681,"mmm")</f>
        <v>Oct</v>
      </c>
      <c r="C1681" s="103" t="s">
        <v>79</v>
      </c>
      <c r="D1681" s="103" t="s">
        <v>98</v>
      </c>
      <c r="E1681" s="103" t="s">
        <v>81</v>
      </c>
      <c r="F1681" s="103" t="s">
        <v>1701</v>
      </c>
      <c r="G1681" s="104">
        <v>1742.925</v>
      </c>
      <c r="H1681" s="105">
        <v>2323.9</v>
      </c>
    </row>
    <row r="1682" spans="1:8">
      <c r="A1682" s="97">
        <v>38268</v>
      </c>
      <c r="B1682" s="97" t="str">
        <f>TEXT($A1682,"mmm")</f>
        <v>Oct</v>
      </c>
      <c r="C1682" s="99" t="s">
        <v>104</v>
      </c>
      <c r="D1682" s="99" t="s">
        <v>127</v>
      </c>
      <c r="E1682" s="99" t="s">
        <v>122</v>
      </c>
      <c r="F1682" s="99" t="s">
        <v>1702</v>
      </c>
      <c r="G1682" s="100">
        <v>7750.4768000000004</v>
      </c>
      <c r="H1682" s="101">
        <v>8807.36</v>
      </c>
    </row>
    <row r="1683" spans="1:8">
      <c r="A1683" s="102">
        <v>38267</v>
      </c>
      <c r="B1683" s="102" t="str">
        <f>TEXT($A1683,"mmm")</f>
        <v>Oct</v>
      </c>
      <c r="C1683" s="103" t="s">
        <v>79</v>
      </c>
      <c r="D1683" s="103" t="s">
        <v>101</v>
      </c>
      <c r="E1683" s="103" t="s">
        <v>89</v>
      </c>
      <c r="F1683" s="103" t="s">
        <v>1703</v>
      </c>
      <c r="G1683" s="104">
        <v>5417.6813999999995</v>
      </c>
      <c r="H1683" s="105">
        <v>9340.83</v>
      </c>
    </row>
    <row r="1684" spans="1:8">
      <c r="A1684" s="97">
        <v>38267</v>
      </c>
      <c r="B1684" s="97" t="str">
        <f>TEXT($A1684,"mmm")</f>
        <v>Oct</v>
      </c>
      <c r="C1684" s="99" t="s">
        <v>79</v>
      </c>
      <c r="D1684" s="99" t="s">
        <v>127</v>
      </c>
      <c r="E1684" s="99" t="s">
        <v>94</v>
      </c>
      <c r="F1684" s="99" t="s">
        <v>1704</v>
      </c>
      <c r="G1684" s="100">
        <v>3454.6788999999999</v>
      </c>
      <c r="H1684" s="101">
        <v>9336.9699999999993</v>
      </c>
    </row>
    <row r="1685" spans="1:8">
      <c r="A1685" s="102">
        <v>38267</v>
      </c>
      <c r="B1685" s="102" t="str">
        <f>TEXT($A1685,"mmm")</f>
        <v>Oct</v>
      </c>
      <c r="C1685" s="103" t="s">
        <v>107</v>
      </c>
      <c r="D1685" s="103" t="s">
        <v>95</v>
      </c>
      <c r="E1685" s="103" t="s">
        <v>129</v>
      </c>
      <c r="F1685" s="103" t="s">
        <v>1705</v>
      </c>
      <c r="G1685" s="104">
        <v>4572.0065999999997</v>
      </c>
      <c r="H1685" s="105">
        <v>7882.77</v>
      </c>
    </row>
    <row r="1686" spans="1:8">
      <c r="A1686" s="97">
        <v>38267</v>
      </c>
      <c r="B1686" s="97" t="str">
        <f>TEXT($A1686,"mmm")</f>
        <v>Oct</v>
      </c>
      <c r="C1686" s="99" t="s">
        <v>116</v>
      </c>
      <c r="D1686" s="99" t="s">
        <v>114</v>
      </c>
      <c r="E1686" s="99" t="s">
        <v>105</v>
      </c>
      <c r="F1686" s="99" t="s">
        <v>1706</v>
      </c>
      <c r="G1686" s="100">
        <v>4574.7884000000004</v>
      </c>
      <c r="H1686" s="101">
        <v>6727.63</v>
      </c>
    </row>
    <row r="1687" spans="1:8">
      <c r="A1687" s="102">
        <v>38267</v>
      </c>
      <c r="B1687" s="102" t="str">
        <f>TEXT($A1687,"mmm")</f>
        <v>Oct</v>
      </c>
      <c r="C1687" s="103" t="s">
        <v>79</v>
      </c>
      <c r="D1687" s="103" t="s">
        <v>95</v>
      </c>
      <c r="E1687" s="103" t="s">
        <v>129</v>
      </c>
      <c r="F1687" s="103" t="s">
        <v>1707</v>
      </c>
      <c r="G1687" s="104">
        <v>1155.0808</v>
      </c>
      <c r="H1687" s="105">
        <v>3121.84</v>
      </c>
    </row>
    <row r="1688" spans="1:8">
      <c r="A1688" s="97">
        <v>38267</v>
      </c>
      <c r="B1688" s="97" t="str">
        <f>TEXT($A1688,"mmm")</f>
        <v>Oct</v>
      </c>
      <c r="C1688" s="99" t="s">
        <v>86</v>
      </c>
      <c r="D1688" s="99" t="s">
        <v>87</v>
      </c>
      <c r="E1688" s="99" t="s">
        <v>89</v>
      </c>
      <c r="F1688" s="99" t="s">
        <v>1708</v>
      </c>
      <c r="G1688" s="100">
        <v>2251.4272000000001</v>
      </c>
      <c r="H1688" s="101">
        <v>2558.44</v>
      </c>
    </row>
    <row r="1689" spans="1:8">
      <c r="A1689" s="102">
        <v>38266</v>
      </c>
      <c r="B1689" s="102" t="str">
        <f>TEXT($A1689,"mmm")</f>
        <v>Oct</v>
      </c>
      <c r="C1689" s="103" t="s">
        <v>79</v>
      </c>
      <c r="D1689" s="103" t="s">
        <v>127</v>
      </c>
      <c r="E1689" s="103" t="s">
        <v>99</v>
      </c>
      <c r="F1689" s="103" t="s">
        <v>1709</v>
      </c>
      <c r="G1689" s="104">
        <v>3671.5798</v>
      </c>
      <c r="H1689" s="105">
        <v>6330.31</v>
      </c>
    </row>
    <row r="1690" spans="1:8">
      <c r="A1690" s="97">
        <v>38266</v>
      </c>
      <c r="B1690" s="97" t="str">
        <f>TEXT($A1690,"mmm")</f>
        <v>Oct</v>
      </c>
      <c r="C1690" s="99" t="s">
        <v>104</v>
      </c>
      <c r="D1690" s="99" t="s">
        <v>127</v>
      </c>
      <c r="E1690" s="99" t="s">
        <v>93</v>
      </c>
      <c r="F1690" s="99" t="s">
        <v>1710</v>
      </c>
      <c r="G1690" s="100">
        <v>1547.1495</v>
      </c>
      <c r="H1690" s="101">
        <v>3438.11</v>
      </c>
    </row>
    <row r="1691" spans="1:8">
      <c r="A1691" s="102">
        <v>38265</v>
      </c>
      <c r="B1691" s="102" t="str">
        <f>TEXT($A1691,"mmm")</f>
        <v>Oct</v>
      </c>
      <c r="C1691" s="103" t="s">
        <v>116</v>
      </c>
      <c r="D1691" s="103" t="s">
        <v>95</v>
      </c>
      <c r="E1691" s="103" t="s">
        <v>144</v>
      </c>
      <c r="F1691" s="103" t="s">
        <v>1711</v>
      </c>
      <c r="G1691" s="104">
        <v>2580.172</v>
      </c>
      <c r="H1691" s="105">
        <v>6000.4</v>
      </c>
    </row>
    <row r="1692" spans="1:8">
      <c r="A1692" s="97">
        <v>38265</v>
      </c>
      <c r="B1692" s="97" t="str">
        <f>TEXT($A1692,"mmm")</f>
        <v>Oct</v>
      </c>
      <c r="C1692" s="99" t="s">
        <v>79</v>
      </c>
      <c r="D1692" s="99" t="s">
        <v>87</v>
      </c>
      <c r="E1692" s="99" t="s">
        <v>94</v>
      </c>
      <c r="F1692" s="99" t="s">
        <v>1712</v>
      </c>
      <c r="G1692" s="100">
        <v>851.52750000000003</v>
      </c>
      <c r="H1692" s="101">
        <v>1135.3699999999999</v>
      </c>
    </row>
    <row r="1693" spans="1:8">
      <c r="A1693" s="102">
        <v>38264</v>
      </c>
      <c r="B1693" s="102" t="str">
        <f>TEXT($A1693,"mmm")</f>
        <v>Oct</v>
      </c>
      <c r="C1693" s="103" t="s">
        <v>107</v>
      </c>
      <c r="D1693" s="103" t="s">
        <v>114</v>
      </c>
      <c r="E1693" s="103" t="s">
        <v>122</v>
      </c>
      <c r="F1693" s="103" t="s">
        <v>1713</v>
      </c>
      <c r="G1693" s="104">
        <v>4398.0632000000005</v>
      </c>
      <c r="H1693" s="105">
        <v>6467.74</v>
      </c>
    </row>
    <row r="1694" spans="1:8">
      <c r="A1694" s="97">
        <v>38264</v>
      </c>
      <c r="B1694" s="97" t="str">
        <f>TEXT($A1694,"mmm")</f>
        <v>Oct</v>
      </c>
      <c r="C1694" s="99" t="s">
        <v>79</v>
      </c>
      <c r="D1694" s="99" t="s">
        <v>127</v>
      </c>
      <c r="E1694" s="99" t="s">
        <v>96</v>
      </c>
      <c r="F1694" s="99" t="s">
        <v>1574</v>
      </c>
      <c r="G1694" s="100">
        <v>3946.7250000000004</v>
      </c>
      <c r="H1694" s="101">
        <v>5262.3</v>
      </c>
    </row>
    <row r="1695" spans="1:8">
      <c r="A1695" s="102">
        <v>38263</v>
      </c>
      <c r="B1695" s="102" t="str">
        <f>TEXT($A1695,"mmm")</f>
        <v>Oct</v>
      </c>
      <c r="C1695" s="103" t="s">
        <v>86</v>
      </c>
      <c r="D1695" s="103" t="s">
        <v>127</v>
      </c>
      <c r="E1695" s="103" t="s">
        <v>93</v>
      </c>
      <c r="F1695" s="103" t="s">
        <v>1714</v>
      </c>
      <c r="G1695" s="104">
        <v>2774.7771000000002</v>
      </c>
      <c r="H1695" s="105">
        <v>6452.97</v>
      </c>
    </row>
    <row r="1696" spans="1:8">
      <c r="A1696" s="97">
        <v>38263</v>
      </c>
      <c r="B1696" s="97" t="str">
        <f>TEXT($A1696,"mmm")</f>
        <v>Oct</v>
      </c>
      <c r="C1696" s="99" t="s">
        <v>86</v>
      </c>
      <c r="D1696" s="99" t="s">
        <v>127</v>
      </c>
      <c r="E1696" s="99" t="s">
        <v>129</v>
      </c>
      <c r="F1696" s="99" t="s">
        <v>1715</v>
      </c>
      <c r="G1696" s="100">
        <v>2067.7635</v>
      </c>
      <c r="H1696" s="101">
        <v>5588.55</v>
      </c>
    </row>
    <row r="1697" spans="1:8">
      <c r="A1697" s="102">
        <v>38263</v>
      </c>
      <c r="B1697" s="102" t="str">
        <f>TEXT($A1697,"mmm")</f>
        <v>Oct</v>
      </c>
      <c r="C1697" s="103" t="s">
        <v>107</v>
      </c>
      <c r="D1697" s="103" t="s">
        <v>98</v>
      </c>
      <c r="E1697" s="103" t="s">
        <v>94</v>
      </c>
      <c r="F1697" s="103" t="s">
        <v>1716</v>
      </c>
      <c r="G1697" s="104">
        <v>975.03359999999998</v>
      </c>
      <c r="H1697" s="105">
        <v>2267.52</v>
      </c>
    </row>
    <row r="1698" spans="1:8">
      <c r="A1698" s="97">
        <v>38263</v>
      </c>
      <c r="B1698" s="97" t="str">
        <f>TEXT($A1698,"mmm")</f>
        <v>Oct</v>
      </c>
      <c r="C1698" s="99" t="s">
        <v>86</v>
      </c>
      <c r="D1698" s="99" t="s">
        <v>127</v>
      </c>
      <c r="E1698" s="99" t="s">
        <v>96</v>
      </c>
      <c r="F1698" s="99" t="s">
        <v>1717</v>
      </c>
      <c r="G1698" s="100">
        <v>939.96280000000002</v>
      </c>
      <c r="H1698" s="101">
        <v>2185.96</v>
      </c>
    </row>
    <row r="1699" spans="1:8">
      <c r="A1699" s="102">
        <v>38263</v>
      </c>
      <c r="B1699" s="102" t="str">
        <f>TEXT($A1699,"mmm")</f>
        <v>Oct</v>
      </c>
      <c r="C1699" s="103" t="s">
        <v>79</v>
      </c>
      <c r="D1699" s="103" t="s">
        <v>101</v>
      </c>
      <c r="E1699" s="103" t="s">
        <v>99</v>
      </c>
      <c r="F1699" s="103" t="s">
        <v>1718</v>
      </c>
      <c r="G1699" s="104">
        <v>387.57099999999997</v>
      </c>
      <c r="H1699" s="105">
        <v>656.9</v>
      </c>
    </row>
    <row r="1700" spans="1:8">
      <c r="A1700" s="97">
        <v>38262</v>
      </c>
      <c r="B1700" s="97" t="str">
        <f>TEXT($A1700,"mmm")</f>
        <v>Oct</v>
      </c>
      <c r="C1700" s="99" t="s">
        <v>116</v>
      </c>
      <c r="D1700" s="99" t="s">
        <v>101</v>
      </c>
      <c r="E1700" s="99" t="s">
        <v>99</v>
      </c>
      <c r="F1700" s="99" t="s">
        <v>1719</v>
      </c>
      <c r="G1700" s="100">
        <v>7266.9135000000006</v>
      </c>
      <c r="H1700" s="101">
        <v>7772.1</v>
      </c>
    </row>
    <row r="1701" spans="1:8">
      <c r="A1701" s="102">
        <v>38262</v>
      </c>
      <c r="B1701" s="102" t="str">
        <f>TEXT($A1701,"mmm")</f>
        <v>Oct</v>
      </c>
      <c r="C1701" s="103" t="s">
        <v>116</v>
      </c>
      <c r="D1701" s="103" t="s">
        <v>92</v>
      </c>
      <c r="E1701" s="103" t="s">
        <v>93</v>
      </c>
      <c r="F1701" s="103" t="s">
        <v>1720</v>
      </c>
      <c r="G1701" s="104">
        <v>6662.8287000000009</v>
      </c>
      <c r="H1701" s="105">
        <v>7126.02</v>
      </c>
    </row>
    <row r="1702" spans="1:8">
      <c r="A1702" s="97">
        <v>38262</v>
      </c>
      <c r="B1702" s="97" t="str">
        <f>TEXT($A1702,"mmm")</f>
        <v>Oct</v>
      </c>
      <c r="C1702" s="99" t="s">
        <v>104</v>
      </c>
      <c r="D1702" s="99" t="s">
        <v>98</v>
      </c>
      <c r="E1702" s="99" t="s">
        <v>93</v>
      </c>
      <c r="F1702" s="99" t="s">
        <v>1721</v>
      </c>
      <c r="G1702" s="100">
        <v>2578.5144</v>
      </c>
      <c r="H1702" s="101">
        <v>2930.13</v>
      </c>
    </row>
    <row r="1703" spans="1:8">
      <c r="A1703" s="102">
        <v>38261</v>
      </c>
      <c r="B1703" s="102" t="str">
        <f>TEXT($A1703,"mmm")</f>
        <v>Oct</v>
      </c>
      <c r="C1703" s="103" t="s">
        <v>104</v>
      </c>
      <c r="D1703" s="103" t="s">
        <v>80</v>
      </c>
      <c r="E1703" s="103" t="s">
        <v>144</v>
      </c>
      <c r="F1703" s="103" t="s">
        <v>1722</v>
      </c>
      <c r="G1703" s="104">
        <v>6615.39</v>
      </c>
      <c r="H1703" s="105">
        <v>8820.52</v>
      </c>
    </row>
    <row r="1704" spans="1:8">
      <c r="A1704" s="97">
        <v>38261</v>
      </c>
      <c r="B1704" s="97" t="str">
        <f>TEXT($A1704,"mmm")</f>
        <v>Oct</v>
      </c>
      <c r="C1704" s="99" t="s">
        <v>104</v>
      </c>
      <c r="D1704" s="99" t="s">
        <v>101</v>
      </c>
      <c r="E1704" s="99" t="s">
        <v>83</v>
      </c>
      <c r="F1704" s="99" t="s">
        <v>1723</v>
      </c>
      <c r="G1704" s="100">
        <v>4539.4910000000009</v>
      </c>
      <c r="H1704" s="101">
        <v>8253.6200000000008</v>
      </c>
    </row>
    <row r="1705" spans="1:8">
      <c r="A1705" s="102">
        <v>38261</v>
      </c>
      <c r="B1705" s="102" t="str">
        <f>TEXT($A1705,"mmm")</f>
        <v>Oct</v>
      </c>
      <c r="C1705" s="103" t="s">
        <v>86</v>
      </c>
      <c r="D1705" s="103" t="s">
        <v>101</v>
      </c>
      <c r="E1705" s="103" t="s">
        <v>120</v>
      </c>
      <c r="F1705" s="103" t="s">
        <v>1724</v>
      </c>
      <c r="G1705" s="104">
        <v>3017.9487999999997</v>
      </c>
      <c r="H1705" s="105">
        <v>5203.3599999999997</v>
      </c>
    </row>
    <row r="1706" spans="1:8">
      <c r="A1706" s="97">
        <v>38260</v>
      </c>
      <c r="B1706" s="97" t="str">
        <f>TEXT($A1706,"mmm")</f>
        <v>Sep</v>
      </c>
      <c r="C1706" s="99" t="s">
        <v>107</v>
      </c>
      <c r="D1706" s="99" t="s">
        <v>98</v>
      </c>
      <c r="E1706" s="99" t="s">
        <v>122</v>
      </c>
      <c r="F1706" s="99" t="s">
        <v>1725</v>
      </c>
      <c r="G1706" s="100">
        <v>3523.6395000000002</v>
      </c>
      <c r="H1706" s="101">
        <v>9523.35</v>
      </c>
    </row>
    <row r="1707" spans="1:8">
      <c r="A1707" s="102">
        <v>38260</v>
      </c>
      <c r="B1707" s="102" t="str">
        <f>TEXT($A1707,"mmm")</f>
        <v>Sep</v>
      </c>
      <c r="C1707" s="103" t="s">
        <v>107</v>
      </c>
      <c r="D1707" s="103" t="s">
        <v>101</v>
      </c>
      <c r="E1707" s="103" t="s">
        <v>83</v>
      </c>
      <c r="F1707" s="103" t="s">
        <v>1726</v>
      </c>
      <c r="G1707" s="104">
        <v>5505.8645999999999</v>
      </c>
      <c r="H1707" s="105">
        <v>9492.8700000000008</v>
      </c>
    </row>
    <row r="1708" spans="1:8">
      <c r="A1708" s="97">
        <v>38260</v>
      </c>
      <c r="B1708" s="97" t="str">
        <f>TEXT($A1708,"mmm")</f>
        <v>Sep</v>
      </c>
      <c r="C1708" s="99" t="s">
        <v>116</v>
      </c>
      <c r="D1708" s="99" t="s">
        <v>87</v>
      </c>
      <c r="E1708" s="99" t="s">
        <v>122</v>
      </c>
      <c r="F1708" s="99" t="s">
        <v>1727</v>
      </c>
      <c r="G1708" s="100">
        <v>3236.7341000000001</v>
      </c>
      <c r="H1708" s="101">
        <v>8747.93</v>
      </c>
    </row>
    <row r="1709" spans="1:8">
      <c r="A1709" s="102">
        <v>38260</v>
      </c>
      <c r="B1709" s="102" t="str">
        <f>TEXT($A1709,"mmm")</f>
        <v>Sep</v>
      </c>
      <c r="C1709" s="103" t="s">
        <v>104</v>
      </c>
      <c r="D1709" s="103" t="s">
        <v>87</v>
      </c>
      <c r="E1709" s="103" t="s">
        <v>105</v>
      </c>
      <c r="F1709" s="103" t="s">
        <v>1728</v>
      </c>
      <c r="G1709" s="104">
        <v>2844.6118000000001</v>
      </c>
      <c r="H1709" s="105">
        <v>7688.14</v>
      </c>
    </row>
    <row r="1710" spans="1:8">
      <c r="A1710" s="97">
        <v>38260</v>
      </c>
      <c r="B1710" s="97" t="str">
        <f>TEXT($A1710,"mmm")</f>
        <v>Sep</v>
      </c>
      <c r="C1710" s="99" t="s">
        <v>116</v>
      </c>
      <c r="D1710" s="99" t="s">
        <v>80</v>
      </c>
      <c r="E1710" s="99" t="s">
        <v>122</v>
      </c>
      <c r="F1710" s="99" t="s">
        <v>1729</v>
      </c>
      <c r="G1710" s="100">
        <v>6348.0889999999999</v>
      </c>
      <c r="H1710" s="101">
        <v>6789.4</v>
      </c>
    </row>
    <row r="1711" spans="1:8">
      <c r="A1711" s="102">
        <v>38260</v>
      </c>
      <c r="B1711" s="102" t="str">
        <f>TEXT($A1711,"mmm")</f>
        <v>Sep</v>
      </c>
      <c r="C1711" s="103" t="s">
        <v>107</v>
      </c>
      <c r="D1711" s="103" t="s">
        <v>87</v>
      </c>
      <c r="E1711" s="103" t="s">
        <v>81</v>
      </c>
      <c r="F1711" s="103" t="s">
        <v>1730</v>
      </c>
      <c r="G1711" s="104">
        <v>2896.0212000000001</v>
      </c>
      <c r="H1711" s="105">
        <v>4993.1400000000003</v>
      </c>
    </row>
    <row r="1712" spans="1:8">
      <c r="A1712" s="97">
        <v>38260</v>
      </c>
      <c r="B1712" s="97" t="str">
        <f>TEXT($A1712,"mmm")</f>
        <v>Sep</v>
      </c>
      <c r="C1712" s="99" t="s">
        <v>86</v>
      </c>
      <c r="D1712" s="99" t="s">
        <v>95</v>
      </c>
      <c r="E1712" s="99" t="s">
        <v>108</v>
      </c>
      <c r="F1712" s="99" t="s">
        <v>1731</v>
      </c>
      <c r="G1712" s="100">
        <v>2121.6734999999999</v>
      </c>
      <c r="H1712" s="101">
        <v>4714.83</v>
      </c>
    </row>
    <row r="1713" spans="1:8">
      <c r="A1713" s="102">
        <v>38260</v>
      </c>
      <c r="B1713" s="102" t="str">
        <f>TEXT($A1713,"mmm")</f>
        <v>Sep</v>
      </c>
      <c r="C1713" s="103" t="s">
        <v>116</v>
      </c>
      <c r="D1713" s="103" t="s">
        <v>80</v>
      </c>
      <c r="E1713" s="103" t="s">
        <v>99</v>
      </c>
      <c r="F1713" s="103" t="s">
        <v>1732</v>
      </c>
      <c r="G1713" s="104">
        <v>500.88749999999999</v>
      </c>
      <c r="H1713" s="105">
        <v>1353.75</v>
      </c>
    </row>
    <row r="1714" spans="1:8">
      <c r="A1714" s="97">
        <v>38260</v>
      </c>
      <c r="B1714" s="97" t="str">
        <f>TEXT($A1714,"mmm")</f>
        <v>Sep</v>
      </c>
      <c r="C1714" s="99" t="s">
        <v>116</v>
      </c>
      <c r="D1714" s="99" t="s">
        <v>92</v>
      </c>
      <c r="E1714" s="99" t="s">
        <v>120</v>
      </c>
      <c r="F1714" s="99" t="s">
        <v>1733</v>
      </c>
      <c r="G1714" s="100">
        <v>444.07</v>
      </c>
      <c r="H1714" s="101">
        <v>807.4</v>
      </c>
    </row>
    <row r="1715" spans="1:8">
      <c r="A1715" s="102">
        <v>38259</v>
      </c>
      <c r="B1715" s="102" t="str">
        <f>TEXT($A1715,"mmm")</f>
        <v>Sep</v>
      </c>
      <c r="C1715" s="103" t="s">
        <v>79</v>
      </c>
      <c r="D1715" s="103" t="s">
        <v>98</v>
      </c>
      <c r="E1715" s="103" t="s">
        <v>99</v>
      </c>
      <c r="F1715" s="103" t="s">
        <v>1734</v>
      </c>
      <c r="G1715" s="104">
        <v>4854.4027999999998</v>
      </c>
      <c r="H1715" s="105">
        <v>8369.66</v>
      </c>
    </row>
    <row r="1716" spans="1:8">
      <c r="A1716" s="97">
        <v>38259</v>
      </c>
      <c r="B1716" s="97" t="str">
        <f>TEXT($A1716,"mmm")</f>
        <v>Sep</v>
      </c>
      <c r="C1716" s="99" t="s">
        <v>79</v>
      </c>
      <c r="D1716" s="99" t="s">
        <v>80</v>
      </c>
      <c r="E1716" s="99" t="s">
        <v>83</v>
      </c>
      <c r="F1716" s="99" t="s">
        <v>1735</v>
      </c>
      <c r="G1716" s="100">
        <v>2626.7312000000002</v>
      </c>
      <c r="H1716" s="101">
        <v>3862.84</v>
      </c>
    </row>
    <row r="1717" spans="1:8">
      <c r="A1717" s="102">
        <v>38258</v>
      </c>
      <c r="B1717" s="102" t="str">
        <f>TEXT($A1717,"mmm")</f>
        <v>Sep</v>
      </c>
      <c r="C1717" s="103" t="s">
        <v>86</v>
      </c>
      <c r="D1717" s="103" t="s">
        <v>92</v>
      </c>
      <c r="E1717" s="103" t="s">
        <v>81</v>
      </c>
      <c r="F1717" s="103" t="s">
        <v>1736</v>
      </c>
      <c r="G1717" s="104">
        <v>3581.3564999999999</v>
      </c>
      <c r="H1717" s="105">
        <v>7958.57</v>
      </c>
    </row>
    <row r="1718" spans="1:8">
      <c r="A1718" s="97">
        <v>38258</v>
      </c>
      <c r="B1718" s="97" t="str">
        <f>TEXT($A1718,"mmm")</f>
        <v>Sep</v>
      </c>
      <c r="C1718" s="99" t="s">
        <v>79</v>
      </c>
      <c r="D1718" s="99" t="s">
        <v>127</v>
      </c>
      <c r="E1718" s="99" t="s">
        <v>93</v>
      </c>
      <c r="F1718" s="99" t="s">
        <v>1737</v>
      </c>
      <c r="G1718" s="100">
        <v>1582.7476000000001</v>
      </c>
      <c r="H1718" s="101">
        <v>2327.5700000000002</v>
      </c>
    </row>
    <row r="1719" spans="1:8">
      <c r="A1719" s="102">
        <v>38256</v>
      </c>
      <c r="B1719" s="102" t="str">
        <f>TEXT($A1719,"mmm")</f>
        <v>Sep</v>
      </c>
      <c r="C1719" s="103" t="s">
        <v>107</v>
      </c>
      <c r="D1719" s="103" t="s">
        <v>80</v>
      </c>
      <c r="E1719" s="103" t="s">
        <v>89</v>
      </c>
      <c r="F1719" s="103" t="s">
        <v>1738</v>
      </c>
      <c r="G1719" s="104">
        <v>3621.1504000000004</v>
      </c>
      <c r="H1719" s="105">
        <v>8421.2800000000007</v>
      </c>
    </row>
    <row r="1720" spans="1:8">
      <c r="A1720" s="97">
        <v>38256</v>
      </c>
      <c r="B1720" s="97" t="str">
        <f>TEXT($A1720,"mmm")</f>
        <v>Sep</v>
      </c>
      <c r="C1720" s="99" t="s">
        <v>116</v>
      </c>
      <c r="D1720" s="99" t="s">
        <v>80</v>
      </c>
      <c r="E1720" s="99" t="s">
        <v>120</v>
      </c>
      <c r="F1720" s="99" t="s">
        <v>1739</v>
      </c>
      <c r="G1720" s="100">
        <v>3590.7685000000001</v>
      </c>
      <c r="H1720" s="101">
        <v>6528.67</v>
      </c>
    </row>
    <row r="1721" spans="1:8">
      <c r="A1721" s="102">
        <v>38256</v>
      </c>
      <c r="B1721" s="102" t="str">
        <f>TEXT($A1721,"mmm")</f>
        <v>Sep</v>
      </c>
      <c r="C1721" s="103" t="s">
        <v>86</v>
      </c>
      <c r="D1721" s="103" t="s">
        <v>98</v>
      </c>
      <c r="E1721" s="103" t="s">
        <v>108</v>
      </c>
      <c r="F1721" s="103" t="s">
        <v>1740</v>
      </c>
      <c r="G1721" s="104">
        <v>1593.8809999999999</v>
      </c>
      <c r="H1721" s="105">
        <v>3706.7</v>
      </c>
    </row>
    <row r="1722" spans="1:8">
      <c r="A1722" s="97">
        <v>38255</v>
      </c>
      <c r="B1722" s="97" t="str">
        <f>TEXT($A1722,"mmm")</f>
        <v>Sep</v>
      </c>
      <c r="C1722" s="99" t="s">
        <v>107</v>
      </c>
      <c r="D1722" s="99" t="s">
        <v>127</v>
      </c>
      <c r="E1722" s="99" t="s">
        <v>83</v>
      </c>
      <c r="F1722" s="99" t="s">
        <v>1741</v>
      </c>
      <c r="G1722" s="100">
        <v>2641.8960000000002</v>
      </c>
      <c r="H1722" s="101">
        <v>5870.88</v>
      </c>
    </row>
    <row r="1723" spans="1:8">
      <c r="A1723" s="102">
        <v>38254</v>
      </c>
      <c r="B1723" s="102" t="str">
        <f>TEXT($A1723,"mmm")</f>
        <v>Sep</v>
      </c>
      <c r="C1723" s="103" t="s">
        <v>107</v>
      </c>
      <c r="D1723" s="103" t="s">
        <v>114</v>
      </c>
      <c r="E1723" s="103" t="s">
        <v>96</v>
      </c>
      <c r="F1723" s="103" t="s">
        <v>1742</v>
      </c>
      <c r="G1723" s="104">
        <v>6159.0388000000003</v>
      </c>
      <c r="H1723" s="105">
        <v>9057.41</v>
      </c>
    </row>
    <row r="1724" spans="1:8">
      <c r="A1724" s="97">
        <v>38254</v>
      </c>
      <c r="B1724" s="97" t="str">
        <f>TEXT($A1724,"mmm")</f>
        <v>Sep</v>
      </c>
      <c r="C1724" s="99" t="s">
        <v>116</v>
      </c>
      <c r="D1724" s="99" t="s">
        <v>80</v>
      </c>
      <c r="E1724" s="99" t="s">
        <v>120</v>
      </c>
      <c r="F1724" s="99" t="s">
        <v>1743</v>
      </c>
      <c r="G1724" s="100">
        <v>2982.5345000000002</v>
      </c>
      <c r="H1724" s="101">
        <v>5422.79</v>
      </c>
    </row>
    <row r="1725" spans="1:8">
      <c r="A1725" s="102">
        <v>38254</v>
      </c>
      <c r="B1725" s="102" t="str">
        <f>TEXT($A1725,"mmm")</f>
        <v>Sep</v>
      </c>
      <c r="C1725" s="103" t="s">
        <v>86</v>
      </c>
      <c r="D1725" s="103" t="s">
        <v>92</v>
      </c>
      <c r="E1725" s="103" t="s">
        <v>99</v>
      </c>
      <c r="F1725" s="103" t="s">
        <v>1744</v>
      </c>
      <c r="G1725" s="104">
        <v>2872.7174999999997</v>
      </c>
      <c r="H1725" s="105">
        <v>3830.29</v>
      </c>
    </row>
    <row r="1726" spans="1:8">
      <c r="A1726" s="97">
        <v>38254</v>
      </c>
      <c r="B1726" s="97" t="str">
        <f>TEXT($A1726,"mmm")</f>
        <v>Sep</v>
      </c>
      <c r="C1726" s="99" t="s">
        <v>104</v>
      </c>
      <c r="D1726" s="99" t="s">
        <v>114</v>
      </c>
      <c r="E1726" s="99" t="s">
        <v>129</v>
      </c>
      <c r="F1726" s="99" t="s">
        <v>1745</v>
      </c>
      <c r="G1726" s="100">
        <v>1267.3980000000001</v>
      </c>
      <c r="H1726" s="101">
        <v>2304.36</v>
      </c>
    </row>
    <row r="1727" spans="1:8">
      <c r="A1727" s="102">
        <v>38254</v>
      </c>
      <c r="B1727" s="102" t="str">
        <f>TEXT($A1727,"mmm")</f>
        <v>Sep</v>
      </c>
      <c r="C1727" s="103" t="s">
        <v>79</v>
      </c>
      <c r="D1727" s="103" t="s">
        <v>127</v>
      </c>
      <c r="E1727" s="103" t="s">
        <v>89</v>
      </c>
      <c r="F1727" s="103" t="s">
        <v>1746</v>
      </c>
      <c r="G1727" s="104">
        <v>756.88800000000003</v>
      </c>
      <c r="H1727" s="105">
        <v>860.1</v>
      </c>
    </row>
    <row r="1728" spans="1:8">
      <c r="A1728" s="97">
        <v>38254</v>
      </c>
      <c r="B1728" s="97" t="str">
        <f>TEXT($A1728,"mmm")</f>
        <v>Sep</v>
      </c>
      <c r="C1728" s="99" t="s">
        <v>107</v>
      </c>
      <c r="D1728" s="99" t="s">
        <v>114</v>
      </c>
      <c r="E1728" s="99" t="s">
        <v>122</v>
      </c>
      <c r="F1728" s="99" t="s">
        <v>1747</v>
      </c>
      <c r="G1728" s="100">
        <v>112.7984</v>
      </c>
      <c r="H1728" s="101">
        <v>128.18</v>
      </c>
    </row>
    <row r="1729" spans="1:8">
      <c r="A1729" s="102">
        <v>38253</v>
      </c>
      <c r="B1729" s="102" t="str">
        <f>TEXT($A1729,"mmm")</f>
        <v>Sep</v>
      </c>
      <c r="C1729" s="103" t="s">
        <v>79</v>
      </c>
      <c r="D1729" s="103" t="s">
        <v>101</v>
      </c>
      <c r="E1729" s="103" t="s">
        <v>93</v>
      </c>
      <c r="F1729" s="103" t="s">
        <v>1748</v>
      </c>
      <c r="G1729" s="104">
        <v>4089.3860000000004</v>
      </c>
      <c r="H1729" s="105">
        <v>9510.2000000000007</v>
      </c>
    </row>
    <row r="1730" spans="1:8">
      <c r="A1730" s="97">
        <v>38253</v>
      </c>
      <c r="B1730" s="97" t="str">
        <f>TEXT($A1730,"mmm")</f>
        <v>Sep</v>
      </c>
      <c r="C1730" s="99" t="s">
        <v>104</v>
      </c>
      <c r="D1730" s="99" t="s">
        <v>114</v>
      </c>
      <c r="E1730" s="99" t="s">
        <v>93</v>
      </c>
      <c r="F1730" s="99" t="s">
        <v>1749</v>
      </c>
      <c r="G1730" s="100">
        <v>4597.5074999999997</v>
      </c>
      <c r="H1730" s="101">
        <v>6130.01</v>
      </c>
    </row>
    <row r="1731" spans="1:8">
      <c r="A1731" s="102">
        <v>38253</v>
      </c>
      <c r="B1731" s="102" t="str">
        <f>TEXT($A1731,"mmm")</f>
        <v>Sep</v>
      </c>
      <c r="C1731" s="103" t="s">
        <v>86</v>
      </c>
      <c r="D1731" s="103" t="s">
        <v>101</v>
      </c>
      <c r="E1731" s="103" t="s">
        <v>99</v>
      </c>
      <c r="F1731" s="103" t="s">
        <v>1750</v>
      </c>
      <c r="G1731" s="104">
        <v>3280.3523999999998</v>
      </c>
      <c r="H1731" s="105">
        <v>5655.78</v>
      </c>
    </row>
    <row r="1732" spans="1:8">
      <c r="A1732" s="97">
        <v>38253</v>
      </c>
      <c r="B1732" s="97" t="str">
        <f>TEXT($A1732,"mmm")</f>
        <v>Sep</v>
      </c>
      <c r="C1732" s="99" t="s">
        <v>79</v>
      </c>
      <c r="D1732" s="99" t="s">
        <v>92</v>
      </c>
      <c r="E1732" s="99" t="s">
        <v>129</v>
      </c>
      <c r="F1732" s="99" t="s">
        <v>1751</v>
      </c>
      <c r="G1732" s="100">
        <v>1559.4981999999998</v>
      </c>
      <c r="H1732" s="101">
        <v>3626.74</v>
      </c>
    </row>
    <row r="1733" spans="1:8">
      <c r="A1733" s="102">
        <v>38253</v>
      </c>
      <c r="B1733" s="102" t="str">
        <f>TEXT($A1733,"mmm")</f>
        <v>Sep</v>
      </c>
      <c r="C1733" s="103" t="s">
        <v>116</v>
      </c>
      <c r="D1733" s="103" t="s">
        <v>101</v>
      </c>
      <c r="E1733" s="103" t="s">
        <v>129</v>
      </c>
      <c r="F1733" s="103" t="s">
        <v>1752</v>
      </c>
      <c r="G1733" s="104">
        <v>1657.1991999999998</v>
      </c>
      <c r="H1733" s="105">
        <v>2857.24</v>
      </c>
    </row>
    <row r="1734" spans="1:8">
      <c r="A1734" s="97">
        <v>38251</v>
      </c>
      <c r="B1734" s="97" t="str">
        <f>TEXT($A1734,"mmm")</f>
        <v>Sep</v>
      </c>
      <c r="C1734" s="99" t="s">
        <v>104</v>
      </c>
      <c r="D1734" s="99" t="s">
        <v>98</v>
      </c>
      <c r="E1734" s="99" t="s">
        <v>96</v>
      </c>
      <c r="F1734" s="99" t="s">
        <v>1753</v>
      </c>
      <c r="G1734" s="100">
        <v>5774.1145999999999</v>
      </c>
      <c r="H1734" s="101">
        <v>9955.3700000000008</v>
      </c>
    </row>
    <row r="1735" spans="1:8">
      <c r="A1735" s="102">
        <v>38251</v>
      </c>
      <c r="B1735" s="102" t="str">
        <f>TEXT($A1735,"mmm")</f>
        <v>Sep</v>
      </c>
      <c r="C1735" s="103" t="s">
        <v>79</v>
      </c>
      <c r="D1735" s="103" t="s">
        <v>95</v>
      </c>
      <c r="E1735" s="103" t="s">
        <v>158</v>
      </c>
      <c r="F1735" s="103" t="s">
        <v>1754</v>
      </c>
      <c r="G1735" s="104">
        <v>2177.0059999999999</v>
      </c>
      <c r="H1735" s="105">
        <v>5883.8</v>
      </c>
    </row>
    <row r="1736" spans="1:8">
      <c r="A1736" s="97">
        <v>38251</v>
      </c>
      <c r="B1736" s="97" t="str">
        <f>TEXT($A1736,"mmm")</f>
        <v>Sep</v>
      </c>
      <c r="C1736" s="99" t="s">
        <v>107</v>
      </c>
      <c r="D1736" s="99" t="s">
        <v>101</v>
      </c>
      <c r="E1736" s="99" t="s">
        <v>108</v>
      </c>
      <c r="F1736" s="99" t="s">
        <v>1755</v>
      </c>
      <c r="G1736" s="100">
        <v>2008.8009999999997</v>
      </c>
      <c r="H1736" s="101">
        <v>3463.45</v>
      </c>
    </row>
    <row r="1737" spans="1:8">
      <c r="A1737" s="102">
        <v>38251</v>
      </c>
      <c r="B1737" s="102" t="str">
        <f>TEXT($A1737,"mmm")</f>
        <v>Sep</v>
      </c>
      <c r="C1737" s="103" t="s">
        <v>86</v>
      </c>
      <c r="D1737" s="103" t="s">
        <v>92</v>
      </c>
      <c r="E1737" s="103" t="s">
        <v>108</v>
      </c>
      <c r="F1737" s="103" t="s">
        <v>1756</v>
      </c>
      <c r="G1737" s="104">
        <v>1101.1422</v>
      </c>
      <c r="H1737" s="105">
        <v>2976.06</v>
      </c>
    </row>
    <row r="1738" spans="1:8">
      <c r="A1738" s="97">
        <v>38250</v>
      </c>
      <c r="B1738" s="97" t="str">
        <f>TEXT($A1738,"mmm")</f>
        <v>Sep</v>
      </c>
      <c r="C1738" s="99" t="s">
        <v>79</v>
      </c>
      <c r="D1738" s="99" t="s">
        <v>114</v>
      </c>
      <c r="E1738" s="99" t="s">
        <v>96</v>
      </c>
      <c r="F1738" s="99" t="s">
        <v>1757</v>
      </c>
      <c r="G1738" s="100">
        <v>6055.1832000000004</v>
      </c>
      <c r="H1738" s="101">
        <v>6880.89</v>
      </c>
    </row>
    <row r="1739" spans="1:8">
      <c r="A1739" s="102">
        <v>38250</v>
      </c>
      <c r="B1739" s="102" t="str">
        <f>TEXT($A1739,"mmm")</f>
        <v>Sep</v>
      </c>
      <c r="C1739" s="103" t="s">
        <v>79</v>
      </c>
      <c r="D1739" s="103" t="s">
        <v>101</v>
      </c>
      <c r="E1739" s="103" t="s">
        <v>129</v>
      </c>
      <c r="F1739" s="103" t="s">
        <v>1758</v>
      </c>
      <c r="G1739" s="104">
        <v>2081.2875000000004</v>
      </c>
      <c r="H1739" s="105">
        <v>2775.05</v>
      </c>
    </row>
    <row r="1740" spans="1:8">
      <c r="A1740" s="97">
        <v>38250</v>
      </c>
      <c r="B1740" s="97" t="str">
        <f>TEXT($A1740,"mmm")</f>
        <v>Sep</v>
      </c>
      <c r="C1740" s="99" t="s">
        <v>107</v>
      </c>
      <c r="D1740" s="99" t="s">
        <v>87</v>
      </c>
      <c r="E1740" s="99" t="s">
        <v>99</v>
      </c>
      <c r="F1740" s="99" t="s">
        <v>1759</v>
      </c>
      <c r="G1740" s="100">
        <v>939.33159999999998</v>
      </c>
      <c r="H1740" s="101">
        <v>1381.37</v>
      </c>
    </row>
    <row r="1741" spans="1:8">
      <c r="A1741" s="102">
        <v>38249</v>
      </c>
      <c r="B1741" s="102" t="str">
        <f>TEXT($A1741,"mmm")</f>
        <v>Sep</v>
      </c>
      <c r="C1741" s="103" t="s">
        <v>86</v>
      </c>
      <c r="D1741" s="103" t="s">
        <v>101</v>
      </c>
      <c r="E1741" s="103" t="s">
        <v>93</v>
      </c>
      <c r="F1741" s="103" t="s">
        <v>1760</v>
      </c>
      <c r="G1741" s="104">
        <v>5342.1131500000001</v>
      </c>
      <c r="H1741" s="105">
        <v>5713.49</v>
      </c>
    </row>
    <row r="1742" spans="1:8">
      <c r="A1742" s="97">
        <v>38249</v>
      </c>
      <c r="B1742" s="97" t="str">
        <f>TEXT($A1742,"mmm")</f>
        <v>Sep</v>
      </c>
      <c r="C1742" s="99" t="s">
        <v>79</v>
      </c>
      <c r="D1742" s="99" t="s">
        <v>101</v>
      </c>
      <c r="E1742" s="99" t="s">
        <v>81</v>
      </c>
      <c r="F1742" s="99" t="s">
        <v>1761</v>
      </c>
      <c r="G1742" s="100">
        <v>2145.6071999999999</v>
      </c>
      <c r="H1742" s="101">
        <v>2438.19</v>
      </c>
    </row>
    <row r="1743" spans="1:8">
      <c r="A1743" s="102">
        <v>38249</v>
      </c>
      <c r="B1743" s="102" t="str">
        <f>TEXT($A1743,"mmm")</f>
        <v>Sep</v>
      </c>
      <c r="C1743" s="103" t="s">
        <v>107</v>
      </c>
      <c r="D1743" s="103" t="s">
        <v>114</v>
      </c>
      <c r="E1743" s="103" t="s">
        <v>122</v>
      </c>
      <c r="F1743" s="103" t="s">
        <v>1762</v>
      </c>
      <c r="G1743" s="104">
        <v>115.3515</v>
      </c>
      <c r="H1743" s="105">
        <v>209.73</v>
      </c>
    </row>
    <row r="1744" spans="1:8">
      <c r="A1744" s="97">
        <v>38248</v>
      </c>
      <c r="B1744" s="97" t="str">
        <f>TEXT($A1744,"mmm")</f>
        <v>Sep</v>
      </c>
      <c r="C1744" s="99" t="s">
        <v>104</v>
      </c>
      <c r="D1744" s="99" t="s">
        <v>92</v>
      </c>
      <c r="E1744" s="99" t="s">
        <v>144</v>
      </c>
      <c r="F1744" s="99" t="s">
        <v>1763</v>
      </c>
      <c r="G1744" s="100">
        <v>5773.1677</v>
      </c>
      <c r="H1744" s="101">
        <v>9785.0300000000007</v>
      </c>
    </row>
    <row r="1745" spans="1:8">
      <c r="A1745" s="102">
        <v>38248</v>
      </c>
      <c r="B1745" s="102" t="str">
        <f>TEXT($A1745,"mmm")</f>
        <v>Sep</v>
      </c>
      <c r="C1745" s="103" t="s">
        <v>86</v>
      </c>
      <c r="D1745" s="103" t="s">
        <v>80</v>
      </c>
      <c r="E1745" s="103" t="s">
        <v>129</v>
      </c>
      <c r="F1745" s="103" t="s">
        <v>1764</v>
      </c>
      <c r="G1745" s="104">
        <v>4373.8031999999994</v>
      </c>
      <c r="H1745" s="105">
        <v>7541.04</v>
      </c>
    </row>
    <row r="1746" spans="1:8">
      <c r="A1746" s="97">
        <v>38248</v>
      </c>
      <c r="B1746" s="97" t="str">
        <f>TEXT($A1746,"mmm")</f>
        <v>Sep</v>
      </c>
      <c r="C1746" s="99" t="s">
        <v>79</v>
      </c>
      <c r="D1746" s="99" t="s">
        <v>92</v>
      </c>
      <c r="E1746" s="99" t="s">
        <v>144</v>
      </c>
      <c r="F1746" s="99" t="s">
        <v>1765</v>
      </c>
      <c r="G1746" s="100">
        <v>50.728000000000002</v>
      </c>
      <c r="H1746" s="101">
        <v>74.599999999999994</v>
      </c>
    </row>
    <row r="1747" spans="1:8">
      <c r="A1747" s="102">
        <v>38247</v>
      </c>
      <c r="B1747" s="102" t="str">
        <f>TEXT($A1747,"mmm")</f>
        <v>Sep</v>
      </c>
      <c r="C1747" s="103" t="s">
        <v>86</v>
      </c>
      <c r="D1747" s="103" t="s">
        <v>98</v>
      </c>
      <c r="E1747" s="103" t="s">
        <v>144</v>
      </c>
      <c r="F1747" s="103" t="s">
        <v>432</v>
      </c>
      <c r="G1747" s="104">
        <v>2680.1504999999997</v>
      </c>
      <c r="H1747" s="105">
        <v>7243.65</v>
      </c>
    </row>
    <row r="1748" spans="1:8">
      <c r="A1748" s="97">
        <v>38247</v>
      </c>
      <c r="B1748" s="97" t="str">
        <f>TEXT($A1748,"mmm")</f>
        <v>Sep</v>
      </c>
      <c r="C1748" s="99" t="s">
        <v>79</v>
      </c>
      <c r="D1748" s="99" t="s">
        <v>92</v>
      </c>
      <c r="E1748" s="99" t="s">
        <v>89</v>
      </c>
      <c r="F1748" s="99" t="s">
        <v>1766</v>
      </c>
      <c r="G1748" s="100">
        <v>2852.1680000000006</v>
      </c>
      <c r="H1748" s="101">
        <v>5185.76</v>
      </c>
    </row>
    <row r="1749" spans="1:8">
      <c r="A1749" s="102">
        <v>38247</v>
      </c>
      <c r="B1749" s="102" t="str">
        <f>TEXT($A1749,"mmm")</f>
        <v>Sep</v>
      </c>
      <c r="C1749" s="103" t="s">
        <v>107</v>
      </c>
      <c r="D1749" s="103" t="s">
        <v>114</v>
      </c>
      <c r="E1749" s="103" t="s">
        <v>144</v>
      </c>
      <c r="F1749" s="103" t="s">
        <v>1767</v>
      </c>
      <c r="G1749" s="104">
        <v>913.60770000000002</v>
      </c>
      <c r="H1749" s="105">
        <v>2469.21</v>
      </c>
    </row>
    <row r="1750" spans="1:8">
      <c r="A1750" s="97">
        <v>38246</v>
      </c>
      <c r="B1750" s="97" t="str">
        <f>TEXT($A1750,"mmm")</f>
        <v>Sep</v>
      </c>
      <c r="C1750" s="99" t="s">
        <v>104</v>
      </c>
      <c r="D1750" s="99" t="s">
        <v>92</v>
      </c>
      <c r="E1750" s="99" t="s">
        <v>129</v>
      </c>
      <c r="F1750" s="99" t="s">
        <v>1768</v>
      </c>
      <c r="G1750" s="100">
        <v>5286.0675000000001</v>
      </c>
      <c r="H1750" s="101">
        <v>7048.09</v>
      </c>
    </row>
    <row r="1751" spans="1:8">
      <c r="A1751" s="102">
        <v>38246</v>
      </c>
      <c r="B1751" s="102" t="str">
        <f>TEXT($A1751,"mmm")</f>
        <v>Sep</v>
      </c>
      <c r="C1751" s="103" t="s">
        <v>79</v>
      </c>
      <c r="D1751" s="103" t="s">
        <v>95</v>
      </c>
      <c r="E1751" s="103" t="s">
        <v>129</v>
      </c>
      <c r="F1751" s="103" t="s">
        <v>1769</v>
      </c>
      <c r="G1751" s="104">
        <v>2182.1965</v>
      </c>
      <c r="H1751" s="105">
        <v>2333.9</v>
      </c>
    </row>
    <row r="1752" spans="1:8">
      <c r="A1752" s="97">
        <v>38246</v>
      </c>
      <c r="B1752" s="97" t="str">
        <f>TEXT($A1752,"mmm")</f>
        <v>Sep</v>
      </c>
      <c r="C1752" s="99" t="s">
        <v>107</v>
      </c>
      <c r="D1752" s="99" t="s">
        <v>80</v>
      </c>
      <c r="E1752" s="99" t="s">
        <v>158</v>
      </c>
      <c r="F1752" s="99" t="s">
        <v>1770</v>
      </c>
      <c r="G1752" s="100">
        <v>828.59280000000001</v>
      </c>
      <c r="H1752" s="101">
        <v>2239.44</v>
      </c>
    </row>
    <row r="1753" spans="1:8">
      <c r="A1753" s="102">
        <v>38245</v>
      </c>
      <c r="B1753" s="102" t="str">
        <f>TEXT($A1753,"mmm")</f>
        <v>Sep</v>
      </c>
      <c r="C1753" s="103" t="s">
        <v>79</v>
      </c>
      <c r="D1753" s="103" t="s">
        <v>80</v>
      </c>
      <c r="E1753" s="103" t="s">
        <v>108</v>
      </c>
      <c r="F1753" s="103" t="s">
        <v>1771</v>
      </c>
      <c r="G1753" s="104">
        <v>2600.4857999999999</v>
      </c>
      <c r="H1753" s="105">
        <v>7028.34</v>
      </c>
    </row>
    <row r="1754" spans="1:8">
      <c r="A1754" s="97">
        <v>38244</v>
      </c>
      <c r="B1754" s="97" t="str">
        <f>TEXT($A1754,"mmm")</f>
        <v>Sep</v>
      </c>
      <c r="C1754" s="99" t="s">
        <v>79</v>
      </c>
      <c r="D1754" s="99" t="s">
        <v>101</v>
      </c>
      <c r="E1754" s="99" t="s">
        <v>122</v>
      </c>
      <c r="F1754" s="99" t="s">
        <v>1772</v>
      </c>
      <c r="G1754" s="100">
        <v>3229.116</v>
      </c>
      <c r="H1754" s="101">
        <v>3453.6</v>
      </c>
    </row>
    <row r="1755" spans="1:8">
      <c r="A1755" s="102">
        <v>38243</v>
      </c>
      <c r="B1755" s="102" t="str">
        <f>TEXT($A1755,"mmm")</f>
        <v>Sep</v>
      </c>
      <c r="C1755" s="103" t="s">
        <v>104</v>
      </c>
      <c r="D1755" s="103" t="s">
        <v>114</v>
      </c>
      <c r="E1755" s="103" t="s">
        <v>94</v>
      </c>
      <c r="F1755" s="103" t="s">
        <v>1773</v>
      </c>
      <c r="G1755" s="104">
        <v>2811.7964999999999</v>
      </c>
      <c r="H1755" s="105">
        <v>7599.45</v>
      </c>
    </row>
    <row r="1756" spans="1:8">
      <c r="A1756" s="97">
        <v>38242</v>
      </c>
      <c r="B1756" s="97" t="str">
        <f>TEXT($A1756,"mmm")</f>
        <v>Sep</v>
      </c>
      <c r="C1756" s="99" t="s">
        <v>116</v>
      </c>
      <c r="D1756" s="99" t="s">
        <v>92</v>
      </c>
      <c r="E1756" s="99" t="s">
        <v>105</v>
      </c>
      <c r="F1756" s="99" t="s">
        <v>1774</v>
      </c>
      <c r="G1756" s="100">
        <v>3673.2696000000001</v>
      </c>
      <c r="H1756" s="101">
        <v>4174.17</v>
      </c>
    </row>
    <row r="1757" spans="1:8">
      <c r="A1757" s="102">
        <v>38242</v>
      </c>
      <c r="B1757" s="102" t="str">
        <f>TEXT($A1757,"mmm")</f>
        <v>Sep</v>
      </c>
      <c r="C1757" s="103" t="s">
        <v>104</v>
      </c>
      <c r="D1757" s="103" t="s">
        <v>95</v>
      </c>
      <c r="E1757" s="103" t="s">
        <v>120</v>
      </c>
      <c r="F1757" s="103" t="s">
        <v>1775</v>
      </c>
      <c r="G1757" s="104">
        <v>1454.76</v>
      </c>
      <c r="H1757" s="105">
        <v>1939.68</v>
      </c>
    </row>
    <row r="1758" spans="1:8">
      <c r="A1758" s="97">
        <v>38242</v>
      </c>
      <c r="B1758" s="97" t="str">
        <f>TEXT($A1758,"mmm")</f>
        <v>Sep</v>
      </c>
      <c r="C1758" s="99" t="s">
        <v>79</v>
      </c>
      <c r="D1758" s="99" t="s">
        <v>98</v>
      </c>
      <c r="E1758" s="99" t="s">
        <v>108</v>
      </c>
      <c r="F1758" s="99" t="s">
        <v>1776</v>
      </c>
      <c r="G1758" s="100">
        <v>1467.4357500000001</v>
      </c>
      <c r="H1758" s="101">
        <v>1569.45</v>
      </c>
    </row>
    <row r="1759" spans="1:8">
      <c r="A1759" s="102">
        <v>38240</v>
      </c>
      <c r="B1759" s="102" t="str">
        <f>TEXT($A1759,"mmm")</f>
        <v>Sep</v>
      </c>
      <c r="C1759" s="103" t="s">
        <v>79</v>
      </c>
      <c r="D1759" s="103" t="s">
        <v>98</v>
      </c>
      <c r="E1759" s="103" t="s">
        <v>99</v>
      </c>
      <c r="F1759" s="103" t="s">
        <v>1777</v>
      </c>
      <c r="G1759" s="104">
        <v>6481.875</v>
      </c>
      <c r="H1759" s="105">
        <v>8642.5</v>
      </c>
    </row>
    <row r="1760" spans="1:8">
      <c r="A1760" s="97">
        <v>38240</v>
      </c>
      <c r="B1760" s="97" t="str">
        <f>TEXT($A1760,"mmm")</f>
        <v>Sep</v>
      </c>
      <c r="C1760" s="99" t="s">
        <v>107</v>
      </c>
      <c r="D1760" s="99" t="s">
        <v>95</v>
      </c>
      <c r="E1760" s="99" t="s">
        <v>96</v>
      </c>
      <c r="F1760" s="99" t="s">
        <v>1778</v>
      </c>
      <c r="G1760" s="100">
        <v>2852.3447999999999</v>
      </c>
      <c r="H1760" s="101">
        <v>7709.04</v>
      </c>
    </row>
    <row r="1761" spans="1:8">
      <c r="A1761" s="102">
        <v>38240</v>
      </c>
      <c r="B1761" s="102" t="str">
        <f>TEXT($A1761,"mmm")</f>
        <v>Sep</v>
      </c>
      <c r="C1761" s="103" t="s">
        <v>79</v>
      </c>
      <c r="D1761" s="103" t="s">
        <v>101</v>
      </c>
      <c r="E1761" s="103" t="s">
        <v>99</v>
      </c>
      <c r="F1761" s="103" t="s">
        <v>1779</v>
      </c>
      <c r="G1761" s="104">
        <v>2996.1374999999998</v>
      </c>
      <c r="H1761" s="105">
        <v>3994.85</v>
      </c>
    </row>
    <row r="1762" spans="1:8">
      <c r="A1762" s="97">
        <v>38240</v>
      </c>
      <c r="B1762" s="97" t="str">
        <f>TEXT($A1762,"mmm")</f>
        <v>Sep</v>
      </c>
      <c r="C1762" s="99" t="s">
        <v>79</v>
      </c>
      <c r="D1762" s="99" t="s">
        <v>127</v>
      </c>
      <c r="E1762" s="99" t="s">
        <v>89</v>
      </c>
      <c r="F1762" s="99" t="s">
        <v>1780</v>
      </c>
      <c r="G1762" s="100">
        <v>1017.9251500000001</v>
      </c>
      <c r="H1762" s="101">
        <v>1088.69</v>
      </c>
    </row>
    <row r="1763" spans="1:8">
      <c r="A1763" s="102">
        <v>38239</v>
      </c>
      <c r="B1763" s="102" t="str">
        <f>TEXT($A1763,"mmm")</f>
        <v>Sep</v>
      </c>
      <c r="C1763" s="103" t="s">
        <v>79</v>
      </c>
      <c r="D1763" s="103" t="s">
        <v>80</v>
      </c>
      <c r="E1763" s="103" t="s">
        <v>96</v>
      </c>
      <c r="F1763" s="103" t="s">
        <v>1645</v>
      </c>
      <c r="G1763" s="104">
        <v>9317.9668999999994</v>
      </c>
      <c r="H1763" s="105">
        <v>9965.74</v>
      </c>
    </row>
    <row r="1764" spans="1:8">
      <c r="A1764" s="97">
        <v>38239</v>
      </c>
      <c r="B1764" s="97" t="str">
        <f>TEXT($A1764,"mmm")</f>
        <v>Sep</v>
      </c>
      <c r="C1764" s="99" t="s">
        <v>104</v>
      </c>
      <c r="D1764" s="99" t="s">
        <v>87</v>
      </c>
      <c r="E1764" s="99" t="s">
        <v>99</v>
      </c>
      <c r="F1764" s="99" t="s">
        <v>515</v>
      </c>
      <c r="G1764" s="100">
        <v>4665.4069</v>
      </c>
      <c r="H1764" s="101">
        <v>4989.74</v>
      </c>
    </row>
    <row r="1765" spans="1:8">
      <c r="A1765" s="102">
        <v>38239</v>
      </c>
      <c r="B1765" s="102" t="str">
        <f>TEXT($A1765,"mmm")</f>
        <v>Sep</v>
      </c>
      <c r="C1765" s="103" t="s">
        <v>104</v>
      </c>
      <c r="D1765" s="103" t="s">
        <v>127</v>
      </c>
      <c r="E1765" s="103" t="s">
        <v>99</v>
      </c>
      <c r="F1765" s="103" t="s">
        <v>1781</v>
      </c>
      <c r="G1765" s="104">
        <v>1724.0325999999998</v>
      </c>
      <c r="H1765" s="105">
        <v>2972.47</v>
      </c>
    </row>
    <row r="1766" spans="1:8">
      <c r="A1766" s="97">
        <v>38238</v>
      </c>
      <c r="B1766" s="97" t="str">
        <f>TEXT($A1766,"mmm")</f>
        <v>Sep</v>
      </c>
      <c r="C1766" s="99" t="s">
        <v>79</v>
      </c>
      <c r="D1766" s="99" t="s">
        <v>95</v>
      </c>
      <c r="E1766" s="99" t="s">
        <v>108</v>
      </c>
      <c r="F1766" s="99" t="s">
        <v>1782</v>
      </c>
      <c r="G1766" s="100">
        <v>1907.5574000000001</v>
      </c>
      <c r="H1766" s="101">
        <v>4436.18</v>
      </c>
    </row>
    <row r="1767" spans="1:8">
      <c r="A1767" s="102">
        <v>38238</v>
      </c>
      <c r="B1767" s="102" t="str">
        <f>TEXT($A1767,"mmm")</f>
        <v>Sep</v>
      </c>
      <c r="C1767" s="103" t="s">
        <v>107</v>
      </c>
      <c r="D1767" s="103" t="s">
        <v>87</v>
      </c>
      <c r="E1767" s="103" t="s">
        <v>108</v>
      </c>
      <c r="F1767" s="103" t="s">
        <v>1783</v>
      </c>
      <c r="G1767" s="104">
        <v>1160.2431999999999</v>
      </c>
      <c r="H1767" s="105">
        <v>2698.24</v>
      </c>
    </row>
    <row r="1768" spans="1:8">
      <c r="A1768" s="97">
        <v>38238</v>
      </c>
      <c r="B1768" s="97" t="str">
        <f>TEXT($A1768,"mmm")</f>
        <v>Sep</v>
      </c>
      <c r="C1768" s="99" t="s">
        <v>86</v>
      </c>
      <c r="D1768" s="99" t="s">
        <v>114</v>
      </c>
      <c r="E1768" s="99" t="s">
        <v>129</v>
      </c>
      <c r="F1768" s="99" t="s">
        <v>1784</v>
      </c>
      <c r="G1768" s="100">
        <v>1054.1905999999999</v>
      </c>
      <c r="H1768" s="101">
        <v>1817.57</v>
      </c>
    </row>
    <row r="1769" spans="1:8">
      <c r="A1769" s="102">
        <v>38238</v>
      </c>
      <c r="B1769" s="102" t="str">
        <f>TEXT($A1769,"mmm")</f>
        <v>Sep</v>
      </c>
      <c r="C1769" s="103" t="s">
        <v>79</v>
      </c>
      <c r="D1769" s="103" t="s">
        <v>127</v>
      </c>
      <c r="E1769" s="103" t="s">
        <v>129</v>
      </c>
      <c r="F1769" s="103" t="s">
        <v>1785</v>
      </c>
      <c r="G1769" s="104">
        <v>422.72450000000003</v>
      </c>
      <c r="H1769" s="105">
        <v>768.59</v>
      </c>
    </row>
    <row r="1770" spans="1:8">
      <c r="A1770" s="97">
        <v>38237</v>
      </c>
      <c r="B1770" s="97" t="str">
        <f>TEXT($A1770,"mmm")</f>
        <v>Sep</v>
      </c>
      <c r="C1770" s="99" t="s">
        <v>116</v>
      </c>
      <c r="D1770" s="99" t="s">
        <v>87</v>
      </c>
      <c r="E1770" s="99" t="s">
        <v>122</v>
      </c>
      <c r="F1770" s="99" t="s">
        <v>1786</v>
      </c>
      <c r="G1770" s="100">
        <v>7884.2659500000009</v>
      </c>
      <c r="H1770" s="101">
        <v>8432.3700000000008</v>
      </c>
    </row>
    <row r="1771" spans="1:8">
      <c r="A1771" s="102">
        <v>38237</v>
      </c>
      <c r="B1771" s="102" t="str">
        <f>TEXT($A1771,"mmm")</f>
        <v>Sep</v>
      </c>
      <c r="C1771" s="103" t="s">
        <v>107</v>
      </c>
      <c r="D1771" s="103" t="s">
        <v>80</v>
      </c>
      <c r="E1771" s="103" t="s">
        <v>129</v>
      </c>
      <c r="F1771" s="103" t="s">
        <v>1787</v>
      </c>
      <c r="G1771" s="104">
        <v>3498.1875999999997</v>
      </c>
      <c r="H1771" s="105">
        <v>8135.32</v>
      </c>
    </row>
    <row r="1772" spans="1:8">
      <c r="A1772" s="97">
        <v>38237</v>
      </c>
      <c r="B1772" s="97" t="str">
        <f>TEXT($A1772,"mmm")</f>
        <v>Sep</v>
      </c>
      <c r="C1772" s="99" t="s">
        <v>107</v>
      </c>
      <c r="D1772" s="99" t="s">
        <v>101</v>
      </c>
      <c r="E1772" s="99" t="s">
        <v>105</v>
      </c>
      <c r="F1772" s="99" t="s">
        <v>1788</v>
      </c>
      <c r="G1772" s="100">
        <v>5047.3450499999999</v>
      </c>
      <c r="H1772" s="101">
        <v>5398.23</v>
      </c>
    </row>
    <row r="1773" spans="1:8">
      <c r="A1773" s="102">
        <v>38237</v>
      </c>
      <c r="B1773" s="102" t="str">
        <f>TEXT($A1773,"mmm")</f>
        <v>Sep</v>
      </c>
      <c r="C1773" s="103" t="s">
        <v>79</v>
      </c>
      <c r="D1773" s="103" t="s">
        <v>80</v>
      </c>
      <c r="E1773" s="103" t="s">
        <v>94</v>
      </c>
      <c r="F1773" s="103" t="s">
        <v>1789</v>
      </c>
      <c r="G1773" s="104">
        <v>1465.875</v>
      </c>
      <c r="H1773" s="105">
        <v>3257.5</v>
      </c>
    </row>
    <row r="1774" spans="1:8">
      <c r="A1774" s="97">
        <v>38237</v>
      </c>
      <c r="B1774" s="97" t="str">
        <f>TEXT($A1774,"mmm")</f>
        <v>Sep</v>
      </c>
      <c r="C1774" s="99" t="s">
        <v>79</v>
      </c>
      <c r="D1774" s="99" t="s">
        <v>98</v>
      </c>
      <c r="E1774" s="99" t="s">
        <v>105</v>
      </c>
      <c r="F1774" s="99" t="s">
        <v>1790</v>
      </c>
      <c r="G1774" s="100">
        <v>1864.6688000000001</v>
      </c>
      <c r="H1774" s="101">
        <v>2742.16</v>
      </c>
    </row>
    <row r="1775" spans="1:8">
      <c r="A1775" s="102">
        <v>38236</v>
      </c>
      <c r="B1775" s="102" t="str">
        <f>TEXT($A1775,"mmm")</f>
        <v>Sep</v>
      </c>
      <c r="C1775" s="103" t="s">
        <v>79</v>
      </c>
      <c r="D1775" s="103" t="s">
        <v>87</v>
      </c>
      <c r="E1775" s="103" t="s">
        <v>81</v>
      </c>
      <c r="F1775" s="103" t="s">
        <v>1791</v>
      </c>
      <c r="G1775" s="104">
        <v>4774.7205000000004</v>
      </c>
      <c r="H1775" s="105">
        <v>8681.31</v>
      </c>
    </row>
    <row r="1776" spans="1:8">
      <c r="A1776" s="97">
        <v>38236</v>
      </c>
      <c r="B1776" s="97" t="str">
        <f>TEXT($A1776,"mmm")</f>
        <v>Sep</v>
      </c>
      <c r="C1776" s="99" t="s">
        <v>107</v>
      </c>
      <c r="D1776" s="99" t="s">
        <v>95</v>
      </c>
      <c r="E1776" s="99" t="s">
        <v>120</v>
      </c>
      <c r="F1776" s="99" t="s">
        <v>1792</v>
      </c>
      <c r="G1776" s="100">
        <v>3595.4837000000002</v>
      </c>
      <c r="H1776" s="101">
        <v>8361.59</v>
      </c>
    </row>
    <row r="1777" spans="1:8">
      <c r="A1777" s="102">
        <v>38236</v>
      </c>
      <c r="B1777" s="102" t="str">
        <f>TEXT($A1777,"mmm")</f>
        <v>Sep</v>
      </c>
      <c r="C1777" s="103" t="s">
        <v>116</v>
      </c>
      <c r="D1777" s="103" t="s">
        <v>98</v>
      </c>
      <c r="E1777" s="103" t="s">
        <v>89</v>
      </c>
      <c r="F1777" s="103" t="s">
        <v>1793</v>
      </c>
      <c r="G1777" s="104">
        <v>5481.7663999999995</v>
      </c>
      <c r="H1777" s="105">
        <v>6229.28</v>
      </c>
    </row>
    <row r="1778" spans="1:8">
      <c r="A1778" s="97">
        <v>38236</v>
      </c>
      <c r="B1778" s="97" t="str">
        <f>TEXT($A1778,"mmm")</f>
        <v>Sep</v>
      </c>
      <c r="C1778" s="99" t="s">
        <v>107</v>
      </c>
      <c r="D1778" s="99" t="s">
        <v>101</v>
      </c>
      <c r="E1778" s="99" t="s">
        <v>158</v>
      </c>
      <c r="F1778" s="99" t="s">
        <v>1794</v>
      </c>
      <c r="G1778" s="100">
        <v>2808.3587000000002</v>
      </c>
      <c r="H1778" s="101">
        <v>4759.93</v>
      </c>
    </row>
    <row r="1779" spans="1:8">
      <c r="A1779" s="102">
        <v>38236</v>
      </c>
      <c r="B1779" s="102" t="str">
        <f>TEXT($A1779,"mmm")</f>
        <v>Sep</v>
      </c>
      <c r="C1779" s="103" t="s">
        <v>86</v>
      </c>
      <c r="D1779" s="103" t="s">
        <v>80</v>
      </c>
      <c r="E1779" s="103" t="s">
        <v>89</v>
      </c>
      <c r="F1779" s="103" t="s">
        <v>1795</v>
      </c>
      <c r="G1779" s="104">
        <v>3980.1696000000002</v>
      </c>
      <c r="H1779" s="105">
        <v>4522.92</v>
      </c>
    </row>
    <row r="1780" spans="1:8">
      <c r="A1780" s="97">
        <v>38236</v>
      </c>
      <c r="B1780" s="97" t="str">
        <f>TEXT($A1780,"mmm")</f>
        <v>Sep</v>
      </c>
      <c r="C1780" s="99" t="s">
        <v>79</v>
      </c>
      <c r="D1780" s="99" t="s">
        <v>80</v>
      </c>
      <c r="E1780" s="99" t="s">
        <v>83</v>
      </c>
      <c r="F1780" s="99" t="s">
        <v>419</v>
      </c>
      <c r="G1780" s="100">
        <v>1823.277</v>
      </c>
      <c r="H1780" s="101">
        <v>3090.3</v>
      </c>
    </row>
    <row r="1781" spans="1:8">
      <c r="A1781" s="102">
        <v>38236</v>
      </c>
      <c r="B1781" s="102" t="str">
        <f>TEXT($A1781,"mmm")</f>
        <v>Sep</v>
      </c>
      <c r="C1781" s="103" t="s">
        <v>104</v>
      </c>
      <c r="D1781" s="103" t="s">
        <v>101</v>
      </c>
      <c r="E1781" s="103" t="s">
        <v>81</v>
      </c>
      <c r="F1781" s="103" t="s">
        <v>1796</v>
      </c>
      <c r="G1781" s="104">
        <v>826.56804999999997</v>
      </c>
      <c r="H1781" s="105">
        <v>884.03</v>
      </c>
    </row>
    <row r="1782" spans="1:8">
      <c r="A1782" s="97">
        <v>38235</v>
      </c>
      <c r="B1782" s="97" t="str">
        <f>TEXT($A1782,"mmm")</f>
        <v>Sep</v>
      </c>
      <c r="C1782" s="99" t="s">
        <v>79</v>
      </c>
      <c r="D1782" s="99" t="s">
        <v>98</v>
      </c>
      <c r="E1782" s="99" t="s">
        <v>83</v>
      </c>
      <c r="F1782" s="99" t="s">
        <v>1797</v>
      </c>
      <c r="G1782" s="100">
        <v>3313.2715000000003</v>
      </c>
      <c r="H1782" s="101">
        <v>6024.13</v>
      </c>
    </row>
    <row r="1783" spans="1:8">
      <c r="A1783" s="102">
        <v>38235</v>
      </c>
      <c r="B1783" s="102" t="str">
        <f>TEXT($A1783,"mmm")</f>
        <v>Sep</v>
      </c>
      <c r="C1783" s="103" t="s">
        <v>104</v>
      </c>
      <c r="D1783" s="103" t="s">
        <v>98</v>
      </c>
      <c r="E1783" s="103" t="s">
        <v>94</v>
      </c>
      <c r="F1783" s="103" t="s">
        <v>1798</v>
      </c>
      <c r="G1783" s="104">
        <v>5486.8231000000005</v>
      </c>
      <c r="H1783" s="105">
        <v>5868.26</v>
      </c>
    </row>
    <row r="1784" spans="1:8">
      <c r="A1784" s="97">
        <v>38235</v>
      </c>
      <c r="B1784" s="97" t="str">
        <f>TEXT($A1784,"mmm")</f>
        <v>Sep</v>
      </c>
      <c r="C1784" s="99" t="s">
        <v>86</v>
      </c>
      <c r="D1784" s="99" t="s">
        <v>95</v>
      </c>
      <c r="E1784" s="99" t="s">
        <v>122</v>
      </c>
      <c r="F1784" s="99" t="s">
        <v>1799</v>
      </c>
      <c r="G1784" s="100">
        <v>965.33280000000002</v>
      </c>
      <c r="H1784" s="101">
        <v>2244.96</v>
      </c>
    </row>
    <row r="1785" spans="1:8">
      <c r="A1785" s="102">
        <v>38234</v>
      </c>
      <c r="B1785" s="102" t="str">
        <f>TEXT($A1785,"mmm")</f>
        <v>Sep</v>
      </c>
      <c r="C1785" s="103" t="s">
        <v>86</v>
      </c>
      <c r="D1785" s="103" t="s">
        <v>95</v>
      </c>
      <c r="E1785" s="103" t="s">
        <v>158</v>
      </c>
      <c r="F1785" s="103" t="s">
        <v>1800</v>
      </c>
      <c r="G1785" s="104">
        <v>5157.0475000000006</v>
      </c>
      <c r="H1785" s="105">
        <v>9376.4500000000007</v>
      </c>
    </row>
    <row r="1786" spans="1:8">
      <c r="A1786" s="97">
        <v>38234</v>
      </c>
      <c r="B1786" s="97" t="str">
        <f>TEXT($A1786,"mmm")</f>
        <v>Sep</v>
      </c>
      <c r="C1786" s="99" t="s">
        <v>116</v>
      </c>
      <c r="D1786" s="99" t="s">
        <v>80</v>
      </c>
      <c r="E1786" s="99" t="s">
        <v>129</v>
      </c>
      <c r="F1786" s="99" t="s">
        <v>1801</v>
      </c>
      <c r="G1786" s="100">
        <v>5988.93</v>
      </c>
      <c r="H1786" s="101">
        <v>7985.24</v>
      </c>
    </row>
    <row r="1787" spans="1:8">
      <c r="A1787" s="102">
        <v>38234</v>
      </c>
      <c r="B1787" s="102" t="str">
        <f>TEXT($A1787,"mmm")</f>
        <v>Sep</v>
      </c>
      <c r="C1787" s="103" t="s">
        <v>79</v>
      </c>
      <c r="D1787" s="103" t="s">
        <v>101</v>
      </c>
      <c r="E1787" s="103" t="s">
        <v>81</v>
      </c>
      <c r="F1787" s="103" t="s">
        <v>1802</v>
      </c>
      <c r="G1787" s="104">
        <v>5842.0823999999993</v>
      </c>
      <c r="H1787" s="105">
        <v>6638.73</v>
      </c>
    </row>
    <row r="1788" spans="1:8">
      <c r="A1788" s="97">
        <v>38234</v>
      </c>
      <c r="B1788" s="97" t="str">
        <f>TEXT($A1788,"mmm")</f>
        <v>Sep</v>
      </c>
      <c r="C1788" s="99" t="s">
        <v>86</v>
      </c>
      <c r="D1788" s="99" t="s">
        <v>87</v>
      </c>
      <c r="E1788" s="99" t="s">
        <v>158</v>
      </c>
      <c r="F1788" s="99" t="s">
        <v>1803</v>
      </c>
      <c r="G1788" s="100">
        <v>2356.7912999999999</v>
      </c>
      <c r="H1788" s="101">
        <v>5480.91</v>
      </c>
    </row>
    <row r="1789" spans="1:8">
      <c r="A1789" s="102">
        <v>38232</v>
      </c>
      <c r="B1789" s="102" t="str">
        <f>TEXT($A1789,"mmm")</f>
        <v>Sep</v>
      </c>
      <c r="C1789" s="103" t="s">
        <v>86</v>
      </c>
      <c r="D1789" s="103" t="s">
        <v>92</v>
      </c>
      <c r="E1789" s="103" t="s">
        <v>94</v>
      </c>
      <c r="F1789" s="103" t="s">
        <v>738</v>
      </c>
      <c r="G1789" s="104">
        <v>3759.9414999999995</v>
      </c>
      <c r="H1789" s="105">
        <v>8744.0499999999993</v>
      </c>
    </row>
    <row r="1790" spans="1:8">
      <c r="A1790" s="97">
        <v>38232</v>
      </c>
      <c r="B1790" s="97" t="str">
        <f>TEXT($A1790,"mmm")</f>
        <v>Sep</v>
      </c>
      <c r="C1790" s="99" t="s">
        <v>104</v>
      </c>
      <c r="D1790" s="99" t="s">
        <v>87</v>
      </c>
      <c r="E1790" s="99" t="s">
        <v>96</v>
      </c>
      <c r="F1790" s="99" t="s">
        <v>1804</v>
      </c>
      <c r="G1790" s="100">
        <v>3978.6256000000003</v>
      </c>
      <c r="H1790" s="101">
        <v>5850.92</v>
      </c>
    </row>
    <row r="1791" spans="1:8">
      <c r="A1791" s="102">
        <v>38232</v>
      </c>
      <c r="B1791" s="102" t="str">
        <f>TEXT($A1791,"mmm")</f>
        <v>Sep</v>
      </c>
      <c r="C1791" s="103" t="s">
        <v>79</v>
      </c>
      <c r="D1791" s="103" t="s">
        <v>98</v>
      </c>
      <c r="E1791" s="103" t="s">
        <v>83</v>
      </c>
      <c r="F1791" s="103" t="s">
        <v>1805</v>
      </c>
      <c r="G1791" s="104">
        <v>3719.6367999999998</v>
      </c>
      <c r="H1791" s="105">
        <v>4226.8599999999997</v>
      </c>
    </row>
    <row r="1792" spans="1:8">
      <c r="A1792" s="97">
        <v>38232</v>
      </c>
      <c r="B1792" s="97" t="str">
        <f>TEXT($A1792,"mmm")</f>
        <v>Sep</v>
      </c>
      <c r="C1792" s="99" t="s">
        <v>104</v>
      </c>
      <c r="D1792" s="99" t="s">
        <v>127</v>
      </c>
      <c r="E1792" s="99" t="s">
        <v>105</v>
      </c>
      <c r="F1792" s="99" t="s">
        <v>1806</v>
      </c>
      <c r="G1792" s="100">
        <v>1514.0880999999999</v>
      </c>
      <c r="H1792" s="101">
        <v>4092.13</v>
      </c>
    </row>
    <row r="1793" spans="1:8">
      <c r="A1793" s="102">
        <v>38231</v>
      </c>
      <c r="B1793" s="102" t="str">
        <f>TEXT($A1793,"mmm")</f>
        <v>Sep</v>
      </c>
      <c r="C1793" s="103" t="s">
        <v>79</v>
      </c>
      <c r="D1793" s="103" t="s">
        <v>95</v>
      </c>
      <c r="E1793" s="103" t="s">
        <v>94</v>
      </c>
      <c r="F1793" s="103" t="s">
        <v>1807</v>
      </c>
      <c r="G1793" s="104">
        <v>5018.3728000000001</v>
      </c>
      <c r="H1793" s="105">
        <v>7379.96</v>
      </c>
    </row>
    <row r="1794" spans="1:8">
      <c r="A1794" s="97">
        <v>38231</v>
      </c>
      <c r="B1794" s="97" t="str">
        <f>TEXT($A1794,"mmm")</f>
        <v>Sep</v>
      </c>
      <c r="C1794" s="99" t="s">
        <v>79</v>
      </c>
      <c r="D1794" s="99" t="s">
        <v>127</v>
      </c>
      <c r="E1794" s="99" t="s">
        <v>122</v>
      </c>
      <c r="F1794" s="99" t="s">
        <v>1808</v>
      </c>
      <c r="G1794" s="100">
        <v>425.44370000000004</v>
      </c>
      <c r="H1794" s="101">
        <v>455.02</v>
      </c>
    </row>
    <row r="1795" spans="1:8">
      <c r="A1795" s="102">
        <v>38230</v>
      </c>
      <c r="B1795" s="102" t="str">
        <f>TEXT($A1795,"mmm")</f>
        <v>Aug</v>
      </c>
      <c r="C1795" s="103" t="s">
        <v>86</v>
      </c>
      <c r="D1795" s="103" t="s">
        <v>87</v>
      </c>
      <c r="E1795" s="103" t="s">
        <v>129</v>
      </c>
      <c r="F1795" s="103" t="s">
        <v>1809</v>
      </c>
      <c r="G1795" s="104">
        <v>5802.5733</v>
      </c>
      <c r="H1795" s="105">
        <v>9834.8700000000008</v>
      </c>
    </row>
    <row r="1796" spans="1:8">
      <c r="A1796" s="97">
        <v>38230</v>
      </c>
      <c r="B1796" s="97" t="str">
        <f>TEXT($A1796,"mmm")</f>
        <v>Aug</v>
      </c>
      <c r="C1796" s="99" t="s">
        <v>104</v>
      </c>
      <c r="D1796" s="99" t="s">
        <v>87</v>
      </c>
      <c r="E1796" s="99" t="s">
        <v>99</v>
      </c>
      <c r="F1796" s="99" t="s">
        <v>1810</v>
      </c>
      <c r="G1796" s="100">
        <v>2393.5456000000004</v>
      </c>
      <c r="H1796" s="101">
        <v>3519.92</v>
      </c>
    </row>
    <row r="1797" spans="1:8">
      <c r="A1797" s="102">
        <v>38229</v>
      </c>
      <c r="B1797" s="102" t="str">
        <f>TEXT($A1797,"mmm")</f>
        <v>Aug</v>
      </c>
      <c r="C1797" s="103" t="s">
        <v>79</v>
      </c>
      <c r="D1797" s="103" t="s">
        <v>87</v>
      </c>
      <c r="E1797" s="103" t="s">
        <v>96</v>
      </c>
      <c r="F1797" s="103" t="s">
        <v>1811</v>
      </c>
      <c r="G1797" s="104">
        <v>3131.6125999999999</v>
      </c>
      <c r="H1797" s="105">
        <v>7282.82</v>
      </c>
    </row>
    <row r="1798" spans="1:8">
      <c r="A1798" s="97">
        <v>38229</v>
      </c>
      <c r="B1798" s="97" t="str">
        <f>TEXT($A1798,"mmm")</f>
        <v>Aug</v>
      </c>
      <c r="C1798" s="99" t="s">
        <v>116</v>
      </c>
      <c r="D1798" s="99" t="s">
        <v>127</v>
      </c>
      <c r="E1798" s="99" t="s">
        <v>99</v>
      </c>
      <c r="F1798" s="99" t="s">
        <v>1812</v>
      </c>
      <c r="G1798" s="100">
        <v>3931.9823999999994</v>
      </c>
      <c r="H1798" s="101">
        <v>6779.28</v>
      </c>
    </row>
    <row r="1799" spans="1:8">
      <c r="A1799" s="102">
        <v>38229</v>
      </c>
      <c r="B1799" s="102" t="str">
        <f>TEXT($A1799,"mmm")</f>
        <v>Aug</v>
      </c>
      <c r="C1799" s="103" t="s">
        <v>86</v>
      </c>
      <c r="D1799" s="103" t="s">
        <v>80</v>
      </c>
      <c r="E1799" s="103" t="s">
        <v>105</v>
      </c>
      <c r="F1799" s="103" t="s">
        <v>1813</v>
      </c>
      <c r="G1799" s="104">
        <v>4482.7980000000007</v>
      </c>
      <c r="H1799" s="105">
        <v>6592.35</v>
      </c>
    </row>
    <row r="1800" spans="1:8">
      <c r="A1800" s="97">
        <v>38229</v>
      </c>
      <c r="B1800" s="97" t="str">
        <f>TEXT($A1800,"mmm")</f>
        <v>Aug</v>
      </c>
      <c r="C1800" s="99" t="s">
        <v>79</v>
      </c>
      <c r="D1800" s="99" t="s">
        <v>95</v>
      </c>
      <c r="E1800" s="99" t="s">
        <v>129</v>
      </c>
      <c r="F1800" s="99" t="s">
        <v>1814</v>
      </c>
      <c r="G1800" s="100">
        <v>3366.8195000000001</v>
      </c>
      <c r="H1800" s="101">
        <v>6121.49</v>
      </c>
    </row>
    <row r="1801" spans="1:8">
      <c r="A1801" s="102">
        <v>38229</v>
      </c>
      <c r="B1801" s="102" t="str">
        <f>TEXT($A1801,"mmm")</f>
        <v>Aug</v>
      </c>
      <c r="C1801" s="103" t="s">
        <v>86</v>
      </c>
      <c r="D1801" s="103" t="s">
        <v>127</v>
      </c>
      <c r="E1801" s="103" t="s">
        <v>129</v>
      </c>
      <c r="F1801" s="103" t="s">
        <v>1815</v>
      </c>
      <c r="G1801" s="104">
        <v>744.8433</v>
      </c>
      <c r="H1801" s="105">
        <v>2013.09</v>
      </c>
    </row>
    <row r="1802" spans="1:8">
      <c r="A1802" s="97">
        <v>38229</v>
      </c>
      <c r="B1802" s="97" t="str">
        <f>TEXT($A1802,"mmm")</f>
        <v>Aug</v>
      </c>
      <c r="C1802" s="99" t="s">
        <v>104</v>
      </c>
      <c r="D1802" s="99" t="s">
        <v>114</v>
      </c>
      <c r="E1802" s="99" t="s">
        <v>108</v>
      </c>
      <c r="F1802" s="99" t="s">
        <v>1816</v>
      </c>
      <c r="G1802" s="100">
        <v>141.85600000000002</v>
      </c>
      <c r="H1802" s="101">
        <v>257.92</v>
      </c>
    </row>
    <row r="1803" spans="1:8">
      <c r="A1803" s="102">
        <v>38228</v>
      </c>
      <c r="B1803" s="102" t="str">
        <f>TEXT($A1803,"mmm")</f>
        <v>Aug</v>
      </c>
      <c r="C1803" s="103" t="s">
        <v>104</v>
      </c>
      <c r="D1803" s="103" t="s">
        <v>98</v>
      </c>
      <c r="E1803" s="103" t="s">
        <v>144</v>
      </c>
      <c r="F1803" s="103" t="s">
        <v>1237</v>
      </c>
      <c r="G1803" s="104">
        <v>3887.3220000000001</v>
      </c>
      <c r="H1803" s="105">
        <v>5716.65</v>
      </c>
    </row>
    <row r="1804" spans="1:8">
      <c r="A1804" s="97">
        <v>38228</v>
      </c>
      <c r="B1804" s="97" t="str">
        <f>TEXT($A1804,"mmm")</f>
        <v>Aug</v>
      </c>
      <c r="C1804" s="99" t="s">
        <v>79</v>
      </c>
      <c r="D1804" s="99" t="s">
        <v>98</v>
      </c>
      <c r="E1804" s="99" t="s">
        <v>158</v>
      </c>
      <c r="F1804" s="99" t="s">
        <v>1817</v>
      </c>
      <c r="G1804" s="100">
        <v>3729.2025000000003</v>
      </c>
      <c r="H1804" s="101">
        <v>4972.2700000000004</v>
      </c>
    </row>
    <row r="1805" spans="1:8">
      <c r="A1805" s="102">
        <v>38228</v>
      </c>
      <c r="B1805" s="102" t="str">
        <f>TEXT($A1805,"mmm")</f>
        <v>Aug</v>
      </c>
      <c r="C1805" s="103" t="s">
        <v>116</v>
      </c>
      <c r="D1805" s="103" t="s">
        <v>98</v>
      </c>
      <c r="E1805" s="103" t="s">
        <v>89</v>
      </c>
      <c r="F1805" s="103" t="s">
        <v>1818</v>
      </c>
      <c r="G1805" s="104">
        <v>1775.8355000000001</v>
      </c>
      <c r="H1805" s="105">
        <v>4129.8500000000004</v>
      </c>
    </row>
    <row r="1806" spans="1:8">
      <c r="A1806" s="97">
        <v>38228</v>
      </c>
      <c r="B1806" s="97" t="str">
        <f>TEXT($A1806,"mmm")</f>
        <v>Aug</v>
      </c>
      <c r="C1806" s="99" t="s">
        <v>104</v>
      </c>
      <c r="D1806" s="99" t="s">
        <v>101</v>
      </c>
      <c r="E1806" s="99" t="s">
        <v>120</v>
      </c>
      <c r="F1806" s="99" t="s">
        <v>1819</v>
      </c>
      <c r="G1806" s="100">
        <v>1451.1935000000001</v>
      </c>
      <c r="H1806" s="101">
        <v>2459.65</v>
      </c>
    </row>
    <row r="1807" spans="1:8">
      <c r="A1807" s="102">
        <v>38227</v>
      </c>
      <c r="B1807" s="102" t="str">
        <f>TEXT($A1807,"mmm")</f>
        <v>Aug</v>
      </c>
      <c r="C1807" s="103" t="s">
        <v>79</v>
      </c>
      <c r="D1807" s="103" t="s">
        <v>98</v>
      </c>
      <c r="E1807" s="103" t="s">
        <v>96</v>
      </c>
      <c r="F1807" s="103" t="s">
        <v>1820</v>
      </c>
      <c r="G1807" s="104">
        <v>3543.2532000000001</v>
      </c>
      <c r="H1807" s="105">
        <v>9576.36</v>
      </c>
    </row>
    <row r="1808" spans="1:8">
      <c r="A1808" s="97">
        <v>38227</v>
      </c>
      <c r="B1808" s="97" t="str">
        <f>TEXT($A1808,"mmm")</f>
        <v>Aug</v>
      </c>
      <c r="C1808" s="99" t="s">
        <v>79</v>
      </c>
      <c r="D1808" s="99" t="s">
        <v>114</v>
      </c>
      <c r="E1808" s="99" t="s">
        <v>89</v>
      </c>
      <c r="F1808" s="99" t="s">
        <v>1821</v>
      </c>
      <c r="G1808" s="100">
        <v>7898.9152000000004</v>
      </c>
      <c r="H1808" s="101">
        <v>8976.0400000000009</v>
      </c>
    </row>
    <row r="1809" spans="1:8">
      <c r="A1809" s="102">
        <v>38227</v>
      </c>
      <c r="B1809" s="102" t="str">
        <f>TEXT($A1809,"mmm")</f>
        <v>Aug</v>
      </c>
      <c r="C1809" s="103" t="s">
        <v>107</v>
      </c>
      <c r="D1809" s="103" t="s">
        <v>80</v>
      </c>
      <c r="E1809" s="103" t="s">
        <v>94</v>
      </c>
      <c r="F1809" s="103" t="s">
        <v>1822</v>
      </c>
      <c r="G1809" s="104">
        <v>5363.1532000000007</v>
      </c>
      <c r="H1809" s="105">
        <v>7886.99</v>
      </c>
    </row>
    <row r="1810" spans="1:8">
      <c r="A1810" s="97">
        <v>38227</v>
      </c>
      <c r="B1810" s="97" t="str">
        <f>TEXT($A1810,"mmm")</f>
        <v>Aug</v>
      </c>
      <c r="C1810" s="99" t="s">
        <v>86</v>
      </c>
      <c r="D1810" s="99" t="s">
        <v>127</v>
      </c>
      <c r="E1810" s="99" t="s">
        <v>89</v>
      </c>
      <c r="F1810" s="99" t="s">
        <v>1241</v>
      </c>
      <c r="G1810" s="100">
        <v>2021.7449999999999</v>
      </c>
      <c r="H1810" s="101">
        <v>2695.66</v>
      </c>
    </row>
    <row r="1811" spans="1:8">
      <c r="A1811" s="102">
        <v>38227</v>
      </c>
      <c r="B1811" s="102" t="str">
        <f>TEXT($A1811,"mmm")</f>
        <v>Aug</v>
      </c>
      <c r="C1811" s="103" t="s">
        <v>116</v>
      </c>
      <c r="D1811" s="103" t="s">
        <v>80</v>
      </c>
      <c r="E1811" s="103" t="s">
        <v>158</v>
      </c>
      <c r="F1811" s="103" t="s">
        <v>1823</v>
      </c>
      <c r="G1811" s="104">
        <v>1901.4449999999999</v>
      </c>
      <c r="H1811" s="105">
        <v>2535.2600000000002</v>
      </c>
    </row>
    <row r="1812" spans="1:8">
      <c r="A1812" s="97">
        <v>38227</v>
      </c>
      <c r="B1812" s="97" t="str">
        <f>TEXT($A1812,"mmm")</f>
        <v>Aug</v>
      </c>
      <c r="C1812" s="99" t="s">
        <v>107</v>
      </c>
      <c r="D1812" s="99" t="s">
        <v>98</v>
      </c>
      <c r="E1812" s="99" t="s">
        <v>99</v>
      </c>
      <c r="F1812" s="99" t="s">
        <v>1824</v>
      </c>
      <c r="G1812" s="100">
        <v>964.14480000000003</v>
      </c>
      <c r="H1812" s="101">
        <v>1417.86</v>
      </c>
    </row>
    <row r="1813" spans="1:8">
      <c r="A1813" s="102">
        <v>38226</v>
      </c>
      <c r="B1813" s="102" t="str">
        <f>TEXT($A1813,"mmm")</f>
        <v>Aug</v>
      </c>
      <c r="C1813" s="103" t="s">
        <v>104</v>
      </c>
      <c r="D1813" s="103" t="s">
        <v>127</v>
      </c>
      <c r="E1813" s="103" t="s">
        <v>96</v>
      </c>
      <c r="F1813" s="103" t="s">
        <v>1825</v>
      </c>
      <c r="G1813" s="104">
        <v>4832.6850000000004</v>
      </c>
      <c r="H1813" s="105">
        <v>8786.7000000000007</v>
      </c>
    </row>
    <row r="1814" spans="1:8">
      <c r="A1814" s="97">
        <v>38226</v>
      </c>
      <c r="B1814" s="97" t="str">
        <f>TEXT($A1814,"mmm")</f>
        <v>Aug</v>
      </c>
      <c r="C1814" s="99" t="s">
        <v>86</v>
      </c>
      <c r="D1814" s="99" t="s">
        <v>95</v>
      </c>
      <c r="E1814" s="99" t="s">
        <v>144</v>
      </c>
      <c r="F1814" s="99" t="s">
        <v>1826</v>
      </c>
      <c r="G1814" s="100">
        <v>4356.9674999999997</v>
      </c>
      <c r="H1814" s="101">
        <v>5809.29</v>
      </c>
    </row>
    <row r="1815" spans="1:8">
      <c r="A1815" s="102">
        <v>38226</v>
      </c>
      <c r="B1815" s="102" t="str">
        <f>TEXT($A1815,"mmm")</f>
        <v>Aug</v>
      </c>
      <c r="C1815" s="103" t="s">
        <v>79</v>
      </c>
      <c r="D1815" s="103" t="s">
        <v>87</v>
      </c>
      <c r="E1815" s="103" t="s">
        <v>144</v>
      </c>
      <c r="F1815" s="103" t="s">
        <v>1641</v>
      </c>
      <c r="G1815" s="104">
        <v>1441.1398999999999</v>
      </c>
      <c r="H1815" s="105">
        <v>2442.61</v>
      </c>
    </row>
    <row r="1816" spans="1:8">
      <c r="A1816" s="97">
        <v>38226</v>
      </c>
      <c r="B1816" s="97" t="str">
        <f>TEXT($A1816,"mmm")</f>
        <v>Aug</v>
      </c>
      <c r="C1816" s="99" t="s">
        <v>104</v>
      </c>
      <c r="D1816" s="99" t="s">
        <v>92</v>
      </c>
      <c r="E1816" s="99" t="s">
        <v>129</v>
      </c>
      <c r="F1816" s="99" t="s">
        <v>1827</v>
      </c>
      <c r="G1816" s="100">
        <v>757.37750000000005</v>
      </c>
      <c r="H1816" s="101">
        <v>1377.05</v>
      </c>
    </row>
    <row r="1817" spans="1:8">
      <c r="A1817" s="102">
        <v>38225</v>
      </c>
      <c r="B1817" s="102" t="str">
        <f>TEXT($A1817,"mmm")</f>
        <v>Aug</v>
      </c>
      <c r="C1817" s="103" t="s">
        <v>79</v>
      </c>
      <c r="D1817" s="103" t="s">
        <v>92</v>
      </c>
      <c r="E1817" s="103" t="s">
        <v>89</v>
      </c>
      <c r="F1817" s="103" t="s">
        <v>1828</v>
      </c>
      <c r="G1817" s="104">
        <v>3879.2588999999998</v>
      </c>
      <c r="H1817" s="105">
        <v>4148.9399999999996</v>
      </c>
    </row>
    <row r="1818" spans="1:8">
      <c r="A1818" s="97">
        <v>38224</v>
      </c>
      <c r="B1818" s="97" t="str">
        <f>TEXT($A1818,"mmm")</f>
        <v>Aug</v>
      </c>
      <c r="C1818" s="99" t="s">
        <v>86</v>
      </c>
      <c r="D1818" s="99" t="s">
        <v>95</v>
      </c>
      <c r="E1818" s="99" t="s">
        <v>81</v>
      </c>
      <c r="F1818" s="99" t="s">
        <v>1829</v>
      </c>
      <c r="G1818" s="100">
        <v>2637.41995</v>
      </c>
      <c r="H1818" s="101">
        <v>2820.77</v>
      </c>
    </row>
    <row r="1819" spans="1:8">
      <c r="A1819" s="102">
        <v>38224</v>
      </c>
      <c r="B1819" s="102" t="str">
        <f>TEXT($A1819,"mmm")</f>
        <v>Aug</v>
      </c>
      <c r="C1819" s="103" t="s">
        <v>104</v>
      </c>
      <c r="D1819" s="103" t="s">
        <v>87</v>
      </c>
      <c r="E1819" s="103" t="s">
        <v>96</v>
      </c>
      <c r="F1819" s="103" t="s">
        <v>1830</v>
      </c>
      <c r="G1819" s="104">
        <v>666.74479999999994</v>
      </c>
      <c r="H1819" s="105">
        <v>1149.56</v>
      </c>
    </row>
    <row r="1820" spans="1:8">
      <c r="A1820" s="97">
        <v>38222</v>
      </c>
      <c r="B1820" s="97" t="str">
        <f>TEXT($A1820,"mmm")</f>
        <v>Aug</v>
      </c>
      <c r="C1820" s="99" t="s">
        <v>86</v>
      </c>
      <c r="D1820" s="99" t="s">
        <v>92</v>
      </c>
      <c r="E1820" s="99" t="s">
        <v>105</v>
      </c>
      <c r="F1820" s="99" t="s">
        <v>1786</v>
      </c>
      <c r="G1820" s="100">
        <v>8622.1492500000004</v>
      </c>
      <c r="H1820" s="101">
        <v>9221.5499999999993</v>
      </c>
    </row>
    <row r="1821" spans="1:8">
      <c r="A1821" s="102">
        <v>38222</v>
      </c>
      <c r="B1821" s="102" t="str">
        <f>TEXT($A1821,"mmm")</f>
        <v>Aug</v>
      </c>
      <c r="C1821" s="103" t="s">
        <v>107</v>
      </c>
      <c r="D1821" s="103" t="s">
        <v>114</v>
      </c>
      <c r="E1821" s="103" t="s">
        <v>129</v>
      </c>
      <c r="F1821" s="103" t="s">
        <v>1831</v>
      </c>
      <c r="G1821" s="104">
        <v>3304.6064999999999</v>
      </c>
      <c r="H1821" s="105">
        <v>7343.57</v>
      </c>
    </row>
    <row r="1822" spans="1:8">
      <c r="A1822" s="97">
        <v>38222</v>
      </c>
      <c r="B1822" s="97" t="str">
        <f>TEXT($A1822,"mmm")</f>
        <v>Aug</v>
      </c>
      <c r="C1822" s="99" t="s">
        <v>104</v>
      </c>
      <c r="D1822" s="99" t="s">
        <v>95</v>
      </c>
      <c r="E1822" s="99" t="s">
        <v>129</v>
      </c>
      <c r="F1822" s="99" t="s">
        <v>1493</v>
      </c>
      <c r="G1822" s="100">
        <v>3081.9657000000002</v>
      </c>
      <c r="H1822" s="101">
        <v>3296.22</v>
      </c>
    </row>
    <row r="1823" spans="1:8">
      <c r="A1823" s="102">
        <v>38222</v>
      </c>
      <c r="B1823" s="102" t="str">
        <f>TEXT($A1823,"mmm")</f>
        <v>Aug</v>
      </c>
      <c r="C1823" s="103" t="s">
        <v>107</v>
      </c>
      <c r="D1823" s="103" t="s">
        <v>87</v>
      </c>
      <c r="E1823" s="103" t="s">
        <v>129</v>
      </c>
      <c r="F1823" s="103" t="s">
        <v>1832</v>
      </c>
      <c r="G1823" s="104">
        <v>969.23200000000008</v>
      </c>
      <c r="H1823" s="105">
        <v>1762.24</v>
      </c>
    </row>
    <row r="1824" spans="1:8">
      <c r="A1824" s="97">
        <v>38222</v>
      </c>
      <c r="B1824" s="97" t="str">
        <f>TEXT($A1824,"mmm")</f>
        <v>Aug</v>
      </c>
      <c r="C1824" s="99" t="s">
        <v>104</v>
      </c>
      <c r="D1824" s="99" t="s">
        <v>92</v>
      </c>
      <c r="E1824" s="99" t="s">
        <v>89</v>
      </c>
      <c r="F1824" s="99" t="s">
        <v>1833</v>
      </c>
      <c r="G1824" s="100">
        <v>782.59050000000002</v>
      </c>
      <c r="H1824" s="101">
        <v>1739.09</v>
      </c>
    </row>
    <row r="1825" spans="1:8">
      <c r="A1825" s="102">
        <v>38221</v>
      </c>
      <c r="B1825" s="102" t="str">
        <f>TEXT($A1825,"mmm")</f>
        <v>Aug</v>
      </c>
      <c r="C1825" s="103" t="s">
        <v>79</v>
      </c>
      <c r="D1825" s="103" t="s">
        <v>95</v>
      </c>
      <c r="E1825" s="103" t="s">
        <v>122</v>
      </c>
      <c r="F1825" s="103" t="s">
        <v>1834</v>
      </c>
      <c r="G1825" s="104">
        <v>3539.2165000000005</v>
      </c>
      <c r="H1825" s="105">
        <v>9565.4500000000007</v>
      </c>
    </row>
    <row r="1826" spans="1:8">
      <c r="A1826" s="97">
        <v>38221</v>
      </c>
      <c r="B1826" s="97" t="str">
        <f>TEXT($A1826,"mmm")</f>
        <v>Aug</v>
      </c>
      <c r="C1826" s="99" t="s">
        <v>107</v>
      </c>
      <c r="D1826" s="99" t="s">
        <v>114</v>
      </c>
      <c r="E1826" s="99" t="s">
        <v>94</v>
      </c>
      <c r="F1826" s="99" t="s">
        <v>1835</v>
      </c>
      <c r="G1826" s="100">
        <v>3448.9587000000001</v>
      </c>
      <c r="H1826" s="101">
        <v>9321.51</v>
      </c>
    </row>
    <row r="1827" spans="1:8">
      <c r="A1827" s="102">
        <v>38221</v>
      </c>
      <c r="B1827" s="102" t="str">
        <f>TEXT($A1827,"mmm")</f>
        <v>Aug</v>
      </c>
      <c r="C1827" s="103" t="s">
        <v>86</v>
      </c>
      <c r="D1827" s="103" t="s">
        <v>87</v>
      </c>
      <c r="E1827" s="103" t="s">
        <v>96</v>
      </c>
      <c r="F1827" s="103" t="s">
        <v>1836</v>
      </c>
      <c r="G1827" s="104">
        <v>3605.8734999999997</v>
      </c>
      <c r="H1827" s="105">
        <v>6111.65</v>
      </c>
    </row>
    <row r="1828" spans="1:8">
      <c r="A1828" s="97">
        <v>38220</v>
      </c>
      <c r="B1828" s="97" t="str">
        <f>TEXT($A1828,"mmm")</f>
        <v>Aug</v>
      </c>
      <c r="C1828" s="99" t="s">
        <v>104</v>
      </c>
      <c r="D1828" s="99" t="s">
        <v>92</v>
      </c>
      <c r="E1828" s="99" t="s">
        <v>158</v>
      </c>
      <c r="F1828" s="99" t="s">
        <v>1837</v>
      </c>
      <c r="G1828" s="100">
        <v>2606.7183999999997</v>
      </c>
      <c r="H1828" s="101">
        <v>2962.18</v>
      </c>
    </row>
    <row r="1829" spans="1:8">
      <c r="A1829" s="102">
        <v>38220</v>
      </c>
      <c r="B1829" s="102" t="str">
        <f>TEXT($A1829,"mmm")</f>
        <v>Aug</v>
      </c>
      <c r="C1829" s="103" t="s">
        <v>86</v>
      </c>
      <c r="D1829" s="103" t="s">
        <v>101</v>
      </c>
      <c r="E1829" s="103" t="s">
        <v>93</v>
      </c>
      <c r="F1829" s="103" t="s">
        <v>1838</v>
      </c>
      <c r="G1829" s="104">
        <v>1381.9096000000002</v>
      </c>
      <c r="H1829" s="105">
        <v>2032.22</v>
      </c>
    </row>
    <row r="1830" spans="1:8">
      <c r="A1830" s="97">
        <v>38219</v>
      </c>
      <c r="B1830" s="97" t="str">
        <f>TEXT($A1830,"mmm")</f>
        <v>Aug</v>
      </c>
      <c r="C1830" s="99" t="s">
        <v>79</v>
      </c>
      <c r="D1830" s="99" t="s">
        <v>101</v>
      </c>
      <c r="E1830" s="99" t="s">
        <v>93</v>
      </c>
      <c r="F1830" s="99" t="s">
        <v>1839</v>
      </c>
      <c r="G1830" s="100">
        <v>2734.8741999999997</v>
      </c>
      <c r="H1830" s="101">
        <v>4635.38</v>
      </c>
    </row>
    <row r="1831" spans="1:8">
      <c r="A1831" s="102">
        <v>38218</v>
      </c>
      <c r="B1831" s="102" t="str">
        <f>TEXT($A1831,"mmm")</f>
        <v>Aug</v>
      </c>
      <c r="C1831" s="103" t="s">
        <v>104</v>
      </c>
      <c r="D1831" s="103" t="s">
        <v>80</v>
      </c>
      <c r="E1831" s="103" t="s">
        <v>144</v>
      </c>
      <c r="F1831" s="103" t="s">
        <v>1840</v>
      </c>
      <c r="G1831" s="104">
        <v>1427.2638999999999</v>
      </c>
      <c r="H1831" s="105">
        <v>3857.47</v>
      </c>
    </row>
    <row r="1832" spans="1:8">
      <c r="A1832" s="97">
        <v>38217</v>
      </c>
      <c r="B1832" s="97" t="str">
        <f>TEXT($A1832,"mmm")</f>
        <v>Aug</v>
      </c>
      <c r="C1832" s="99" t="s">
        <v>116</v>
      </c>
      <c r="D1832" s="99" t="s">
        <v>95</v>
      </c>
      <c r="E1832" s="99" t="s">
        <v>81</v>
      </c>
      <c r="F1832" s="99" t="s">
        <v>1841</v>
      </c>
      <c r="G1832" s="100">
        <v>4844.0752000000002</v>
      </c>
      <c r="H1832" s="101">
        <v>7123.64</v>
      </c>
    </row>
    <row r="1833" spans="1:8">
      <c r="A1833" s="102">
        <v>38217</v>
      </c>
      <c r="B1833" s="102" t="str">
        <f>TEXT($A1833,"mmm")</f>
        <v>Aug</v>
      </c>
      <c r="C1833" s="103" t="s">
        <v>79</v>
      </c>
      <c r="D1833" s="103" t="s">
        <v>98</v>
      </c>
      <c r="E1833" s="103" t="s">
        <v>120</v>
      </c>
      <c r="F1833" s="103" t="s">
        <v>1842</v>
      </c>
      <c r="G1833" s="104">
        <v>2420.9618</v>
      </c>
      <c r="H1833" s="105">
        <v>6543.14</v>
      </c>
    </row>
    <row r="1834" spans="1:8">
      <c r="A1834" s="97">
        <v>38217</v>
      </c>
      <c r="B1834" s="97" t="str">
        <f>TEXT($A1834,"mmm")</f>
        <v>Aug</v>
      </c>
      <c r="C1834" s="99" t="s">
        <v>107</v>
      </c>
      <c r="D1834" s="99" t="s">
        <v>87</v>
      </c>
      <c r="E1834" s="99" t="s">
        <v>94</v>
      </c>
      <c r="F1834" s="99" t="s">
        <v>1843</v>
      </c>
      <c r="G1834" s="100">
        <v>2575.3365000000003</v>
      </c>
      <c r="H1834" s="101">
        <v>4682.43</v>
      </c>
    </row>
    <row r="1835" spans="1:8">
      <c r="A1835" s="102">
        <v>38217</v>
      </c>
      <c r="B1835" s="102" t="str">
        <f>TEXT($A1835,"mmm")</f>
        <v>Aug</v>
      </c>
      <c r="C1835" s="103" t="s">
        <v>79</v>
      </c>
      <c r="D1835" s="103" t="s">
        <v>127</v>
      </c>
      <c r="E1835" s="103" t="s">
        <v>93</v>
      </c>
      <c r="F1835" s="103" t="s">
        <v>880</v>
      </c>
      <c r="G1835" s="104">
        <v>2991.7649999999999</v>
      </c>
      <c r="H1835" s="105">
        <v>3989.02</v>
      </c>
    </row>
    <row r="1836" spans="1:8">
      <c r="A1836" s="97">
        <v>38216</v>
      </c>
      <c r="B1836" s="97" t="str">
        <f>TEXT($A1836,"mmm")</f>
        <v>Aug</v>
      </c>
      <c r="C1836" s="99" t="s">
        <v>104</v>
      </c>
      <c r="D1836" s="99" t="s">
        <v>92</v>
      </c>
      <c r="E1836" s="99" t="s">
        <v>83</v>
      </c>
      <c r="F1836" s="99" t="s">
        <v>1844</v>
      </c>
      <c r="G1836" s="100">
        <v>6390.6656000000003</v>
      </c>
      <c r="H1836" s="101">
        <v>7262.12</v>
      </c>
    </row>
    <row r="1837" spans="1:8">
      <c r="A1837" s="102">
        <v>38216</v>
      </c>
      <c r="B1837" s="102" t="str">
        <f>TEXT($A1837,"mmm")</f>
        <v>Aug</v>
      </c>
      <c r="C1837" s="103" t="s">
        <v>116</v>
      </c>
      <c r="D1837" s="103" t="s">
        <v>114</v>
      </c>
      <c r="E1837" s="103" t="s">
        <v>94</v>
      </c>
      <c r="F1837" s="103" t="s">
        <v>1845</v>
      </c>
      <c r="G1837" s="104">
        <v>3418.5360000000005</v>
      </c>
      <c r="H1837" s="105">
        <v>6215.52</v>
      </c>
    </row>
    <row r="1838" spans="1:8">
      <c r="A1838" s="97">
        <v>38216</v>
      </c>
      <c r="B1838" s="97" t="str">
        <f>TEXT($A1838,"mmm")</f>
        <v>Aug</v>
      </c>
      <c r="C1838" s="99" t="s">
        <v>79</v>
      </c>
      <c r="D1838" s="99" t="s">
        <v>80</v>
      </c>
      <c r="E1838" s="99" t="s">
        <v>129</v>
      </c>
      <c r="F1838" s="99" t="s">
        <v>1846</v>
      </c>
      <c r="G1838" s="100">
        <v>3740.28</v>
      </c>
      <c r="H1838" s="101">
        <v>4987.04</v>
      </c>
    </row>
    <row r="1839" spans="1:8">
      <c r="A1839" s="102">
        <v>38216</v>
      </c>
      <c r="B1839" s="102" t="str">
        <f>TEXT($A1839,"mmm")</f>
        <v>Aug</v>
      </c>
      <c r="C1839" s="103" t="s">
        <v>79</v>
      </c>
      <c r="D1839" s="103" t="s">
        <v>95</v>
      </c>
      <c r="E1839" s="103" t="s">
        <v>108</v>
      </c>
      <c r="F1839" s="103" t="s">
        <v>1847</v>
      </c>
      <c r="G1839" s="104">
        <v>301.33499999999998</v>
      </c>
      <c r="H1839" s="105">
        <v>401.78</v>
      </c>
    </row>
    <row r="1840" spans="1:8">
      <c r="A1840" s="97">
        <v>38215</v>
      </c>
      <c r="B1840" s="97" t="str">
        <f>TEXT($A1840,"mmm")</f>
        <v>Aug</v>
      </c>
      <c r="C1840" s="99" t="s">
        <v>79</v>
      </c>
      <c r="D1840" s="99" t="s">
        <v>98</v>
      </c>
      <c r="E1840" s="99" t="s">
        <v>81</v>
      </c>
      <c r="F1840" s="99" t="s">
        <v>1848</v>
      </c>
      <c r="G1840" s="100">
        <v>4345.5600000000004</v>
      </c>
      <c r="H1840" s="101">
        <v>5794.08</v>
      </c>
    </row>
    <row r="1841" spans="1:8">
      <c r="A1841" s="102">
        <v>38215</v>
      </c>
      <c r="B1841" s="102" t="str">
        <f>TEXT($A1841,"mmm")</f>
        <v>Aug</v>
      </c>
      <c r="C1841" s="103" t="s">
        <v>79</v>
      </c>
      <c r="D1841" s="103" t="s">
        <v>92</v>
      </c>
      <c r="E1841" s="103" t="s">
        <v>99</v>
      </c>
      <c r="F1841" s="103" t="s">
        <v>1849</v>
      </c>
      <c r="G1841" s="104">
        <v>5014.3632000000007</v>
      </c>
      <c r="H1841" s="105">
        <v>5698.14</v>
      </c>
    </row>
    <row r="1842" spans="1:8">
      <c r="A1842" s="97">
        <v>38215</v>
      </c>
      <c r="B1842" s="97" t="str">
        <f>TEXT($A1842,"mmm")</f>
        <v>Aug</v>
      </c>
      <c r="C1842" s="99" t="s">
        <v>104</v>
      </c>
      <c r="D1842" s="99" t="s">
        <v>95</v>
      </c>
      <c r="E1842" s="99" t="s">
        <v>105</v>
      </c>
      <c r="F1842" s="99" t="s">
        <v>1850</v>
      </c>
      <c r="G1842" s="100">
        <v>2095.9028000000003</v>
      </c>
      <c r="H1842" s="101">
        <v>3082.21</v>
      </c>
    </row>
    <row r="1843" spans="1:8">
      <c r="A1843" s="102">
        <v>38215</v>
      </c>
      <c r="B1843" s="102" t="str">
        <f>TEXT($A1843,"mmm")</f>
        <v>Aug</v>
      </c>
      <c r="C1843" s="103" t="s">
        <v>107</v>
      </c>
      <c r="D1843" s="103" t="s">
        <v>98</v>
      </c>
      <c r="E1843" s="103" t="s">
        <v>83</v>
      </c>
      <c r="F1843" s="103" t="s">
        <v>1851</v>
      </c>
      <c r="G1843" s="104">
        <v>2645.0589</v>
      </c>
      <c r="H1843" s="105">
        <v>2828.94</v>
      </c>
    </row>
    <row r="1844" spans="1:8">
      <c r="A1844" s="97">
        <v>38214</v>
      </c>
      <c r="B1844" s="97" t="str">
        <f>TEXT($A1844,"mmm")</f>
        <v>Aug</v>
      </c>
      <c r="C1844" s="99" t="s">
        <v>86</v>
      </c>
      <c r="D1844" s="99" t="s">
        <v>80</v>
      </c>
      <c r="E1844" s="99" t="s">
        <v>96</v>
      </c>
      <c r="F1844" s="99" t="s">
        <v>1852</v>
      </c>
      <c r="G1844" s="100">
        <v>3778.8529000000003</v>
      </c>
      <c r="H1844" s="101">
        <v>8788.0300000000007</v>
      </c>
    </row>
    <row r="1845" spans="1:8">
      <c r="A1845" s="102">
        <v>38212</v>
      </c>
      <c r="B1845" s="102" t="str">
        <f>TEXT($A1845,"mmm")</f>
        <v>Aug</v>
      </c>
      <c r="C1845" s="103" t="s">
        <v>107</v>
      </c>
      <c r="D1845" s="103" t="s">
        <v>92</v>
      </c>
      <c r="E1845" s="103" t="s">
        <v>108</v>
      </c>
      <c r="F1845" s="103" t="s">
        <v>1853</v>
      </c>
      <c r="G1845" s="104">
        <v>8446.4599999999991</v>
      </c>
      <c r="H1845" s="105">
        <v>9598.25</v>
      </c>
    </row>
    <row r="1846" spans="1:8">
      <c r="A1846" s="97">
        <v>38212</v>
      </c>
      <c r="B1846" s="97" t="str">
        <f>TEXT($A1846,"mmm")</f>
        <v>Aug</v>
      </c>
      <c r="C1846" s="99" t="s">
        <v>79</v>
      </c>
      <c r="D1846" s="99" t="s">
        <v>95</v>
      </c>
      <c r="E1846" s="99" t="s">
        <v>129</v>
      </c>
      <c r="F1846" s="99" t="s">
        <v>1854</v>
      </c>
      <c r="G1846" s="100">
        <v>2791.8868000000002</v>
      </c>
      <c r="H1846" s="101">
        <v>7545.64</v>
      </c>
    </row>
    <row r="1847" spans="1:8">
      <c r="A1847" s="102">
        <v>38212</v>
      </c>
      <c r="B1847" s="102" t="str">
        <f>TEXT($A1847,"mmm")</f>
        <v>Aug</v>
      </c>
      <c r="C1847" s="103" t="s">
        <v>104</v>
      </c>
      <c r="D1847" s="103" t="s">
        <v>98</v>
      </c>
      <c r="E1847" s="103" t="s">
        <v>83</v>
      </c>
      <c r="F1847" s="103" t="s">
        <v>1855</v>
      </c>
      <c r="G1847" s="104">
        <v>4570.1656000000003</v>
      </c>
      <c r="H1847" s="105">
        <v>5193.37</v>
      </c>
    </row>
    <row r="1848" spans="1:8">
      <c r="A1848" s="97">
        <v>38212</v>
      </c>
      <c r="B1848" s="97" t="str">
        <f>TEXT($A1848,"mmm")</f>
        <v>Aug</v>
      </c>
      <c r="C1848" s="99" t="s">
        <v>116</v>
      </c>
      <c r="D1848" s="99" t="s">
        <v>98</v>
      </c>
      <c r="E1848" s="99" t="s">
        <v>89</v>
      </c>
      <c r="F1848" s="99" t="s">
        <v>1856</v>
      </c>
      <c r="G1848" s="100">
        <v>1054.7642000000001</v>
      </c>
      <c r="H1848" s="101">
        <v>2452.94</v>
      </c>
    </row>
    <row r="1849" spans="1:8">
      <c r="A1849" s="102">
        <v>38212</v>
      </c>
      <c r="B1849" s="102" t="str">
        <f>TEXT($A1849,"mmm")</f>
        <v>Aug</v>
      </c>
      <c r="C1849" s="103" t="s">
        <v>86</v>
      </c>
      <c r="D1849" s="103" t="s">
        <v>114</v>
      </c>
      <c r="E1849" s="103" t="s">
        <v>93</v>
      </c>
      <c r="F1849" s="103" t="s">
        <v>1857</v>
      </c>
      <c r="G1849" s="104">
        <v>852.83199999999999</v>
      </c>
      <c r="H1849" s="105">
        <v>1470.4</v>
      </c>
    </row>
    <row r="1850" spans="1:8">
      <c r="A1850" s="97">
        <v>38212</v>
      </c>
      <c r="B1850" s="97" t="str">
        <f>TEXT($A1850,"mmm")</f>
        <v>Aug</v>
      </c>
      <c r="C1850" s="99" t="s">
        <v>79</v>
      </c>
      <c r="D1850" s="99" t="s">
        <v>92</v>
      </c>
      <c r="E1850" s="99" t="s">
        <v>144</v>
      </c>
      <c r="F1850" s="99" t="s">
        <v>1858</v>
      </c>
      <c r="G1850" s="100">
        <v>425.30239999999998</v>
      </c>
      <c r="H1850" s="101">
        <v>733.28</v>
      </c>
    </row>
    <row r="1851" spans="1:8">
      <c r="A1851" s="102">
        <v>38211</v>
      </c>
      <c r="B1851" s="102" t="str">
        <f>TEXT($A1851,"mmm")</f>
        <v>Aug</v>
      </c>
      <c r="C1851" s="103" t="s">
        <v>104</v>
      </c>
      <c r="D1851" s="103" t="s">
        <v>87</v>
      </c>
      <c r="E1851" s="103" t="s">
        <v>129</v>
      </c>
      <c r="F1851" s="103" t="s">
        <v>1859</v>
      </c>
      <c r="G1851" s="104">
        <v>6187.3336000000008</v>
      </c>
      <c r="H1851" s="105">
        <v>9099.02</v>
      </c>
    </row>
    <row r="1852" spans="1:8">
      <c r="A1852" s="97">
        <v>38210</v>
      </c>
      <c r="B1852" s="97" t="str">
        <f>TEXT($A1852,"mmm")</f>
        <v>Aug</v>
      </c>
      <c r="C1852" s="99" t="s">
        <v>79</v>
      </c>
      <c r="D1852" s="99" t="s">
        <v>98</v>
      </c>
      <c r="E1852" s="99" t="s">
        <v>122</v>
      </c>
      <c r="F1852" s="99" t="s">
        <v>454</v>
      </c>
      <c r="G1852" s="100">
        <v>4044.8705000000004</v>
      </c>
      <c r="H1852" s="101">
        <v>7354.31</v>
      </c>
    </row>
    <row r="1853" spans="1:8">
      <c r="A1853" s="102">
        <v>38210</v>
      </c>
      <c r="B1853" s="102" t="str">
        <f>TEXT($A1853,"mmm")</f>
        <v>Aug</v>
      </c>
      <c r="C1853" s="103" t="s">
        <v>104</v>
      </c>
      <c r="D1853" s="103" t="s">
        <v>92</v>
      </c>
      <c r="E1853" s="103" t="s">
        <v>94</v>
      </c>
      <c r="F1853" s="103" t="s">
        <v>260</v>
      </c>
      <c r="G1853" s="104">
        <v>748.44079999999997</v>
      </c>
      <c r="H1853" s="105">
        <v>1740.56</v>
      </c>
    </row>
    <row r="1854" spans="1:8">
      <c r="A1854" s="97">
        <v>38210</v>
      </c>
      <c r="B1854" s="97" t="str">
        <f>TEXT($A1854,"mmm")</f>
        <v>Aug</v>
      </c>
      <c r="C1854" s="99" t="s">
        <v>79</v>
      </c>
      <c r="D1854" s="99" t="s">
        <v>101</v>
      </c>
      <c r="E1854" s="99" t="s">
        <v>108</v>
      </c>
      <c r="F1854" s="99" t="s">
        <v>1860</v>
      </c>
      <c r="G1854" s="100">
        <v>326.77659999999997</v>
      </c>
      <c r="H1854" s="101">
        <v>883.18</v>
      </c>
    </row>
    <row r="1855" spans="1:8">
      <c r="A1855" s="102">
        <v>38209</v>
      </c>
      <c r="B1855" s="102" t="str">
        <f>TEXT($A1855,"mmm")</f>
        <v>Aug</v>
      </c>
      <c r="C1855" s="103" t="s">
        <v>79</v>
      </c>
      <c r="D1855" s="103" t="s">
        <v>92</v>
      </c>
      <c r="E1855" s="103" t="s">
        <v>94</v>
      </c>
      <c r="F1855" s="103" t="s">
        <v>1861</v>
      </c>
      <c r="G1855" s="104">
        <v>5710.9874</v>
      </c>
      <c r="H1855" s="105">
        <v>9846.5300000000007</v>
      </c>
    </row>
    <row r="1856" spans="1:8">
      <c r="A1856" s="97">
        <v>38209</v>
      </c>
      <c r="B1856" s="97" t="str">
        <f>TEXT($A1856,"mmm")</f>
        <v>Aug</v>
      </c>
      <c r="C1856" s="99" t="s">
        <v>86</v>
      </c>
      <c r="D1856" s="99" t="s">
        <v>114</v>
      </c>
      <c r="E1856" s="99" t="s">
        <v>93</v>
      </c>
      <c r="F1856" s="99" t="s">
        <v>1862</v>
      </c>
      <c r="G1856" s="100">
        <v>5686.0357999999997</v>
      </c>
      <c r="H1856" s="101">
        <v>9803.51</v>
      </c>
    </row>
    <row r="1857" spans="1:8">
      <c r="A1857" s="102">
        <v>38209</v>
      </c>
      <c r="B1857" s="102" t="str">
        <f>TEXT($A1857,"mmm")</f>
        <v>Aug</v>
      </c>
      <c r="C1857" s="103" t="s">
        <v>79</v>
      </c>
      <c r="D1857" s="103" t="s">
        <v>101</v>
      </c>
      <c r="E1857" s="103" t="s">
        <v>99</v>
      </c>
      <c r="F1857" s="103" t="s">
        <v>1863</v>
      </c>
      <c r="G1857" s="104">
        <v>169.1525</v>
      </c>
      <c r="H1857" s="105">
        <v>307.55</v>
      </c>
    </row>
    <row r="1858" spans="1:8">
      <c r="A1858" s="97">
        <v>38209</v>
      </c>
      <c r="B1858" s="97" t="str">
        <f>TEXT($A1858,"mmm")</f>
        <v>Aug</v>
      </c>
      <c r="C1858" s="99" t="s">
        <v>107</v>
      </c>
      <c r="D1858" s="99" t="s">
        <v>95</v>
      </c>
      <c r="E1858" s="99" t="s">
        <v>93</v>
      </c>
      <c r="F1858" s="99" t="s">
        <v>472</v>
      </c>
      <c r="G1858" s="100">
        <v>234.08879999999999</v>
      </c>
      <c r="H1858" s="101">
        <v>266.01</v>
      </c>
    </row>
    <row r="1859" spans="1:8">
      <c r="A1859" s="102">
        <v>38208</v>
      </c>
      <c r="B1859" s="102" t="str">
        <f>TEXT($A1859,"mmm")</f>
        <v>Aug</v>
      </c>
      <c r="C1859" s="103" t="s">
        <v>104</v>
      </c>
      <c r="D1859" s="103" t="s">
        <v>114</v>
      </c>
      <c r="E1859" s="103" t="s">
        <v>99</v>
      </c>
      <c r="F1859" s="103" t="s">
        <v>1864</v>
      </c>
      <c r="G1859" s="104">
        <v>1149.2865999999999</v>
      </c>
      <c r="H1859" s="105">
        <v>3106.18</v>
      </c>
    </row>
    <row r="1860" spans="1:8">
      <c r="A1860" s="97">
        <v>38208</v>
      </c>
      <c r="B1860" s="97" t="str">
        <f>TEXT($A1860,"mmm")</f>
        <v>Aug</v>
      </c>
      <c r="C1860" s="99" t="s">
        <v>116</v>
      </c>
      <c r="D1860" s="99" t="s">
        <v>114</v>
      </c>
      <c r="E1860" s="99" t="s">
        <v>96</v>
      </c>
      <c r="F1860" s="99" t="s">
        <v>1865</v>
      </c>
      <c r="G1860" s="100">
        <v>1370.5505000000001</v>
      </c>
      <c r="H1860" s="101">
        <v>2491.91</v>
      </c>
    </row>
    <row r="1861" spans="1:8">
      <c r="A1861" s="102">
        <v>38208</v>
      </c>
      <c r="B1861" s="102" t="str">
        <f>TEXT($A1861,"mmm")</f>
        <v>Aug</v>
      </c>
      <c r="C1861" s="103" t="s">
        <v>107</v>
      </c>
      <c r="D1861" s="103" t="s">
        <v>95</v>
      </c>
      <c r="E1861" s="103" t="s">
        <v>122</v>
      </c>
      <c r="F1861" s="103" t="s">
        <v>1866</v>
      </c>
      <c r="G1861" s="104">
        <v>1950.7224000000001</v>
      </c>
      <c r="H1861" s="105">
        <v>2216.73</v>
      </c>
    </row>
    <row r="1862" spans="1:8">
      <c r="A1862" s="97">
        <v>38207</v>
      </c>
      <c r="B1862" s="97" t="str">
        <f>TEXT($A1862,"mmm")</f>
        <v>Aug</v>
      </c>
      <c r="C1862" s="99" t="s">
        <v>116</v>
      </c>
      <c r="D1862" s="99" t="s">
        <v>95</v>
      </c>
      <c r="E1862" s="99" t="s">
        <v>93</v>
      </c>
      <c r="F1862" s="99" t="s">
        <v>1867</v>
      </c>
      <c r="G1862" s="100">
        <v>7632.068400000001</v>
      </c>
      <c r="H1862" s="101">
        <v>8162.64</v>
      </c>
    </row>
    <row r="1863" spans="1:8">
      <c r="A1863" s="102">
        <v>38206</v>
      </c>
      <c r="B1863" s="102" t="str">
        <f>TEXT($A1863,"mmm")</f>
        <v>Aug</v>
      </c>
      <c r="C1863" s="103" t="s">
        <v>86</v>
      </c>
      <c r="D1863" s="103" t="s">
        <v>101</v>
      </c>
      <c r="E1863" s="103" t="s">
        <v>81</v>
      </c>
      <c r="F1863" s="103" t="s">
        <v>1868</v>
      </c>
      <c r="G1863" s="104">
        <v>799.45459999999991</v>
      </c>
      <c r="H1863" s="105">
        <v>1378.37</v>
      </c>
    </row>
    <row r="1864" spans="1:8">
      <c r="A1864" s="97">
        <v>38205</v>
      </c>
      <c r="B1864" s="97" t="str">
        <f>TEXT($A1864,"mmm")</f>
        <v>Aug</v>
      </c>
      <c r="C1864" s="99" t="s">
        <v>104</v>
      </c>
      <c r="D1864" s="99" t="s">
        <v>95</v>
      </c>
      <c r="E1864" s="99" t="s">
        <v>158</v>
      </c>
      <c r="F1864" s="99" t="s">
        <v>1869</v>
      </c>
      <c r="G1864" s="100">
        <v>3617.0782999999997</v>
      </c>
      <c r="H1864" s="101">
        <v>8411.81</v>
      </c>
    </row>
    <row r="1865" spans="1:8">
      <c r="A1865" s="102">
        <v>38205</v>
      </c>
      <c r="B1865" s="102" t="str">
        <f>TEXT($A1865,"mmm")</f>
        <v>Aug</v>
      </c>
      <c r="C1865" s="103" t="s">
        <v>116</v>
      </c>
      <c r="D1865" s="103" t="s">
        <v>127</v>
      </c>
      <c r="E1865" s="103" t="s">
        <v>93</v>
      </c>
      <c r="F1865" s="103" t="s">
        <v>1870</v>
      </c>
      <c r="G1865" s="104">
        <v>1254.2889</v>
      </c>
      <c r="H1865" s="105">
        <v>3389.97</v>
      </c>
    </row>
    <row r="1866" spans="1:8">
      <c r="A1866" s="97">
        <v>38205</v>
      </c>
      <c r="B1866" s="97" t="str">
        <f>TEXT($A1866,"mmm")</f>
        <v>Aug</v>
      </c>
      <c r="C1866" s="99" t="s">
        <v>104</v>
      </c>
      <c r="D1866" s="99" t="s">
        <v>114</v>
      </c>
      <c r="E1866" s="99" t="s">
        <v>83</v>
      </c>
      <c r="F1866" s="99" t="s">
        <v>1871</v>
      </c>
      <c r="G1866" s="100">
        <v>1600.3240000000001</v>
      </c>
      <c r="H1866" s="101">
        <v>1818.55</v>
      </c>
    </row>
    <row r="1867" spans="1:8">
      <c r="A1867" s="102">
        <v>38204</v>
      </c>
      <c r="B1867" s="102" t="str">
        <f>TEXT($A1867,"mmm")</f>
        <v>Aug</v>
      </c>
      <c r="C1867" s="103" t="s">
        <v>79</v>
      </c>
      <c r="D1867" s="103" t="s">
        <v>101</v>
      </c>
      <c r="E1867" s="103" t="s">
        <v>144</v>
      </c>
      <c r="F1867" s="103" t="s">
        <v>1872</v>
      </c>
      <c r="G1867" s="104">
        <v>3793.5288</v>
      </c>
      <c r="H1867" s="105">
        <v>8822.16</v>
      </c>
    </row>
    <row r="1868" spans="1:8">
      <c r="A1868" s="97">
        <v>38204</v>
      </c>
      <c r="B1868" s="97" t="str">
        <f>TEXT($A1868,"mmm")</f>
        <v>Aug</v>
      </c>
      <c r="C1868" s="99" t="s">
        <v>104</v>
      </c>
      <c r="D1868" s="99" t="s">
        <v>80</v>
      </c>
      <c r="E1868" s="99" t="s">
        <v>120</v>
      </c>
      <c r="F1868" s="99" t="s">
        <v>1873</v>
      </c>
      <c r="G1868" s="100">
        <v>4561.1984000000002</v>
      </c>
      <c r="H1868" s="101">
        <v>5183.18</v>
      </c>
    </row>
    <row r="1869" spans="1:8">
      <c r="A1869" s="102">
        <v>38203</v>
      </c>
      <c r="B1869" s="102" t="str">
        <f>TEXT($A1869,"mmm")</f>
        <v>Aug</v>
      </c>
      <c r="C1869" s="103" t="s">
        <v>79</v>
      </c>
      <c r="D1869" s="103" t="s">
        <v>98</v>
      </c>
      <c r="E1869" s="103" t="s">
        <v>105</v>
      </c>
      <c r="F1869" s="103" t="s">
        <v>1601</v>
      </c>
      <c r="G1869" s="104">
        <v>839.18700000000001</v>
      </c>
      <c r="H1869" s="105">
        <v>1864.86</v>
      </c>
    </row>
    <row r="1870" spans="1:8">
      <c r="A1870" s="97">
        <v>38202</v>
      </c>
      <c r="B1870" s="97" t="str">
        <f>TEXT($A1870,"mmm")</f>
        <v>Aug</v>
      </c>
      <c r="C1870" s="99" t="s">
        <v>79</v>
      </c>
      <c r="D1870" s="99" t="s">
        <v>101</v>
      </c>
      <c r="E1870" s="99" t="s">
        <v>89</v>
      </c>
      <c r="F1870" s="99" t="s">
        <v>1874</v>
      </c>
      <c r="G1870" s="100">
        <v>8930.0073499999999</v>
      </c>
      <c r="H1870" s="101">
        <v>9550.81</v>
      </c>
    </row>
    <row r="1871" spans="1:8">
      <c r="A1871" s="102">
        <v>38202</v>
      </c>
      <c r="B1871" s="102" t="str">
        <f>TEXT($A1871,"mmm")</f>
        <v>Aug</v>
      </c>
      <c r="C1871" s="103" t="s">
        <v>107</v>
      </c>
      <c r="D1871" s="103" t="s">
        <v>98</v>
      </c>
      <c r="E1871" s="103" t="s">
        <v>120</v>
      </c>
      <c r="F1871" s="103" t="s">
        <v>1875</v>
      </c>
      <c r="G1871" s="104">
        <v>3758.9611</v>
      </c>
      <c r="H1871" s="105">
        <v>8741.77</v>
      </c>
    </row>
    <row r="1872" spans="1:8">
      <c r="A1872" s="97">
        <v>38202</v>
      </c>
      <c r="B1872" s="97" t="str">
        <f>TEXT($A1872,"mmm")</f>
        <v>Aug</v>
      </c>
      <c r="C1872" s="99" t="s">
        <v>86</v>
      </c>
      <c r="D1872" s="99" t="s">
        <v>80</v>
      </c>
      <c r="E1872" s="99" t="s">
        <v>144</v>
      </c>
      <c r="F1872" s="99" t="s">
        <v>1876</v>
      </c>
      <c r="G1872" s="100">
        <v>3972.4256</v>
      </c>
      <c r="H1872" s="101">
        <v>4514.12</v>
      </c>
    </row>
    <row r="1873" spans="1:8">
      <c r="A1873" s="102">
        <v>38202</v>
      </c>
      <c r="B1873" s="102" t="str">
        <f>TEXT($A1873,"mmm")</f>
        <v>Aug</v>
      </c>
      <c r="C1873" s="103" t="s">
        <v>107</v>
      </c>
      <c r="D1873" s="103" t="s">
        <v>114</v>
      </c>
      <c r="E1873" s="103" t="s">
        <v>108</v>
      </c>
      <c r="F1873" s="103" t="s">
        <v>1877</v>
      </c>
      <c r="G1873" s="104">
        <v>1281.1804999999999</v>
      </c>
      <c r="H1873" s="105">
        <v>3462.65</v>
      </c>
    </row>
    <row r="1874" spans="1:8">
      <c r="A1874" s="97">
        <v>38202</v>
      </c>
      <c r="B1874" s="97" t="str">
        <f>TEXT($A1874,"mmm")</f>
        <v>Aug</v>
      </c>
      <c r="C1874" s="99" t="s">
        <v>86</v>
      </c>
      <c r="D1874" s="99" t="s">
        <v>95</v>
      </c>
      <c r="E1874" s="99" t="s">
        <v>89</v>
      </c>
      <c r="F1874" s="99" t="s">
        <v>1878</v>
      </c>
      <c r="G1874" s="100">
        <v>1271.6324999999999</v>
      </c>
      <c r="H1874" s="101">
        <v>2825.85</v>
      </c>
    </row>
    <row r="1875" spans="1:8">
      <c r="A1875" s="102">
        <v>38202</v>
      </c>
      <c r="B1875" s="102" t="str">
        <f>TEXT($A1875,"mmm")</f>
        <v>Aug</v>
      </c>
      <c r="C1875" s="103" t="s">
        <v>86</v>
      </c>
      <c r="D1875" s="103" t="s">
        <v>92</v>
      </c>
      <c r="E1875" s="103" t="s">
        <v>93</v>
      </c>
      <c r="F1875" s="103" t="s">
        <v>1879</v>
      </c>
      <c r="G1875" s="104">
        <v>421.61680000000001</v>
      </c>
      <c r="H1875" s="105">
        <v>479.11</v>
      </c>
    </row>
    <row r="1876" spans="1:8">
      <c r="A1876" s="97">
        <v>38200</v>
      </c>
      <c r="B1876" s="97" t="str">
        <f>TEXT($A1876,"mmm")</f>
        <v>Aug</v>
      </c>
      <c r="C1876" s="99" t="s">
        <v>79</v>
      </c>
      <c r="D1876" s="99" t="s">
        <v>114</v>
      </c>
      <c r="E1876" s="99" t="s">
        <v>129</v>
      </c>
      <c r="F1876" s="99" t="s">
        <v>1880</v>
      </c>
      <c r="G1876" s="100">
        <v>4595.2060000000001</v>
      </c>
      <c r="H1876" s="101">
        <v>8354.92</v>
      </c>
    </row>
    <row r="1877" spans="1:8">
      <c r="A1877" s="102">
        <v>38200</v>
      </c>
      <c r="B1877" s="102" t="str">
        <f>TEXT($A1877,"mmm")</f>
        <v>Aug</v>
      </c>
      <c r="C1877" s="103" t="s">
        <v>79</v>
      </c>
      <c r="D1877" s="103" t="s">
        <v>101</v>
      </c>
      <c r="E1877" s="103" t="s">
        <v>108</v>
      </c>
      <c r="F1877" s="103" t="s">
        <v>1881</v>
      </c>
      <c r="G1877" s="104">
        <v>3565.9298000000003</v>
      </c>
      <c r="H1877" s="105">
        <v>8292.86</v>
      </c>
    </row>
    <row r="1878" spans="1:8">
      <c r="A1878" s="97">
        <v>38200</v>
      </c>
      <c r="B1878" s="97" t="str">
        <f>TEXT($A1878,"mmm")</f>
        <v>Aug</v>
      </c>
      <c r="C1878" s="99" t="s">
        <v>79</v>
      </c>
      <c r="D1878" s="99" t="s">
        <v>114</v>
      </c>
      <c r="E1878" s="99" t="s">
        <v>108</v>
      </c>
      <c r="F1878" s="99" t="s">
        <v>1882</v>
      </c>
      <c r="G1878" s="100">
        <v>5948.0550000000003</v>
      </c>
      <c r="H1878" s="101">
        <v>7930.74</v>
      </c>
    </row>
    <row r="1879" spans="1:8">
      <c r="A1879" s="102">
        <v>38200</v>
      </c>
      <c r="B1879" s="102" t="str">
        <f>TEXT($A1879,"mmm")</f>
        <v>Aug</v>
      </c>
      <c r="C1879" s="103" t="s">
        <v>107</v>
      </c>
      <c r="D1879" s="103" t="s">
        <v>87</v>
      </c>
      <c r="E1879" s="103" t="s">
        <v>93</v>
      </c>
      <c r="F1879" s="103" t="s">
        <v>1883</v>
      </c>
      <c r="G1879" s="104">
        <v>2934.8968</v>
      </c>
      <c r="H1879" s="105">
        <v>3335.11</v>
      </c>
    </row>
    <row r="1880" spans="1:8">
      <c r="A1880" s="97">
        <v>38200</v>
      </c>
      <c r="B1880" s="97" t="str">
        <f>TEXT($A1880,"mmm")</f>
        <v>Aug</v>
      </c>
      <c r="C1880" s="99" t="s">
        <v>104</v>
      </c>
      <c r="D1880" s="99" t="s">
        <v>114</v>
      </c>
      <c r="E1880" s="99" t="s">
        <v>105</v>
      </c>
      <c r="F1880" s="99" t="s">
        <v>1884</v>
      </c>
      <c r="G1880" s="100">
        <v>2222.2552000000001</v>
      </c>
      <c r="H1880" s="101">
        <v>2525.29</v>
      </c>
    </row>
    <row r="1881" spans="1:8">
      <c r="A1881" s="102">
        <v>38200</v>
      </c>
      <c r="B1881" s="102" t="str">
        <f>TEXT($A1881,"mmm")</f>
        <v>Aug</v>
      </c>
      <c r="C1881" s="103" t="s">
        <v>79</v>
      </c>
      <c r="D1881" s="103" t="s">
        <v>80</v>
      </c>
      <c r="E1881" s="103" t="s">
        <v>81</v>
      </c>
      <c r="F1881" s="103" t="s">
        <v>1885</v>
      </c>
      <c r="G1881" s="104">
        <v>534.57539999999995</v>
      </c>
      <c r="H1881" s="105">
        <v>906.06</v>
      </c>
    </row>
    <row r="1882" spans="1:8">
      <c r="A1882" s="97">
        <v>38199</v>
      </c>
      <c r="B1882" s="97" t="str">
        <f>TEXT($A1882,"mmm")</f>
        <v>Jul</v>
      </c>
      <c r="C1882" s="99" t="s">
        <v>86</v>
      </c>
      <c r="D1882" s="99" t="s">
        <v>87</v>
      </c>
      <c r="E1882" s="99" t="s">
        <v>108</v>
      </c>
      <c r="F1882" s="99" t="s">
        <v>1886</v>
      </c>
      <c r="G1882" s="100">
        <v>5937.0595999999996</v>
      </c>
      <c r="H1882" s="101">
        <v>8730.9699999999993</v>
      </c>
    </row>
    <row r="1883" spans="1:8">
      <c r="A1883" s="102">
        <v>38199</v>
      </c>
      <c r="B1883" s="102" t="str">
        <f>TEXT($A1883,"mmm")</f>
        <v>Jul</v>
      </c>
      <c r="C1883" s="103" t="s">
        <v>79</v>
      </c>
      <c r="D1883" s="103" t="s">
        <v>80</v>
      </c>
      <c r="E1883" s="103" t="s">
        <v>94</v>
      </c>
      <c r="F1883" s="103" t="s">
        <v>1887</v>
      </c>
      <c r="G1883" s="104">
        <v>6526.0447999999997</v>
      </c>
      <c r="H1883" s="105">
        <v>7415.96</v>
      </c>
    </row>
    <row r="1884" spans="1:8">
      <c r="A1884" s="97">
        <v>38199</v>
      </c>
      <c r="B1884" s="97" t="str">
        <f>TEXT($A1884,"mmm")</f>
        <v>Jul</v>
      </c>
      <c r="C1884" s="99" t="s">
        <v>79</v>
      </c>
      <c r="D1884" s="99" t="s">
        <v>95</v>
      </c>
      <c r="E1884" s="99" t="s">
        <v>96</v>
      </c>
      <c r="F1884" s="99" t="s">
        <v>1888</v>
      </c>
      <c r="G1884" s="100">
        <v>2830.6724999999997</v>
      </c>
      <c r="H1884" s="101">
        <v>4797.75</v>
      </c>
    </row>
    <row r="1885" spans="1:8">
      <c r="A1885" s="102">
        <v>38199</v>
      </c>
      <c r="B1885" s="102" t="str">
        <f>TEXT($A1885,"mmm")</f>
        <v>Jul</v>
      </c>
      <c r="C1885" s="103" t="s">
        <v>104</v>
      </c>
      <c r="D1885" s="103" t="s">
        <v>98</v>
      </c>
      <c r="E1885" s="103" t="s">
        <v>144</v>
      </c>
      <c r="F1885" s="103" t="s">
        <v>1889</v>
      </c>
      <c r="G1885" s="104">
        <v>798.1961</v>
      </c>
      <c r="H1885" s="105">
        <v>1856.27</v>
      </c>
    </row>
    <row r="1886" spans="1:8">
      <c r="A1886" s="97">
        <v>38199</v>
      </c>
      <c r="B1886" s="97" t="str">
        <f>TEXT($A1886,"mmm")</f>
        <v>Jul</v>
      </c>
      <c r="C1886" s="99" t="s">
        <v>79</v>
      </c>
      <c r="D1886" s="99" t="s">
        <v>98</v>
      </c>
      <c r="E1886" s="99" t="s">
        <v>105</v>
      </c>
      <c r="F1886" s="99" t="s">
        <v>1890</v>
      </c>
      <c r="G1886" s="100">
        <v>962.9235000000001</v>
      </c>
      <c r="H1886" s="101">
        <v>1750.77</v>
      </c>
    </row>
    <row r="1887" spans="1:8">
      <c r="A1887" s="102">
        <v>38198</v>
      </c>
      <c r="B1887" s="102" t="str">
        <f>TEXT($A1887,"mmm")</f>
        <v>Jul</v>
      </c>
      <c r="C1887" s="103" t="s">
        <v>116</v>
      </c>
      <c r="D1887" s="103" t="s">
        <v>127</v>
      </c>
      <c r="E1887" s="103" t="s">
        <v>105</v>
      </c>
      <c r="F1887" s="103" t="s">
        <v>1891</v>
      </c>
      <c r="G1887" s="104">
        <v>6831.5120500000003</v>
      </c>
      <c r="H1887" s="105">
        <v>7306.43</v>
      </c>
    </row>
    <row r="1888" spans="1:8">
      <c r="A1888" s="97">
        <v>38198</v>
      </c>
      <c r="B1888" s="97" t="str">
        <f>TEXT($A1888,"mmm")</f>
        <v>Jul</v>
      </c>
      <c r="C1888" s="99" t="s">
        <v>104</v>
      </c>
      <c r="D1888" s="99" t="s">
        <v>95</v>
      </c>
      <c r="E1888" s="99" t="s">
        <v>120</v>
      </c>
      <c r="F1888" s="99" t="s">
        <v>1601</v>
      </c>
      <c r="G1888" s="100">
        <v>816.15215000000001</v>
      </c>
      <c r="H1888" s="101">
        <v>872.89</v>
      </c>
    </row>
    <row r="1889" spans="1:8">
      <c r="A1889" s="102">
        <v>38197</v>
      </c>
      <c r="B1889" s="102" t="str">
        <f>TEXT($A1889,"mmm")</f>
        <v>Jul</v>
      </c>
      <c r="C1889" s="103" t="s">
        <v>104</v>
      </c>
      <c r="D1889" s="103" t="s">
        <v>127</v>
      </c>
      <c r="E1889" s="103" t="s">
        <v>129</v>
      </c>
      <c r="F1889" s="103" t="s">
        <v>1596</v>
      </c>
      <c r="G1889" s="104">
        <v>4675.335500000001</v>
      </c>
      <c r="H1889" s="105">
        <v>8500.61</v>
      </c>
    </row>
    <row r="1890" spans="1:8">
      <c r="A1890" s="97">
        <v>38197</v>
      </c>
      <c r="B1890" s="97" t="str">
        <f>TEXT($A1890,"mmm")</f>
        <v>Jul</v>
      </c>
      <c r="C1890" s="99" t="s">
        <v>79</v>
      </c>
      <c r="D1890" s="99" t="s">
        <v>101</v>
      </c>
      <c r="E1890" s="99" t="s">
        <v>105</v>
      </c>
      <c r="F1890" s="99" t="s">
        <v>1892</v>
      </c>
      <c r="G1890" s="100">
        <v>3961.1655999999998</v>
      </c>
      <c r="H1890" s="101">
        <v>6713.84</v>
      </c>
    </row>
    <row r="1891" spans="1:8">
      <c r="A1891" s="102">
        <v>38196</v>
      </c>
      <c r="B1891" s="102" t="str">
        <f>TEXT($A1891,"mmm")</f>
        <v>Jul</v>
      </c>
      <c r="C1891" s="103" t="s">
        <v>107</v>
      </c>
      <c r="D1891" s="103" t="s">
        <v>114</v>
      </c>
      <c r="E1891" s="103" t="s">
        <v>96</v>
      </c>
      <c r="F1891" s="103" t="s">
        <v>1893</v>
      </c>
      <c r="G1891" s="104">
        <v>3856.1411000000003</v>
      </c>
      <c r="H1891" s="105">
        <v>8967.77</v>
      </c>
    </row>
    <row r="1892" spans="1:8">
      <c r="A1892" s="97">
        <v>38196</v>
      </c>
      <c r="B1892" s="97" t="str">
        <f>TEXT($A1892,"mmm")</f>
        <v>Jul</v>
      </c>
      <c r="C1892" s="99" t="s">
        <v>79</v>
      </c>
      <c r="D1892" s="99" t="s">
        <v>80</v>
      </c>
      <c r="E1892" s="99" t="s">
        <v>89</v>
      </c>
      <c r="F1892" s="99" t="s">
        <v>1894</v>
      </c>
      <c r="G1892" s="100">
        <v>4020.66</v>
      </c>
      <c r="H1892" s="101">
        <v>8934.7999999999993</v>
      </c>
    </row>
    <row r="1893" spans="1:8">
      <c r="A1893" s="102">
        <v>38196</v>
      </c>
      <c r="B1893" s="102" t="str">
        <f>TEXT($A1893,"mmm")</f>
        <v>Jul</v>
      </c>
      <c r="C1893" s="103" t="s">
        <v>107</v>
      </c>
      <c r="D1893" s="103" t="s">
        <v>95</v>
      </c>
      <c r="E1893" s="103" t="s">
        <v>93</v>
      </c>
      <c r="F1893" s="103" t="s">
        <v>243</v>
      </c>
      <c r="G1893" s="104">
        <v>4400.1055999999999</v>
      </c>
      <c r="H1893" s="105">
        <v>5000.12</v>
      </c>
    </row>
    <row r="1894" spans="1:8">
      <c r="A1894" s="97">
        <v>38195</v>
      </c>
      <c r="B1894" s="97" t="str">
        <f>TEXT($A1894,"mmm")</f>
        <v>Jul</v>
      </c>
      <c r="C1894" s="99" t="s">
        <v>79</v>
      </c>
      <c r="D1894" s="99" t="s">
        <v>95</v>
      </c>
      <c r="E1894" s="99" t="s">
        <v>81</v>
      </c>
      <c r="F1894" s="99" t="s">
        <v>1895</v>
      </c>
      <c r="G1894" s="100">
        <v>7078.8476000000001</v>
      </c>
      <c r="H1894" s="101">
        <v>7570.96</v>
      </c>
    </row>
    <row r="1895" spans="1:8">
      <c r="A1895" s="102">
        <v>38195</v>
      </c>
      <c r="B1895" s="102" t="str">
        <f>TEXT($A1895,"mmm")</f>
        <v>Jul</v>
      </c>
      <c r="C1895" s="103" t="s">
        <v>79</v>
      </c>
      <c r="D1895" s="103" t="s">
        <v>127</v>
      </c>
      <c r="E1895" s="103" t="s">
        <v>89</v>
      </c>
      <c r="F1895" s="103" t="s">
        <v>1682</v>
      </c>
      <c r="G1895" s="104">
        <v>245.50239999999999</v>
      </c>
      <c r="H1895" s="105">
        <v>663.52</v>
      </c>
    </row>
    <row r="1896" spans="1:8">
      <c r="A1896" s="97">
        <v>38194</v>
      </c>
      <c r="B1896" s="97" t="str">
        <f>TEXT($A1896,"mmm")</f>
        <v>Jul</v>
      </c>
      <c r="C1896" s="99" t="s">
        <v>116</v>
      </c>
      <c r="D1896" s="99" t="s">
        <v>95</v>
      </c>
      <c r="E1896" s="99" t="s">
        <v>83</v>
      </c>
      <c r="F1896" s="99" t="s">
        <v>1896</v>
      </c>
      <c r="G1896" s="100">
        <v>3913.9425000000001</v>
      </c>
      <c r="H1896" s="101">
        <v>5218.59</v>
      </c>
    </row>
    <row r="1897" spans="1:8">
      <c r="A1897" s="102">
        <v>38193</v>
      </c>
      <c r="B1897" s="102" t="str">
        <f>TEXT($A1897,"mmm")</f>
        <v>Jul</v>
      </c>
      <c r="C1897" s="103" t="s">
        <v>79</v>
      </c>
      <c r="D1897" s="103" t="s">
        <v>95</v>
      </c>
      <c r="E1897" s="103" t="s">
        <v>83</v>
      </c>
      <c r="F1897" s="103" t="s">
        <v>1897</v>
      </c>
      <c r="G1897" s="104">
        <v>4488.7139999999999</v>
      </c>
      <c r="H1897" s="105">
        <v>9974.92</v>
      </c>
    </row>
    <row r="1898" spans="1:8">
      <c r="A1898" s="97">
        <v>38193</v>
      </c>
      <c r="B1898" s="97" t="str">
        <f>TEXT($A1898,"mmm")</f>
        <v>Jul</v>
      </c>
      <c r="C1898" s="99" t="s">
        <v>116</v>
      </c>
      <c r="D1898" s="99" t="s">
        <v>87</v>
      </c>
      <c r="E1898" s="99" t="s">
        <v>129</v>
      </c>
      <c r="F1898" s="99" t="s">
        <v>1898</v>
      </c>
      <c r="G1898" s="100">
        <v>7400.6774999999998</v>
      </c>
      <c r="H1898" s="101">
        <v>9867.57</v>
      </c>
    </row>
    <row r="1899" spans="1:8">
      <c r="A1899" s="102">
        <v>38193</v>
      </c>
      <c r="B1899" s="102" t="str">
        <f>TEXT($A1899,"mmm")</f>
        <v>Jul</v>
      </c>
      <c r="C1899" s="103" t="s">
        <v>104</v>
      </c>
      <c r="D1899" s="103" t="s">
        <v>98</v>
      </c>
      <c r="E1899" s="103" t="s">
        <v>105</v>
      </c>
      <c r="F1899" s="103" t="s">
        <v>1899</v>
      </c>
      <c r="G1899" s="104">
        <v>2898.5697999999998</v>
      </c>
      <c r="H1899" s="105">
        <v>6740.86</v>
      </c>
    </row>
    <row r="1900" spans="1:8">
      <c r="A1900" s="97">
        <v>38193</v>
      </c>
      <c r="B1900" s="97" t="str">
        <f>TEXT($A1900,"mmm")</f>
        <v>Jul</v>
      </c>
      <c r="C1900" s="99" t="s">
        <v>107</v>
      </c>
      <c r="D1900" s="99" t="s">
        <v>101</v>
      </c>
      <c r="E1900" s="99" t="s">
        <v>83</v>
      </c>
      <c r="F1900" s="99" t="s">
        <v>1900</v>
      </c>
      <c r="G1900" s="100">
        <v>307.44749999999999</v>
      </c>
      <c r="H1900" s="101">
        <v>409.93</v>
      </c>
    </row>
    <row r="1901" spans="1:8">
      <c r="A1901" s="102">
        <v>38192</v>
      </c>
      <c r="B1901" s="102" t="str">
        <f>TEXT($A1901,"mmm")</f>
        <v>Jul</v>
      </c>
      <c r="C1901" s="103" t="s">
        <v>107</v>
      </c>
      <c r="D1901" s="103" t="s">
        <v>114</v>
      </c>
      <c r="E1901" s="103" t="s">
        <v>81</v>
      </c>
      <c r="F1901" s="103" t="s">
        <v>1901</v>
      </c>
      <c r="G1901" s="104">
        <v>4232.2455</v>
      </c>
      <c r="H1901" s="105">
        <v>9404.99</v>
      </c>
    </row>
    <row r="1902" spans="1:8">
      <c r="A1902" s="97">
        <v>38192</v>
      </c>
      <c r="B1902" s="97" t="str">
        <f>TEXT($A1902,"mmm")</f>
        <v>Jul</v>
      </c>
      <c r="C1902" s="99" t="s">
        <v>107</v>
      </c>
      <c r="D1902" s="99" t="s">
        <v>80</v>
      </c>
      <c r="E1902" s="99" t="s">
        <v>144</v>
      </c>
      <c r="F1902" s="99" t="s">
        <v>1902</v>
      </c>
      <c r="G1902" s="100">
        <v>3807.9720000000002</v>
      </c>
      <c r="H1902" s="101">
        <v>8462.16</v>
      </c>
    </row>
    <row r="1903" spans="1:8">
      <c r="A1903" s="102">
        <v>38192</v>
      </c>
      <c r="B1903" s="102" t="str">
        <f>TEXT($A1903,"mmm")</f>
        <v>Jul</v>
      </c>
      <c r="C1903" s="103" t="s">
        <v>86</v>
      </c>
      <c r="D1903" s="103" t="s">
        <v>87</v>
      </c>
      <c r="E1903" s="103" t="s">
        <v>93</v>
      </c>
      <c r="F1903" s="103" t="s">
        <v>1903</v>
      </c>
      <c r="G1903" s="104">
        <v>3410.2440000000001</v>
      </c>
      <c r="H1903" s="105">
        <v>7578.32</v>
      </c>
    </row>
    <row r="1904" spans="1:8">
      <c r="A1904" s="97">
        <v>38192</v>
      </c>
      <c r="B1904" s="97" t="str">
        <f>TEXT($A1904,"mmm")</f>
        <v>Jul</v>
      </c>
      <c r="C1904" s="99" t="s">
        <v>79</v>
      </c>
      <c r="D1904" s="99" t="s">
        <v>98</v>
      </c>
      <c r="E1904" s="99" t="s">
        <v>120</v>
      </c>
      <c r="F1904" s="99" t="s">
        <v>1904</v>
      </c>
      <c r="G1904" s="100">
        <v>660.75750000000005</v>
      </c>
      <c r="H1904" s="101">
        <v>881.01</v>
      </c>
    </row>
    <row r="1905" spans="1:8">
      <c r="A1905" s="102">
        <v>38191</v>
      </c>
      <c r="B1905" s="102" t="str">
        <f>TEXT($A1905,"mmm")</f>
        <v>Jul</v>
      </c>
      <c r="C1905" s="103" t="s">
        <v>107</v>
      </c>
      <c r="D1905" s="103" t="s">
        <v>114</v>
      </c>
      <c r="E1905" s="103" t="s">
        <v>144</v>
      </c>
      <c r="F1905" s="103" t="s">
        <v>1905</v>
      </c>
      <c r="G1905" s="104">
        <v>4591.3901999999998</v>
      </c>
      <c r="H1905" s="105">
        <v>7916.19</v>
      </c>
    </row>
    <row r="1906" spans="1:8">
      <c r="A1906" s="97">
        <v>38191</v>
      </c>
      <c r="B1906" s="97" t="str">
        <f>TEXT($A1906,"mmm")</f>
        <v>Jul</v>
      </c>
      <c r="C1906" s="99" t="s">
        <v>86</v>
      </c>
      <c r="D1906" s="99" t="s">
        <v>92</v>
      </c>
      <c r="E1906" s="99" t="s">
        <v>105</v>
      </c>
      <c r="F1906" s="99" t="s">
        <v>1906</v>
      </c>
      <c r="G1906" s="100">
        <v>1152.1688999999999</v>
      </c>
      <c r="H1906" s="101">
        <v>3113.97</v>
      </c>
    </row>
    <row r="1907" spans="1:8">
      <c r="A1907" s="102">
        <v>38191</v>
      </c>
      <c r="B1907" s="102" t="str">
        <f>TEXT($A1907,"mmm")</f>
        <v>Jul</v>
      </c>
      <c r="C1907" s="103" t="s">
        <v>116</v>
      </c>
      <c r="D1907" s="103" t="s">
        <v>95</v>
      </c>
      <c r="E1907" s="103" t="s">
        <v>105</v>
      </c>
      <c r="F1907" s="103" t="s">
        <v>1907</v>
      </c>
      <c r="G1907" s="104">
        <v>829.32959999999991</v>
      </c>
      <c r="H1907" s="105">
        <v>942.42</v>
      </c>
    </row>
    <row r="1908" spans="1:8">
      <c r="A1908" s="97">
        <v>38190</v>
      </c>
      <c r="B1908" s="97" t="str">
        <f>TEXT($A1908,"mmm")</f>
        <v>Jul</v>
      </c>
      <c r="C1908" s="99" t="s">
        <v>79</v>
      </c>
      <c r="D1908" s="99" t="s">
        <v>101</v>
      </c>
      <c r="E1908" s="99" t="s">
        <v>144</v>
      </c>
      <c r="F1908" s="99" t="s">
        <v>1908</v>
      </c>
      <c r="G1908" s="100">
        <v>3116.7431999999999</v>
      </c>
      <c r="H1908" s="101">
        <v>7248.24</v>
      </c>
    </row>
    <row r="1909" spans="1:8">
      <c r="A1909" s="102">
        <v>38190</v>
      </c>
      <c r="B1909" s="102" t="str">
        <f>TEXT($A1909,"mmm")</f>
        <v>Jul</v>
      </c>
      <c r="C1909" s="103" t="s">
        <v>104</v>
      </c>
      <c r="D1909" s="103" t="s">
        <v>101</v>
      </c>
      <c r="E1909" s="103" t="s">
        <v>83</v>
      </c>
      <c r="F1909" s="103" t="s">
        <v>1909</v>
      </c>
      <c r="G1909" s="104">
        <v>1476.1112999999998</v>
      </c>
      <c r="H1909" s="105">
        <v>3989.49</v>
      </c>
    </row>
    <row r="1910" spans="1:8">
      <c r="A1910" s="97">
        <v>38190</v>
      </c>
      <c r="B1910" s="97" t="str">
        <f>TEXT($A1910,"mmm")</f>
        <v>Jul</v>
      </c>
      <c r="C1910" s="99" t="s">
        <v>86</v>
      </c>
      <c r="D1910" s="99" t="s">
        <v>114</v>
      </c>
      <c r="E1910" s="99" t="s">
        <v>99</v>
      </c>
      <c r="F1910" s="99" t="s">
        <v>1910</v>
      </c>
      <c r="G1910" s="100">
        <v>1926.5388</v>
      </c>
      <c r="H1910" s="101">
        <v>3265.32</v>
      </c>
    </row>
    <row r="1911" spans="1:8">
      <c r="A1911" s="102">
        <v>38190</v>
      </c>
      <c r="B1911" s="102" t="str">
        <f>TEXT($A1911,"mmm")</f>
        <v>Jul</v>
      </c>
      <c r="C1911" s="103" t="s">
        <v>116</v>
      </c>
      <c r="D1911" s="103" t="s">
        <v>92</v>
      </c>
      <c r="E1911" s="103" t="s">
        <v>99</v>
      </c>
      <c r="F1911" s="103" t="s">
        <v>738</v>
      </c>
      <c r="G1911" s="104">
        <v>704.27079999999989</v>
      </c>
      <c r="H1911" s="105">
        <v>1214.26</v>
      </c>
    </row>
    <row r="1912" spans="1:8">
      <c r="A1912" s="97">
        <v>38190</v>
      </c>
      <c r="B1912" s="97" t="str">
        <f>TEXT($A1912,"mmm")</f>
        <v>Jul</v>
      </c>
      <c r="C1912" s="99" t="s">
        <v>79</v>
      </c>
      <c r="D1912" s="99" t="s">
        <v>92</v>
      </c>
      <c r="E1912" s="99" t="s">
        <v>144</v>
      </c>
      <c r="F1912" s="99" t="s">
        <v>1911</v>
      </c>
      <c r="G1912" s="100">
        <v>649.5005000000001</v>
      </c>
      <c r="H1912" s="101">
        <v>1180.9100000000001</v>
      </c>
    </row>
    <row r="1913" spans="1:8">
      <c r="A1913" s="102">
        <v>38189</v>
      </c>
      <c r="B1913" s="102" t="str">
        <f>TEXT($A1913,"mmm")</f>
        <v>Jul</v>
      </c>
      <c r="C1913" s="103" t="s">
        <v>79</v>
      </c>
      <c r="D1913" s="103" t="s">
        <v>101</v>
      </c>
      <c r="E1913" s="103" t="s">
        <v>83</v>
      </c>
      <c r="F1913" s="103" t="s">
        <v>1912</v>
      </c>
      <c r="G1913" s="104">
        <v>6587.7</v>
      </c>
      <c r="H1913" s="105">
        <v>8783.6</v>
      </c>
    </row>
    <row r="1914" spans="1:8">
      <c r="A1914" s="97">
        <v>38189</v>
      </c>
      <c r="B1914" s="97" t="str">
        <f>TEXT($A1914,"mmm")</f>
        <v>Jul</v>
      </c>
      <c r="C1914" s="99" t="s">
        <v>104</v>
      </c>
      <c r="D1914" s="99" t="s">
        <v>87</v>
      </c>
      <c r="E1914" s="99" t="s">
        <v>144</v>
      </c>
      <c r="F1914" s="99" t="s">
        <v>1913</v>
      </c>
      <c r="G1914" s="100">
        <v>3119.5596999999998</v>
      </c>
      <c r="H1914" s="101">
        <v>7254.79</v>
      </c>
    </row>
    <row r="1915" spans="1:8">
      <c r="A1915" s="102">
        <v>38188</v>
      </c>
      <c r="B1915" s="102" t="str">
        <f>TEXT($A1915,"mmm")</f>
        <v>Jul</v>
      </c>
      <c r="C1915" s="103" t="s">
        <v>107</v>
      </c>
      <c r="D1915" s="103" t="s">
        <v>92</v>
      </c>
      <c r="E1915" s="103" t="s">
        <v>89</v>
      </c>
      <c r="F1915" s="103" t="s">
        <v>1914</v>
      </c>
      <c r="G1915" s="104">
        <v>4411.0878000000002</v>
      </c>
      <c r="H1915" s="105">
        <v>7476.42</v>
      </c>
    </row>
    <row r="1916" spans="1:8">
      <c r="A1916" s="97">
        <v>38187</v>
      </c>
      <c r="B1916" s="97" t="str">
        <f>TEXT($A1916,"mmm")</f>
        <v>Jul</v>
      </c>
      <c r="C1916" s="99" t="s">
        <v>86</v>
      </c>
      <c r="D1916" s="99" t="s">
        <v>95</v>
      </c>
      <c r="E1916" s="99" t="s">
        <v>105</v>
      </c>
      <c r="F1916" s="99" t="s">
        <v>1915</v>
      </c>
      <c r="G1916" s="100">
        <v>5542.5438000000004</v>
      </c>
      <c r="H1916" s="101">
        <v>9556.11</v>
      </c>
    </row>
    <row r="1917" spans="1:8">
      <c r="A1917" s="102">
        <v>38187</v>
      </c>
      <c r="B1917" s="102" t="str">
        <f>TEXT($A1917,"mmm")</f>
        <v>Jul</v>
      </c>
      <c r="C1917" s="103" t="s">
        <v>107</v>
      </c>
      <c r="D1917" s="103" t="s">
        <v>87</v>
      </c>
      <c r="E1917" s="103" t="s">
        <v>96</v>
      </c>
      <c r="F1917" s="103" t="s">
        <v>1916</v>
      </c>
      <c r="G1917" s="104">
        <v>1832.0502999999999</v>
      </c>
      <c r="H1917" s="105">
        <v>3105.17</v>
      </c>
    </row>
    <row r="1918" spans="1:8">
      <c r="A1918" s="97">
        <v>38187</v>
      </c>
      <c r="B1918" s="97" t="str">
        <f>TEXT($A1918,"mmm")</f>
        <v>Jul</v>
      </c>
      <c r="C1918" s="99" t="s">
        <v>86</v>
      </c>
      <c r="D1918" s="99" t="s">
        <v>80</v>
      </c>
      <c r="E1918" s="99" t="s">
        <v>81</v>
      </c>
      <c r="F1918" s="99" t="s">
        <v>1917</v>
      </c>
      <c r="G1918" s="100">
        <v>1333.3050000000001</v>
      </c>
      <c r="H1918" s="101">
        <v>2962.9</v>
      </c>
    </row>
    <row r="1919" spans="1:8">
      <c r="A1919" s="102">
        <v>38187</v>
      </c>
      <c r="B1919" s="102" t="str">
        <f>TEXT($A1919,"mmm")</f>
        <v>Jul</v>
      </c>
      <c r="C1919" s="103" t="s">
        <v>107</v>
      </c>
      <c r="D1919" s="103" t="s">
        <v>95</v>
      </c>
      <c r="E1919" s="103" t="s">
        <v>99</v>
      </c>
      <c r="F1919" s="103" t="s">
        <v>1694</v>
      </c>
      <c r="G1919" s="104">
        <v>826.72700000000009</v>
      </c>
      <c r="H1919" s="105">
        <v>1503.14</v>
      </c>
    </row>
    <row r="1920" spans="1:8">
      <c r="A1920" s="97">
        <v>38186</v>
      </c>
      <c r="B1920" s="97" t="str">
        <f>TEXT($A1920,"mmm")</f>
        <v>Jul</v>
      </c>
      <c r="C1920" s="99" t="s">
        <v>79</v>
      </c>
      <c r="D1920" s="99" t="s">
        <v>114</v>
      </c>
      <c r="E1920" s="99" t="s">
        <v>122</v>
      </c>
      <c r="F1920" s="99" t="s">
        <v>1918</v>
      </c>
      <c r="G1920" s="100">
        <v>5438.6365000000005</v>
      </c>
      <c r="H1920" s="101">
        <v>9888.43</v>
      </c>
    </row>
    <row r="1921" spans="1:8">
      <c r="A1921" s="102">
        <v>38186</v>
      </c>
      <c r="B1921" s="102" t="str">
        <f>TEXT($A1921,"mmm")</f>
        <v>Jul</v>
      </c>
      <c r="C1921" s="103" t="s">
        <v>104</v>
      </c>
      <c r="D1921" s="103" t="s">
        <v>114</v>
      </c>
      <c r="E1921" s="103" t="s">
        <v>81</v>
      </c>
      <c r="F1921" s="103" t="s">
        <v>1919</v>
      </c>
      <c r="G1921" s="104">
        <v>3413.9849999999997</v>
      </c>
      <c r="H1921" s="105">
        <v>4551.9799999999996</v>
      </c>
    </row>
    <row r="1922" spans="1:8">
      <c r="A1922" s="97">
        <v>38185</v>
      </c>
      <c r="B1922" s="97" t="str">
        <f>TEXT($A1922,"mmm")</f>
        <v>Jul</v>
      </c>
      <c r="C1922" s="99" t="s">
        <v>79</v>
      </c>
      <c r="D1922" s="99" t="s">
        <v>101</v>
      </c>
      <c r="E1922" s="99" t="s">
        <v>144</v>
      </c>
      <c r="F1922" s="99" t="s">
        <v>1920</v>
      </c>
      <c r="G1922" s="100">
        <v>5456.0013999999992</v>
      </c>
      <c r="H1922" s="101">
        <v>9247.4599999999991</v>
      </c>
    </row>
    <row r="1923" spans="1:8">
      <c r="A1923" s="102">
        <v>38185</v>
      </c>
      <c r="B1923" s="102" t="str">
        <f>TEXT($A1923,"mmm")</f>
        <v>Jul</v>
      </c>
      <c r="C1923" s="103" t="s">
        <v>79</v>
      </c>
      <c r="D1923" s="103" t="s">
        <v>80</v>
      </c>
      <c r="E1923" s="103" t="s">
        <v>122</v>
      </c>
      <c r="F1923" s="103" t="s">
        <v>1812</v>
      </c>
      <c r="G1923" s="104">
        <v>1210.3425</v>
      </c>
      <c r="H1923" s="105">
        <v>1613.79</v>
      </c>
    </row>
    <row r="1924" spans="1:8">
      <c r="A1924" s="97">
        <v>38185</v>
      </c>
      <c r="B1924" s="97" t="str">
        <f>TEXT($A1924,"mmm")</f>
        <v>Jul</v>
      </c>
      <c r="C1924" s="99" t="s">
        <v>79</v>
      </c>
      <c r="D1924" s="99" t="s">
        <v>80</v>
      </c>
      <c r="E1924" s="99" t="s">
        <v>105</v>
      </c>
      <c r="F1924" s="99" t="s">
        <v>1921</v>
      </c>
      <c r="G1924" s="100">
        <v>782.73249999999996</v>
      </c>
      <c r="H1924" s="101">
        <v>1423.15</v>
      </c>
    </row>
    <row r="1925" spans="1:8">
      <c r="A1925" s="102">
        <v>38184</v>
      </c>
      <c r="B1925" s="102" t="str">
        <f>TEXT($A1925,"mmm")</f>
        <v>Jul</v>
      </c>
      <c r="C1925" s="103" t="s">
        <v>79</v>
      </c>
      <c r="D1925" s="103" t="s">
        <v>127</v>
      </c>
      <c r="E1925" s="103" t="s">
        <v>105</v>
      </c>
      <c r="F1925" s="103" t="s">
        <v>1922</v>
      </c>
      <c r="G1925" s="104">
        <v>5269.9459999999999</v>
      </c>
      <c r="H1925" s="105">
        <v>9581.7199999999993</v>
      </c>
    </row>
    <row r="1926" spans="1:8">
      <c r="A1926" s="97">
        <v>38184</v>
      </c>
      <c r="B1926" s="97" t="str">
        <f>TEXT($A1926,"mmm")</f>
        <v>Jul</v>
      </c>
      <c r="C1926" s="99" t="s">
        <v>104</v>
      </c>
      <c r="D1926" s="99" t="s">
        <v>87</v>
      </c>
      <c r="E1926" s="99" t="s">
        <v>94</v>
      </c>
      <c r="F1926" s="99" t="s">
        <v>1923</v>
      </c>
      <c r="G1926" s="100">
        <v>858.46379999999988</v>
      </c>
      <c r="H1926" s="101">
        <v>1480.11</v>
      </c>
    </row>
    <row r="1927" spans="1:8">
      <c r="A1927" s="102">
        <v>38183</v>
      </c>
      <c r="B1927" s="102" t="str">
        <f>TEXT($A1927,"mmm")</f>
        <v>Jul</v>
      </c>
      <c r="C1927" s="103" t="s">
        <v>79</v>
      </c>
      <c r="D1927" s="103" t="s">
        <v>80</v>
      </c>
      <c r="E1927" s="103" t="s">
        <v>81</v>
      </c>
      <c r="F1927" s="103" t="s">
        <v>1924</v>
      </c>
      <c r="G1927" s="104">
        <v>5481.2945</v>
      </c>
      <c r="H1927" s="105">
        <v>9965.99</v>
      </c>
    </row>
    <row r="1928" spans="1:8">
      <c r="A1928" s="97">
        <v>38183</v>
      </c>
      <c r="B1928" s="97" t="str">
        <f>TEXT($A1928,"mmm")</f>
        <v>Jul</v>
      </c>
      <c r="C1928" s="99" t="s">
        <v>116</v>
      </c>
      <c r="D1928" s="99" t="s">
        <v>127</v>
      </c>
      <c r="E1928" s="99" t="s">
        <v>129</v>
      </c>
      <c r="F1928" s="99" t="s">
        <v>1925</v>
      </c>
      <c r="G1928" s="100">
        <v>4614.5072</v>
      </c>
      <c r="H1928" s="101">
        <v>6786.04</v>
      </c>
    </row>
    <row r="1929" spans="1:8">
      <c r="A1929" s="102">
        <v>38183</v>
      </c>
      <c r="B1929" s="102" t="str">
        <f>TEXT($A1929,"mmm")</f>
        <v>Jul</v>
      </c>
      <c r="C1929" s="103" t="s">
        <v>107</v>
      </c>
      <c r="D1929" s="103" t="s">
        <v>114</v>
      </c>
      <c r="E1929" s="103" t="s">
        <v>81</v>
      </c>
      <c r="F1929" s="103" t="s">
        <v>1926</v>
      </c>
      <c r="G1929" s="104">
        <v>1049.9698999999998</v>
      </c>
      <c r="H1929" s="105">
        <v>1779.61</v>
      </c>
    </row>
    <row r="1930" spans="1:8">
      <c r="A1930" s="97">
        <v>38182</v>
      </c>
      <c r="B1930" s="97" t="str">
        <f>TEXT($A1930,"mmm")</f>
        <v>Jul</v>
      </c>
      <c r="C1930" s="99" t="s">
        <v>107</v>
      </c>
      <c r="D1930" s="99" t="s">
        <v>98</v>
      </c>
      <c r="E1930" s="99" t="s">
        <v>122</v>
      </c>
      <c r="F1930" s="99" t="s">
        <v>1927</v>
      </c>
      <c r="G1930" s="100">
        <v>4413.6810000000005</v>
      </c>
      <c r="H1930" s="101">
        <v>9808.18</v>
      </c>
    </row>
    <row r="1931" spans="1:8">
      <c r="A1931" s="102">
        <v>38182</v>
      </c>
      <c r="B1931" s="102" t="str">
        <f>TEXT($A1931,"mmm")</f>
        <v>Jul</v>
      </c>
      <c r="C1931" s="103" t="s">
        <v>79</v>
      </c>
      <c r="D1931" s="103" t="s">
        <v>92</v>
      </c>
      <c r="E1931" s="103" t="s">
        <v>99</v>
      </c>
      <c r="F1931" s="103" t="s">
        <v>1928</v>
      </c>
      <c r="G1931" s="104">
        <v>1143.3481999999999</v>
      </c>
      <c r="H1931" s="105">
        <v>1971.29</v>
      </c>
    </row>
    <row r="1932" spans="1:8">
      <c r="A1932" s="97">
        <v>38181</v>
      </c>
      <c r="B1932" s="97" t="str">
        <f>TEXT($A1932,"mmm")</f>
        <v>Jul</v>
      </c>
      <c r="C1932" s="99" t="s">
        <v>79</v>
      </c>
      <c r="D1932" s="99" t="s">
        <v>98</v>
      </c>
      <c r="E1932" s="99" t="s">
        <v>94</v>
      </c>
      <c r="F1932" s="99" t="s">
        <v>1929</v>
      </c>
      <c r="G1932" s="100">
        <v>690.33339999999998</v>
      </c>
      <c r="H1932" s="101">
        <v>1190.23</v>
      </c>
    </row>
    <row r="1933" spans="1:8">
      <c r="A1933" s="102">
        <v>38179</v>
      </c>
      <c r="B1933" s="102" t="str">
        <f>TEXT($A1933,"mmm")</f>
        <v>Jul</v>
      </c>
      <c r="C1933" s="103" t="s">
        <v>86</v>
      </c>
      <c r="D1933" s="103" t="s">
        <v>98</v>
      </c>
      <c r="E1933" s="103" t="s">
        <v>83</v>
      </c>
      <c r="F1933" s="103" t="s">
        <v>1930</v>
      </c>
      <c r="G1933" s="104">
        <v>4710.7251999999999</v>
      </c>
      <c r="H1933" s="105">
        <v>7984.28</v>
      </c>
    </row>
    <row r="1934" spans="1:8">
      <c r="A1934" s="97">
        <v>38178</v>
      </c>
      <c r="B1934" s="97" t="str">
        <f>TEXT($A1934,"mmm")</f>
        <v>Jul</v>
      </c>
      <c r="C1934" s="99" t="s">
        <v>107</v>
      </c>
      <c r="D1934" s="99" t="s">
        <v>127</v>
      </c>
      <c r="E1934" s="99" t="s">
        <v>94</v>
      </c>
      <c r="F1934" s="99" t="s">
        <v>1931</v>
      </c>
      <c r="G1934" s="100">
        <v>4456.2780000000002</v>
      </c>
      <c r="H1934" s="101">
        <v>9902.84</v>
      </c>
    </row>
    <row r="1935" spans="1:8">
      <c r="A1935" s="102">
        <v>38178</v>
      </c>
      <c r="B1935" s="102" t="str">
        <f>TEXT($A1935,"mmm")</f>
        <v>Jul</v>
      </c>
      <c r="C1935" s="103" t="s">
        <v>116</v>
      </c>
      <c r="D1935" s="103" t="s">
        <v>114</v>
      </c>
      <c r="E1935" s="103" t="s">
        <v>158</v>
      </c>
      <c r="F1935" s="103" t="s">
        <v>1059</v>
      </c>
      <c r="G1935" s="104">
        <v>5100.5515000000005</v>
      </c>
      <c r="H1935" s="105">
        <v>9273.73</v>
      </c>
    </row>
    <row r="1936" spans="1:8">
      <c r="A1936" s="97">
        <v>38178</v>
      </c>
      <c r="B1936" s="97" t="str">
        <f>TEXT($A1936,"mmm")</f>
        <v>Jul</v>
      </c>
      <c r="C1936" s="99" t="s">
        <v>86</v>
      </c>
      <c r="D1936" s="99" t="s">
        <v>114</v>
      </c>
      <c r="E1936" s="99" t="s">
        <v>83</v>
      </c>
      <c r="F1936" s="99" t="s">
        <v>1932</v>
      </c>
      <c r="G1936" s="100">
        <v>3181.5990000000002</v>
      </c>
      <c r="H1936" s="101">
        <v>7070.22</v>
      </c>
    </row>
    <row r="1937" spans="1:8">
      <c r="A1937" s="102">
        <v>38178</v>
      </c>
      <c r="B1937" s="102" t="str">
        <f>TEXT($A1937,"mmm")</f>
        <v>Jul</v>
      </c>
      <c r="C1937" s="103" t="s">
        <v>107</v>
      </c>
      <c r="D1937" s="103" t="s">
        <v>87</v>
      </c>
      <c r="E1937" s="103" t="s">
        <v>129</v>
      </c>
      <c r="F1937" s="103" t="s">
        <v>1933</v>
      </c>
      <c r="G1937" s="104">
        <v>1904.6734000000001</v>
      </c>
      <c r="H1937" s="105">
        <v>3228.26</v>
      </c>
    </row>
    <row r="1938" spans="1:8">
      <c r="A1938" s="97">
        <v>38177</v>
      </c>
      <c r="B1938" s="97" t="str">
        <f>TEXT($A1938,"mmm")</f>
        <v>Jul</v>
      </c>
      <c r="C1938" s="99" t="s">
        <v>79</v>
      </c>
      <c r="D1938" s="99" t="s">
        <v>95</v>
      </c>
      <c r="E1938" s="99" t="s">
        <v>94</v>
      </c>
      <c r="F1938" s="99" t="s">
        <v>1934</v>
      </c>
      <c r="G1938" s="100">
        <v>3034.3884999999996</v>
      </c>
      <c r="H1938" s="101">
        <v>8201.0499999999993</v>
      </c>
    </row>
    <row r="1939" spans="1:8">
      <c r="A1939" s="102">
        <v>38177</v>
      </c>
      <c r="B1939" s="102" t="str">
        <f>TEXT($A1939,"mmm")</f>
        <v>Jul</v>
      </c>
      <c r="C1939" s="103" t="s">
        <v>107</v>
      </c>
      <c r="D1939" s="103" t="s">
        <v>127</v>
      </c>
      <c r="E1939" s="103" t="s">
        <v>120</v>
      </c>
      <c r="F1939" s="103" t="s">
        <v>1935</v>
      </c>
      <c r="G1939" s="104">
        <v>5626.65</v>
      </c>
      <c r="H1939" s="105">
        <v>7502.2</v>
      </c>
    </row>
    <row r="1940" spans="1:8">
      <c r="A1940" s="97">
        <v>38177</v>
      </c>
      <c r="B1940" s="97" t="str">
        <f>TEXT($A1940,"mmm")</f>
        <v>Jul</v>
      </c>
      <c r="C1940" s="99" t="s">
        <v>79</v>
      </c>
      <c r="D1940" s="99" t="s">
        <v>101</v>
      </c>
      <c r="E1940" s="99" t="s">
        <v>108</v>
      </c>
      <c r="F1940" s="99" t="s">
        <v>1936</v>
      </c>
      <c r="G1940" s="100">
        <v>3273.2655999999997</v>
      </c>
      <c r="H1940" s="101">
        <v>3719.62</v>
      </c>
    </row>
    <row r="1941" spans="1:8">
      <c r="A1941" s="102">
        <v>38177</v>
      </c>
      <c r="B1941" s="102" t="str">
        <f>TEXT($A1941,"mmm")</f>
        <v>Jul</v>
      </c>
      <c r="C1941" s="103" t="s">
        <v>104</v>
      </c>
      <c r="D1941" s="103" t="s">
        <v>114</v>
      </c>
      <c r="E1941" s="103" t="s">
        <v>99</v>
      </c>
      <c r="F1941" s="103" t="s">
        <v>1187</v>
      </c>
      <c r="G1941" s="104">
        <v>1236.6886</v>
      </c>
      <c r="H1941" s="105">
        <v>2876.02</v>
      </c>
    </row>
    <row r="1942" spans="1:8">
      <c r="A1942" s="97">
        <v>38176</v>
      </c>
      <c r="B1942" s="97" t="str">
        <f>TEXT($A1942,"mmm")</f>
        <v>Jul</v>
      </c>
      <c r="C1942" s="99" t="s">
        <v>107</v>
      </c>
      <c r="D1942" s="99" t="s">
        <v>98</v>
      </c>
      <c r="E1942" s="99" t="s">
        <v>89</v>
      </c>
      <c r="F1942" s="99" t="s">
        <v>1937</v>
      </c>
      <c r="G1942" s="100">
        <v>3734.64</v>
      </c>
      <c r="H1942" s="101">
        <v>4979.5200000000004</v>
      </c>
    </row>
    <row r="1943" spans="1:8">
      <c r="A1943" s="102">
        <v>38176</v>
      </c>
      <c r="B1943" s="102" t="str">
        <f>TEXT($A1943,"mmm")</f>
        <v>Jul</v>
      </c>
      <c r="C1943" s="103" t="s">
        <v>116</v>
      </c>
      <c r="D1943" s="103" t="s">
        <v>92</v>
      </c>
      <c r="E1943" s="103" t="s">
        <v>105</v>
      </c>
      <c r="F1943" s="103" t="s">
        <v>1938</v>
      </c>
      <c r="G1943" s="104">
        <v>3708.54</v>
      </c>
      <c r="H1943" s="105">
        <v>4944.72</v>
      </c>
    </row>
    <row r="1944" spans="1:8">
      <c r="A1944" s="97">
        <v>38176</v>
      </c>
      <c r="B1944" s="97" t="str">
        <f>TEXT($A1944,"mmm")</f>
        <v>Jul</v>
      </c>
      <c r="C1944" s="99" t="s">
        <v>86</v>
      </c>
      <c r="D1944" s="99" t="s">
        <v>95</v>
      </c>
      <c r="E1944" s="99" t="s">
        <v>89</v>
      </c>
      <c r="F1944" s="99" t="s">
        <v>1939</v>
      </c>
      <c r="G1944" s="100">
        <v>3110.4750000000004</v>
      </c>
      <c r="H1944" s="101">
        <v>4147.3</v>
      </c>
    </row>
    <row r="1945" spans="1:8">
      <c r="A1945" s="102">
        <v>38176</v>
      </c>
      <c r="B1945" s="102" t="str">
        <f>TEXT($A1945,"mmm")</f>
        <v>Jul</v>
      </c>
      <c r="C1945" s="103" t="s">
        <v>86</v>
      </c>
      <c r="D1945" s="103" t="s">
        <v>80</v>
      </c>
      <c r="E1945" s="103" t="s">
        <v>105</v>
      </c>
      <c r="F1945" s="103" t="s">
        <v>1940</v>
      </c>
      <c r="G1945" s="104">
        <v>2226.6651000000002</v>
      </c>
      <c r="H1945" s="105">
        <v>2381.46</v>
      </c>
    </row>
    <row r="1946" spans="1:8">
      <c r="A1946" s="97">
        <v>38176</v>
      </c>
      <c r="B1946" s="97" t="str">
        <f>TEXT($A1946,"mmm")</f>
        <v>Jul</v>
      </c>
      <c r="C1946" s="99" t="s">
        <v>86</v>
      </c>
      <c r="D1946" s="99" t="s">
        <v>92</v>
      </c>
      <c r="E1946" s="99" t="s">
        <v>105</v>
      </c>
      <c r="F1946" s="99" t="s">
        <v>1941</v>
      </c>
      <c r="G1946" s="100">
        <v>1829.652</v>
      </c>
      <c r="H1946" s="101">
        <v>2079.15</v>
      </c>
    </row>
    <row r="1947" spans="1:8">
      <c r="A1947" s="102">
        <v>38176</v>
      </c>
      <c r="B1947" s="102" t="str">
        <f>TEXT($A1947,"mmm")</f>
        <v>Jul</v>
      </c>
      <c r="C1947" s="103" t="s">
        <v>116</v>
      </c>
      <c r="D1947" s="103" t="s">
        <v>87</v>
      </c>
      <c r="E1947" s="103" t="s">
        <v>96</v>
      </c>
      <c r="F1947" s="103" t="s">
        <v>1942</v>
      </c>
      <c r="G1947" s="104">
        <v>1676.6288</v>
      </c>
      <c r="H1947" s="105">
        <v>1905.26</v>
      </c>
    </row>
    <row r="1948" spans="1:8">
      <c r="A1948" s="97">
        <v>38173</v>
      </c>
      <c r="B1948" s="97" t="str">
        <f>TEXT($A1948,"mmm")</f>
        <v>Jul</v>
      </c>
      <c r="C1948" s="99" t="s">
        <v>79</v>
      </c>
      <c r="D1948" s="99" t="s">
        <v>98</v>
      </c>
      <c r="E1948" s="99" t="s">
        <v>122</v>
      </c>
      <c r="F1948" s="99" t="s">
        <v>1943</v>
      </c>
      <c r="G1948" s="100">
        <v>746.29499999999996</v>
      </c>
      <c r="H1948" s="101">
        <v>1356.9</v>
      </c>
    </row>
    <row r="1949" spans="1:8">
      <c r="A1949" s="102">
        <v>38172</v>
      </c>
      <c r="B1949" s="102" t="str">
        <f>TEXT($A1949,"mmm")</f>
        <v>Jul</v>
      </c>
      <c r="C1949" s="103" t="s">
        <v>79</v>
      </c>
      <c r="D1949" s="103" t="s">
        <v>98</v>
      </c>
      <c r="E1949" s="103" t="s">
        <v>89</v>
      </c>
      <c r="F1949" s="103" t="s">
        <v>1944</v>
      </c>
      <c r="G1949" s="104">
        <v>8787.6272000000008</v>
      </c>
      <c r="H1949" s="105">
        <v>9985.94</v>
      </c>
    </row>
    <row r="1950" spans="1:8">
      <c r="A1950" s="97">
        <v>38171</v>
      </c>
      <c r="B1950" s="97" t="str">
        <f>TEXT($A1950,"mmm")</f>
        <v>Jul</v>
      </c>
      <c r="C1950" s="99" t="s">
        <v>79</v>
      </c>
      <c r="D1950" s="99" t="s">
        <v>87</v>
      </c>
      <c r="E1950" s="99" t="s">
        <v>108</v>
      </c>
      <c r="F1950" s="99" t="s">
        <v>1945</v>
      </c>
      <c r="G1950" s="100">
        <v>3140.9235000000003</v>
      </c>
      <c r="H1950" s="101">
        <v>5710.77</v>
      </c>
    </row>
    <row r="1951" spans="1:8">
      <c r="A1951" s="102">
        <v>38171</v>
      </c>
      <c r="B1951" s="102" t="str">
        <f>TEXT($A1951,"mmm")</f>
        <v>Jul</v>
      </c>
      <c r="C1951" s="103" t="s">
        <v>86</v>
      </c>
      <c r="D1951" s="103" t="s">
        <v>80</v>
      </c>
      <c r="E1951" s="103" t="s">
        <v>144</v>
      </c>
      <c r="F1951" s="103" t="s">
        <v>1946</v>
      </c>
      <c r="G1951" s="104">
        <v>1265.7510000000002</v>
      </c>
      <c r="H1951" s="105">
        <v>2812.78</v>
      </c>
    </row>
    <row r="1952" spans="1:8">
      <c r="A1952" s="97">
        <v>38171</v>
      </c>
      <c r="B1952" s="97" t="str">
        <f>TEXT($A1952,"mmm")</f>
        <v>Jul</v>
      </c>
      <c r="C1952" s="99" t="s">
        <v>79</v>
      </c>
      <c r="D1952" s="99" t="s">
        <v>101</v>
      </c>
      <c r="E1952" s="99" t="s">
        <v>144</v>
      </c>
      <c r="F1952" s="99" t="s">
        <v>1947</v>
      </c>
      <c r="G1952" s="100">
        <v>1160.9145000000001</v>
      </c>
      <c r="H1952" s="101">
        <v>2579.81</v>
      </c>
    </row>
    <row r="1953" spans="1:8">
      <c r="A1953" s="102">
        <v>38170</v>
      </c>
      <c r="B1953" s="102" t="str">
        <f>TEXT($A1953,"mmm")</f>
        <v>Jul</v>
      </c>
      <c r="C1953" s="103" t="s">
        <v>107</v>
      </c>
      <c r="D1953" s="103" t="s">
        <v>87</v>
      </c>
      <c r="E1953" s="103" t="s">
        <v>94</v>
      </c>
      <c r="F1953" s="103" t="s">
        <v>1948</v>
      </c>
      <c r="G1953" s="104">
        <v>4467.4575000000004</v>
      </c>
      <c r="H1953" s="105">
        <v>8122.65</v>
      </c>
    </row>
    <row r="1954" spans="1:8">
      <c r="A1954" s="97">
        <v>38170</v>
      </c>
      <c r="B1954" s="97" t="str">
        <f>TEXT($A1954,"mmm")</f>
        <v>Jul</v>
      </c>
      <c r="C1954" s="99" t="s">
        <v>86</v>
      </c>
      <c r="D1954" s="99" t="s">
        <v>95</v>
      </c>
      <c r="E1954" s="99" t="s">
        <v>81</v>
      </c>
      <c r="F1954" s="99" t="s">
        <v>1949</v>
      </c>
      <c r="G1954" s="100">
        <v>899.59739999999988</v>
      </c>
      <c r="H1954" s="101">
        <v>1551.03</v>
      </c>
    </row>
    <row r="1955" spans="1:8">
      <c r="A1955" s="102">
        <v>38170</v>
      </c>
      <c r="B1955" s="102" t="str">
        <f>TEXT($A1955,"mmm")</f>
        <v>Jul</v>
      </c>
      <c r="C1955" s="103" t="s">
        <v>79</v>
      </c>
      <c r="D1955" s="103" t="s">
        <v>80</v>
      </c>
      <c r="E1955" s="103" t="s">
        <v>96</v>
      </c>
      <c r="F1955" s="103" t="s">
        <v>1950</v>
      </c>
      <c r="G1955" s="104">
        <v>836.17600000000004</v>
      </c>
      <c r="H1955" s="105">
        <v>1520.32</v>
      </c>
    </row>
    <row r="1956" spans="1:8">
      <c r="A1956" s="97">
        <v>38169</v>
      </c>
      <c r="B1956" s="97" t="str">
        <f>TEXT($A1956,"mmm")</f>
        <v>Jul</v>
      </c>
      <c r="C1956" s="99" t="s">
        <v>86</v>
      </c>
      <c r="D1956" s="99" t="s">
        <v>80</v>
      </c>
      <c r="E1956" s="99" t="s">
        <v>93</v>
      </c>
      <c r="F1956" s="99" t="s">
        <v>1285</v>
      </c>
      <c r="G1956" s="100">
        <v>3960.8305000000005</v>
      </c>
      <c r="H1956" s="101">
        <v>7201.51</v>
      </c>
    </row>
    <row r="1957" spans="1:8">
      <c r="A1957" s="102">
        <v>38169</v>
      </c>
      <c r="B1957" s="102" t="str">
        <f>TEXT($A1957,"mmm")</f>
        <v>Jul</v>
      </c>
      <c r="C1957" s="103" t="s">
        <v>79</v>
      </c>
      <c r="D1957" s="103" t="s">
        <v>114</v>
      </c>
      <c r="E1957" s="103" t="s">
        <v>108</v>
      </c>
      <c r="F1957" s="103" t="s">
        <v>1951</v>
      </c>
      <c r="G1957" s="104">
        <v>2656.3393000000001</v>
      </c>
      <c r="H1957" s="105">
        <v>4502.2700000000004</v>
      </c>
    </row>
    <row r="1958" spans="1:8">
      <c r="A1958" s="97">
        <v>38169</v>
      </c>
      <c r="B1958" s="97" t="str">
        <f>TEXT($A1958,"mmm")</f>
        <v>Jul</v>
      </c>
      <c r="C1958" s="99" t="s">
        <v>79</v>
      </c>
      <c r="D1958" s="99" t="s">
        <v>95</v>
      </c>
      <c r="E1958" s="99" t="s">
        <v>158</v>
      </c>
      <c r="F1958" s="99" t="s">
        <v>1952</v>
      </c>
      <c r="G1958" s="100">
        <v>105.4019</v>
      </c>
      <c r="H1958" s="101">
        <v>284.87</v>
      </c>
    </row>
    <row r="1959" spans="1:8">
      <c r="A1959" s="102">
        <v>38168</v>
      </c>
      <c r="B1959" s="102" t="str">
        <f>TEXT($A1959,"mmm")</f>
        <v>Jun</v>
      </c>
      <c r="C1959" s="103" t="s">
        <v>104</v>
      </c>
      <c r="D1959" s="103" t="s">
        <v>92</v>
      </c>
      <c r="E1959" s="103" t="s">
        <v>99</v>
      </c>
      <c r="F1959" s="103" t="s">
        <v>1953</v>
      </c>
      <c r="G1959" s="104">
        <v>5122.0141500000009</v>
      </c>
      <c r="H1959" s="105">
        <v>5478.09</v>
      </c>
    </row>
    <row r="1960" spans="1:8">
      <c r="A1960" s="97">
        <v>38168</v>
      </c>
      <c r="B1960" s="97" t="str">
        <f>TEXT($A1960,"mmm")</f>
        <v>Jun</v>
      </c>
      <c r="C1960" s="99" t="s">
        <v>79</v>
      </c>
      <c r="D1960" s="99" t="s">
        <v>87</v>
      </c>
      <c r="E1960" s="99" t="s">
        <v>144</v>
      </c>
      <c r="F1960" s="99" t="s">
        <v>1954</v>
      </c>
      <c r="G1960" s="100">
        <v>2705.6095</v>
      </c>
      <c r="H1960" s="101">
        <v>4919.29</v>
      </c>
    </row>
    <row r="1961" spans="1:8">
      <c r="A1961" s="102">
        <v>38168</v>
      </c>
      <c r="B1961" s="102" t="str">
        <f>TEXT($A1961,"mmm")</f>
        <v>Jun</v>
      </c>
      <c r="C1961" s="103" t="s">
        <v>79</v>
      </c>
      <c r="D1961" s="103" t="s">
        <v>87</v>
      </c>
      <c r="E1961" s="103" t="s">
        <v>120</v>
      </c>
      <c r="F1961" s="103" t="s">
        <v>1955</v>
      </c>
      <c r="G1961" s="104">
        <v>1223.1178</v>
      </c>
      <c r="H1961" s="105">
        <v>2844.46</v>
      </c>
    </row>
    <row r="1962" spans="1:8">
      <c r="A1962" s="97">
        <v>38167</v>
      </c>
      <c r="B1962" s="97" t="str">
        <f>TEXT($A1962,"mmm")</f>
        <v>Jun</v>
      </c>
      <c r="C1962" s="99" t="s">
        <v>107</v>
      </c>
      <c r="D1962" s="99" t="s">
        <v>92</v>
      </c>
      <c r="E1962" s="99" t="s">
        <v>158</v>
      </c>
      <c r="F1962" s="99" t="s">
        <v>1956</v>
      </c>
      <c r="G1962" s="100">
        <v>1565.0745000000002</v>
      </c>
      <c r="H1962" s="101">
        <v>2845.59</v>
      </c>
    </row>
    <row r="1963" spans="1:8">
      <c r="A1963" s="102">
        <v>38166</v>
      </c>
      <c r="B1963" s="102" t="str">
        <f>TEXT($A1963,"mmm")</f>
        <v>Jun</v>
      </c>
      <c r="C1963" s="103" t="s">
        <v>79</v>
      </c>
      <c r="D1963" s="103" t="s">
        <v>95</v>
      </c>
      <c r="E1963" s="103" t="s">
        <v>158</v>
      </c>
      <c r="F1963" s="103" t="s">
        <v>1957</v>
      </c>
      <c r="G1963" s="104">
        <v>2043.5578</v>
      </c>
      <c r="H1963" s="105">
        <v>4752.46</v>
      </c>
    </row>
    <row r="1964" spans="1:8">
      <c r="A1964" s="97">
        <v>38166</v>
      </c>
      <c r="B1964" s="97" t="str">
        <f>TEXT($A1964,"mmm")</f>
        <v>Jun</v>
      </c>
      <c r="C1964" s="99" t="s">
        <v>116</v>
      </c>
      <c r="D1964" s="99" t="s">
        <v>101</v>
      </c>
      <c r="E1964" s="99" t="s">
        <v>129</v>
      </c>
      <c r="F1964" s="99" t="s">
        <v>1958</v>
      </c>
      <c r="G1964" s="100">
        <v>844.62290000000007</v>
      </c>
      <c r="H1964" s="101">
        <v>903.34</v>
      </c>
    </row>
    <row r="1965" spans="1:8">
      <c r="A1965" s="102">
        <v>38165</v>
      </c>
      <c r="B1965" s="102" t="str">
        <f>TEXT($A1965,"mmm")</f>
        <v>Jun</v>
      </c>
      <c r="C1965" s="103" t="s">
        <v>107</v>
      </c>
      <c r="D1965" s="103" t="s">
        <v>95</v>
      </c>
      <c r="E1965" s="103" t="s">
        <v>89</v>
      </c>
      <c r="F1965" s="103" t="s">
        <v>1452</v>
      </c>
      <c r="G1965" s="104">
        <v>3785.4963999999995</v>
      </c>
      <c r="H1965" s="105">
        <v>8803.48</v>
      </c>
    </row>
    <row r="1966" spans="1:8">
      <c r="A1966" s="97">
        <v>38165</v>
      </c>
      <c r="B1966" s="97" t="str">
        <f>TEXT($A1966,"mmm")</f>
        <v>Jun</v>
      </c>
      <c r="C1966" s="99" t="s">
        <v>116</v>
      </c>
      <c r="D1966" s="99" t="s">
        <v>101</v>
      </c>
      <c r="E1966" s="99" t="s">
        <v>108</v>
      </c>
      <c r="F1966" s="99" t="s">
        <v>1959</v>
      </c>
      <c r="G1966" s="100">
        <v>1990.1633999999999</v>
      </c>
      <c r="H1966" s="101">
        <v>5378.82</v>
      </c>
    </row>
    <row r="1967" spans="1:8">
      <c r="A1967" s="102">
        <v>38164</v>
      </c>
      <c r="B1967" s="102" t="str">
        <f>TEXT($A1967,"mmm")</f>
        <v>Jun</v>
      </c>
      <c r="C1967" s="103" t="s">
        <v>79</v>
      </c>
      <c r="D1967" s="103" t="s">
        <v>92</v>
      </c>
      <c r="E1967" s="103" t="s">
        <v>83</v>
      </c>
      <c r="F1967" s="103" t="s">
        <v>1960</v>
      </c>
      <c r="G1967" s="104">
        <v>5927.7240000000002</v>
      </c>
      <c r="H1967" s="105">
        <v>6736.05</v>
      </c>
    </row>
    <row r="1968" spans="1:8">
      <c r="A1968" s="97">
        <v>38164</v>
      </c>
      <c r="B1968" s="97" t="str">
        <f>TEXT($A1968,"mmm")</f>
        <v>Jun</v>
      </c>
      <c r="C1968" s="99" t="s">
        <v>79</v>
      </c>
      <c r="D1968" s="99" t="s">
        <v>95</v>
      </c>
      <c r="E1968" s="99" t="s">
        <v>129</v>
      </c>
      <c r="F1968" s="99" t="s">
        <v>1961</v>
      </c>
      <c r="G1968" s="100">
        <v>3712.2150999999999</v>
      </c>
      <c r="H1968" s="101">
        <v>6291.89</v>
      </c>
    </row>
    <row r="1969" spans="1:8">
      <c r="A1969" s="102">
        <v>38163</v>
      </c>
      <c r="B1969" s="102" t="str">
        <f>TEXT($A1969,"mmm")</f>
        <v>Jun</v>
      </c>
      <c r="C1969" s="103" t="s">
        <v>79</v>
      </c>
      <c r="D1969" s="103" t="s">
        <v>87</v>
      </c>
      <c r="E1969" s="103" t="s">
        <v>99</v>
      </c>
      <c r="F1969" s="103" t="s">
        <v>1962</v>
      </c>
      <c r="G1969" s="104">
        <v>2357.4342000000001</v>
      </c>
      <c r="H1969" s="105">
        <v>2521.3200000000002</v>
      </c>
    </row>
    <row r="1970" spans="1:8">
      <c r="A1970" s="97">
        <v>38162</v>
      </c>
      <c r="B1970" s="97" t="str">
        <f>TEXT($A1970,"mmm")</f>
        <v>Jun</v>
      </c>
      <c r="C1970" s="99" t="s">
        <v>79</v>
      </c>
      <c r="D1970" s="99" t="s">
        <v>114</v>
      </c>
      <c r="E1970" s="99" t="s">
        <v>158</v>
      </c>
      <c r="F1970" s="99" t="s">
        <v>1963</v>
      </c>
      <c r="G1970" s="100">
        <v>4968.8375000000005</v>
      </c>
      <c r="H1970" s="101">
        <v>9034.25</v>
      </c>
    </row>
    <row r="1971" spans="1:8">
      <c r="A1971" s="102">
        <v>38162</v>
      </c>
      <c r="B1971" s="102" t="str">
        <f>TEXT($A1971,"mmm")</f>
        <v>Jun</v>
      </c>
      <c r="C1971" s="103" t="s">
        <v>79</v>
      </c>
      <c r="D1971" s="103" t="s">
        <v>87</v>
      </c>
      <c r="E1971" s="103" t="s">
        <v>89</v>
      </c>
      <c r="F1971" s="103" t="s">
        <v>1964</v>
      </c>
      <c r="G1971" s="104">
        <v>2729.8489</v>
      </c>
      <c r="H1971" s="105">
        <v>7377.97</v>
      </c>
    </row>
    <row r="1972" spans="1:8">
      <c r="A1972" s="97">
        <v>38162</v>
      </c>
      <c r="B1972" s="97" t="str">
        <f>TEXT($A1972,"mmm")</f>
        <v>Jun</v>
      </c>
      <c r="C1972" s="99" t="s">
        <v>116</v>
      </c>
      <c r="D1972" s="99" t="s">
        <v>95</v>
      </c>
      <c r="E1972" s="99" t="s">
        <v>94</v>
      </c>
      <c r="F1972" s="99" t="s">
        <v>1965</v>
      </c>
      <c r="G1972" s="100">
        <v>6180.3780500000003</v>
      </c>
      <c r="H1972" s="101">
        <v>6610.03</v>
      </c>
    </row>
    <row r="1973" spans="1:8">
      <c r="A1973" s="102">
        <v>38162</v>
      </c>
      <c r="B1973" s="102" t="str">
        <f>TEXT($A1973,"mmm")</f>
        <v>Jun</v>
      </c>
      <c r="C1973" s="103" t="s">
        <v>104</v>
      </c>
      <c r="D1973" s="103" t="s">
        <v>101</v>
      </c>
      <c r="E1973" s="103" t="s">
        <v>99</v>
      </c>
      <c r="F1973" s="103" t="s">
        <v>1075</v>
      </c>
      <c r="G1973" s="104">
        <v>2079.8685</v>
      </c>
      <c r="H1973" s="105">
        <v>4621.93</v>
      </c>
    </row>
    <row r="1974" spans="1:8">
      <c r="A1974" s="97">
        <v>38162</v>
      </c>
      <c r="B1974" s="97" t="str">
        <f>TEXT($A1974,"mmm")</f>
        <v>Jun</v>
      </c>
      <c r="C1974" s="99" t="s">
        <v>79</v>
      </c>
      <c r="D1974" s="99" t="s">
        <v>95</v>
      </c>
      <c r="E1974" s="99" t="s">
        <v>105</v>
      </c>
      <c r="F1974" s="99" t="s">
        <v>1966</v>
      </c>
      <c r="G1974" s="100">
        <v>2019.5640999999998</v>
      </c>
      <c r="H1974" s="101">
        <v>3422.99</v>
      </c>
    </row>
    <row r="1975" spans="1:8">
      <c r="A1975" s="102">
        <v>38162</v>
      </c>
      <c r="B1975" s="102" t="str">
        <f>TEXT($A1975,"mmm")</f>
        <v>Jun</v>
      </c>
      <c r="C1975" s="103" t="s">
        <v>79</v>
      </c>
      <c r="D1975" s="103" t="s">
        <v>101</v>
      </c>
      <c r="E1975" s="103" t="s">
        <v>120</v>
      </c>
      <c r="F1975" s="103" t="s">
        <v>1967</v>
      </c>
      <c r="G1975" s="104">
        <v>1860.8276500000002</v>
      </c>
      <c r="H1975" s="105">
        <v>1990.19</v>
      </c>
    </row>
    <row r="1976" spans="1:8">
      <c r="A1976" s="97">
        <v>38162</v>
      </c>
      <c r="B1976" s="97" t="str">
        <f>TEXT($A1976,"mmm")</f>
        <v>Jun</v>
      </c>
      <c r="C1976" s="99" t="s">
        <v>107</v>
      </c>
      <c r="D1976" s="99" t="s">
        <v>98</v>
      </c>
      <c r="E1976" s="99" t="s">
        <v>94</v>
      </c>
      <c r="F1976" s="99" t="s">
        <v>1968</v>
      </c>
      <c r="G1976" s="100">
        <v>1712.0752</v>
      </c>
      <c r="H1976" s="101">
        <v>1945.54</v>
      </c>
    </row>
    <row r="1977" spans="1:8">
      <c r="A1977" s="102">
        <v>38162</v>
      </c>
      <c r="B1977" s="102" t="str">
        <f>TEXT($A1977,"mmm")</f>
        <v>Jun</v>
      </c>
      <c r="C1977" s="103" t="s">
        <v>79</v>
      </c>
      <c r="D1977" s="103" t="s">
        <v>98</v>
      </c>
      <c r="E1977" s="103" t="s">
        <v>96</v>
      </c>
      <c r="F1977" s="103" t="s">
        <v>1969</v>
      </c>
      <c r="G1977" s="104">
        <v>379.56600000000003</v>
      </c>
      <c r="H1977" s="105">
        <v>690.12</v>
      </c>
    </row>
    <row r="1978" spans="1:8">
      <c r="A1978" s="97">
        <v>38161</v>
      </c>
      <c r="B1978" s="97" t="str">
        <f>TEXT($A1978,"mmm")</f>
        <v>Jun</v>
      </c>
      <c r="C1978" s="99" t="s">
        <v>86</v>
      </c>
      <c r="D1978" s="99" t="s">
        <v>80</v>
      </c>
      <c r="E1978" s="99" t="s">
        <v>81</v>
      </c>
      <c r="F1978" s="99" t="s">
        <v>1970</v>
      </c>
      <c r="G1978" s="100">
        <v>1707.8126999999999</v>
      </c>
      <c r="H1978" s="101">
        <v>4615.71</v>
      </c>
    </row>
    <row r="1979" spans="1:8">
      <c r="A1979" s="102">
        <v>38161</v>
      </c>
      <c r="B1979" s="102" t="str">
        <f>TEXT($A1979,"mmm")</f>
        <v>Jun</v>
      </c>
      <c r="C1979" s="103" t="s">
        <v>107</v>
      </c>
      <c r="D1979" s="103" t="s">
        <v>95</v>
      </c>
      <c r="E1979" s="103" t="s">
        <v>93</v>
      </c>
      <c r="F1979" s="103" t="s">
        <v>1971</v>
      </c>
      <c r="G1979" s="104">
        <v>776.83100000000013</v>
      </c>
      <c r="H1979" s="105">
        <v>1412.42</v>
      </c>
    </row>
    <row r="1980" spans="1:8">
      <c r="A1980" s="97">
        <v>38161</v>
      </c>
      <c r="B1980" s="97" t="str">
        <f>TEXT($A1980,"mmm")</f>
        <v>Jun</v>
      </c>
      <c r="C1980" s="99" t="s">
        <v>107</v>
      </c>
      <c r="D1980" s="99" t="s">
        <v>95</v>
      </c>
      <c r="E1980" s="99" t="s">
        <v>89</v>
      </c>
      <c r="F1980" s="99" t="s">
        <v>1972</v>
      </c>
      <c r="G1980" s="100">
        <v>1197.6321500000001</v>
      </c>
      <c r="H1980" s="101">
        <v>1280.8900000000001</v>
      </c>
    </row>
    <row r="1981" spans="1:8">
      <c r="A1981" s="102">
        <v>38160</v>
      </c>
      <c r="B1981" s="102" t="str">
        <f>TEXT($A1981,"mmm")</f>
        <v>Jun</v>
      </c>
      <c r="C1981" s="103" t="s">
        <v>79</v>
      </c>
      <c r="D1981" s="103" t="s">
        <v>87</v>
      </c>
      <c r="E1981" s="103" t="s">
        <v>122</v>
      </c>
      <c r="F1981" s="103" t="s">
        <v>1973</v>
      </c>
      <c r="G1981" s="104">
        <v>2687.9694</v>
      </c>
      <c r="H1981" s="105">
        <v>4634.43</v>
      </c>
    </row>
    <row r="1982" spans="1:8">
      <c r="A1982" s="97">
        <v>38160</v>
      </c>
      <c r="B1982" s="97" t="str">
        <f>TEXT($A1982,"mmm")</f>
        <v>Jun</v>
      </c>
      <c r="C1982" s="99" t="s">
        <v>86</v>
      </c>
      <c r="D1982" s="99" t="s">
        <v>127</v>
      </c>
      <c r="E1982" s="99" t="s">
        <v>122</v>
      </c>
      <c r="F1982" s="99" t="s">
        <v>1974</v>
      </c>
      <c r="G1982" s="100">
        <v>1007.748</v>
      </c>
      <c r="H1982" s="101">
        <v>2239.44</v>
      </c>
    </row>
    <row r="1983" spans="1:8">
      <c r="A1983" s="102">
        <v>38159</v>
      </c>
      <c r="B1983" s="102" t="str">
        <f>TEXT($A1983,"mmm")</f>
        <v>Jun</v>
      </c>
      <c r="C1983" s="103" t="s">
        <v>86</v>
      </c>
      <c r="D1983" s="103" t="s">
        <v>80</v>
      </c>
      <c r="E1983" s="103" t="s">
        <v>96</v>
      </c>
      <c r="F1983" s="103" t="s">
        <v>1975</v>
      </c>
      <c r="G1983" s="104">
        <v>8555.8484000000008</v>
      </c>
      <c r="H1983" s="105">
        <v>9150.64</v>
      </c>
    </row>
    <row r="1984" spans="1:8">
      <c r="A1984" s="97">
        <v>38159</v>
      </c>
      <c r="B1984" s="97" t="str">
        <f>TEXT($A1984,"mmm")</f>
        <v>Jun</v>
      </c>
      <c r="C1984" s="99" t="s">
        <v>86</v>
      </c>
      <c r="D1984" s="99" t="s">
        <v>80</v>
      </c>
      <c r="E1984" s="99" t="s">
        <v>129</v>
      </c>
      <c r="F1984" s="99" t="s">
        <v>1976</v>
      </c>
      <c r="G1984" s="100">
        <v>4843.5046999999995</v>
      </c>
      <c r="H1984" s="101">
        <v>8209.33</v>
      </c>
    </row>
    <row r="1985" spans="1:8">
      <c r="A1985" s="102">
        <v>38159</v>
      </c>
      <c r="B1985" s="102" t="str">
        <f>TEXT($A1985,"mmm")</f>
        <v>Jun</v>
      </c>
      <c r="C1985" s="103" t="s">
        <v>86</v>
      </c>
      <c r="D1985" s="103" t="s">
        <v>92</v>
      </c>
      <c r="E1985" s="103" t="s">
        <v>122</v>
      </c>
      <c r="F1985" s="103" t="s">
        <v>1977</v>
      </c>
      <c r="G1985" s="104">
        <v>285.07710000000003</v>
      </c>
      <c r="H1985" s="105">
        <v>662.97</v>
      </c>
    </row>
    <row r="1986" spans="1:8">
      <c r="A1986" s="97">
        <v>38158</v>
      </c>
      <c r="B1986" s="97" t="str">
        <f>TEXT($A1986,"mmm")</f>
        <v>Jun</v>
      </c>
      <c r="C1986" s="99" t="s">
        <v>104</v>
      </c>
      <c r="D1986" s="99" t="s">
        <v>98</v>
      </c>
      <c r="E1986" s="99" t="s">
        <v>120</v>
      </c>
      <c r="F1986" s="99" t="s">
        <v>1978</v>
      </c>
      <c r="G1986" s="100">
        <v>8722.3752000000004</v>
      </c>
      <c r="H1986" s="101">
        <v>9911.7900000000009</v>
      </c>
    </row>
    <row r="1987" spans="1:8">
      <c r="A1987" s="102">
        <v>38158</v>
      </c>
      <c r="B1987" s="102" t="str">
        <f>TEXT($A1987,"mmm")</f>
        <v>Jun</v>
      </c>
      <c r="C1987" s="103" t="s">
        <v>79</v>
      </c>
      <c r="D1987" s="103" t="s">
        <v>95</v>
      </c>
      <c r="E1987" s="103" t="s">
        <v>120</v>
      </c>
      <c r="F1987" s="103" t="s">
        <v>1979</v>
      </c>
      <c r="G1987" s="104">
        <v>4481.3685999999998</v>
      </c>
      <c r="H1987" s="105">
        <v>7595.54</v>
      </c>
    </row>
    <row r="1988" spans="1:8">
      <c r="A1988" s="97">
        <v>38157</v>
      </c>
      <c r="B1988" s="97" t="str">
        <f>TEXT($A1988,"mmm")</f>
        <v>Jun</v>
      </c>
      <c r="C1988" s="99" t="s">
        <v>79</v>
      </c>
      <c r="D1988" s="99" t="s">
        <v>114</v>
      </c>
      <c r="E1988" s="99" t="s">
        <v>83</v>
      </c>
      <c r="F1988" s="99" t="s">
        <v>1980</v>
      </c>
      <c r="G1988" s="100">
        <v>3623.9411</v>
      </c>
      <c r="H1988" s="101">
        <v>8427.77</v>
      </c>
    </row>
    <row r="1989" spans="1:8">
      <c r="A1989" s="102">
        <v>38157</v>
      </c>
      <c r="B1989" s="102" t="str">
        <f>TEXT($A1989,"mmm")</f>
        <v>Jun</v>
      </c>
      <c r="C1989" s="103" t="s">
        <v>104</v>
      </c>
      <c r="D1989" s="103" t="s">
        <v>98</v>
      </c>
      <c r="E1989" s="103" t="s">
        <v>81</v>
      </c>
      <c r="F1989" s="103" t="s">
        <v>1981</v>
      </c>
      <c r="G1989" s="104">
        <v>1517.2840000000003</v>
      </c>
      <c r="H1989" s="105">
        <v>2231.3000000000002</v>
      </c>
    </row>
    <row r="1990" spans="1:8">
      <c r="A1990" s="97">
        <v>38157</v>
      </c>
      <c r="B1990" s="97" t="str">
        <f>TEXT($A1990,"mmm")</f>
        <v>Jun</v>
      </c>
      <c r="C1990" s="99" t="s">
        <v>79</v>
      </c>
      <c r="D1990" s="99" t="s">
        <v>92</v>
      </c>
      <c r="E1990" s="99" t="s">
        <v>108</v>
      </c>
      <c r="F1990" s="99" t="s">
        <v>1982</v>
      </c>
      <c r="G1990" s="100">
        <v>581.01239999999996</v>
      </c>
      <c r="H1990" s="101">
        <v>854.43</v>
      </c>
    </row>
    <row r="1991" spans="1:8">
      <c r="A1991" s="102">
        <v>38157</v>
      </c>
      <c r="B1991" s="102" t="str">
        <f>TEXT($A1991,"mmm")</f>
        <v>Jun</v>
      </c>
      <c r="C1991" s="103" t="s">
        <v>104</v>
      </c>
      <c r="D1991" s="103" t="s">
        <v>114</v>
      </c>
      <c r="E1991" s="103" t="s">
        <v>158</v>
      </c>
      <c r="F1991" s="103" t="s">
        <v>1983</v>
      </c>
      <c r="G1991" s="104">
        <v>121.977</v>
      </c>
      <c r="H1991" s="105">
        <v>271.06</v>
      </c>
    </row>
    <row r="1992" spans="1:8">
      <c r="A1992" s="97">
        <v>38156</v>
      </c>
      <c r="B1992" s="97" t="str">
        <f>TEXT($A1992,"mmm")</f>
        <v>Jun</v>
      </c>
      <c r="C1992" s="99" t="s">
        <v>104</v>
      </c>
      <c r="D1992" s="99" t="s">
        <v>98</v>
      </c>
      <c r="E1992" s="99" t="s">
        <v>158</v>
      </c>
      <c r="F1992" s="99" t="s">
        <v>1984</v>
      </c>
      <c r="G1992" s="100">
        <v>3852.5264999999999</v>
      </c>
      <c r="H1992" s="101">
        <v>8561.17</v>
      </c>
    </row>
    <row r="1993" spans="1:8">
      <c r="A1993" s="102">
        <v>38155</v>
      </c>
      <c r="B1993" s="102" t="str">
        <f>TEXT($A1993,"mmm")</f>
        <v>Jun</v>
      </c>
      <c r="C1993" s="103" t="s">
        <v>107</v>
      </c>
      <c r="D1993" s="103" t="s">
        <v>87</v>
      </c>
      <c r="E1993" s="103" t="s">
        <v>108</v>
      </c>
      <c r="F1993" s="103" t="s">
        <v>1985</v>
      </c>
      <c r="G1993" s="104">
        <v>8271.4896000000008</v>
      </c>
      <c r="H1993" s="105">
        <v>9399.42</v>
      </c>
    </row>
    <row r="1994" spans="1:8">
      <c r="A1994" s="97">
        <v>38155</v>
      </c>
      <c r="B1994" s="97" t="str">
        <f>TEXT($A1994,"mmm")</f>
        <v>Jun</v>
      </c>
      <c r="C1994" s="99" t="s">
        <v>116</v>
      </c>
      <c r="D1994" s="99" t="s">
        <v>87</v>
      </c>
      <c r="E1994" s="99" t="s">
        <v>108</v>
      </c>
      <c r="F1994" s="99" t="s">
        <v>1986</v>
      </c>
      <c r="G1994" s="100">
        <v>6305.0007999999998</v>
      </c>
      <c r="H1994" s="101">
        <v>9272.06</v>
      </c>
    </row>
    <row r="1995" spans="1:8">
      <c r="A1995" s="102">
        <v>38155</v>
      </c>
      <c r="B1995" s="102" t="str">
        <f>TEXT($A1995,"mmm")</f>
        <v>Jun</v>
      </c>
      <c r="C1995" s="103" t="s">
        <v>79</v>
      </c>
      <c r="D1995" s="103" t="s">
        <v>87</v>
      </c>
      <c r="E1995" s="103" t="s">
        <v>122</v>
      </c>
      <c r="F1995" s="103" t="s">
        <v>1987</v>
      </c>
      <c r="G1995" s="104">
        <v>5773.2</v>
      </c>
      <c r="H1995" s="105">
        <v>8490</v>
      </c>
    </row>
    <row r="1996" spans="1:8">
      <c r="A1996" s="97">
        <v>38155</v>
      </c>
      <c r="B1996" s="97" t="str">
        <f>TEXT($A1996,"mmm")</f>
        <v>Jun</v>
      </c>
      <c r="C1996" s="99" t="s">
        <v>86</v>
      </c>
      <c r="D1996" s="99" t="s">
        <v>87</v>
      </c>
      <c r="E1996" s="99" t="s">
        <v>120</v>
      </c>
      <c r="F1996" s="99" t="s">
        <v>1988</v>
      </c>
      <c r="G1996" s="100">
        <v>5838.15</v>
      </c>
      <c r="H1996" s="101">
        <v>7784.2</v>
      </c>
    </row>
    <row r="1997" spans="1:8">
      <c r="A1997" s="102">
        <v>38155</v>
      </c>
      <c r="B1997" s="102" t="str">
        <f>TEXT($A1997,"mmm")</f>
        <v>Jun</v>
      </c>
      <c r="C1997" s="103" t="s">
        <v>104</v>
      </c>
      <c r="D1997" s="103" t="s">
        <v>92</v>
      </c>
      <c r="E1997" s="103" t="s">
        <v>93</v>
      </c>
      <c r="F1997" s="103" t="s">
        <v>1989</v>
      </c>
      <c r="G1997" s="104">
        <v>4577.7273999999998</v>
      </c>
      <c r="H1997" s="105">
        <v>7758.86</v>
      </c>
    </row>
    <row r="1998" spans="1:8">
      <c r="A1998" s="97">
        <v>38155</v>
      </c>
      <c r="B1998" s="97" t="str">
        <f>TEXT($A1998,"mmm")</f>
        <v>Jun</v>
      </c>
      <c r="C1998" s="99" t="s">
        <v>104</v>
      </c>
      <c r="D1998" s="99" t="s">
        <v>80</v>
      </c>
      <c r="E1998" s="99" t="s">
        <v>96</v>
      </c>
      <c r="F1998" s="99" t="s">
        <v>1990</v>
      </c>
      <c r="G1998" s="100">
        <v>4919.6028000000006</v>
      </c>
      <c r="H1998" s="101">
        <v>7234.71</v>
      </c>
    </row>
    <row r="1999" spans="1:8">
      <c r="A1999" s="102">
        <v>38155</v>
      </c>
      <c r="B1999" s="102" t="str">
        <f>TEXT($A1999,"mmm")</f>
        <v>Jun</v>
      </c>
      <c r="C1999" s="103" t="s">
        <v>79</v>
      </c>
      <c r="D1999" s="103" t="s">
        <v>98</v>
      </c>
      <c r="E1999" s="103" t="s">
        <v>120</v>
      </c>
      <c r="F1999" s="103" t="s">
        <v>1991</v>
      </c>
      <c r="G1999" s="104">
        <v>2181.2399999999998</v>
      </c>
      <c r="H1999" s="105">
        <v>4847.2</v>
      </c>
    </row>
    <row r="2000" spans="1:8">
      <c r="A2000" s="106">
        <v>38155</v>
      </c>
      <c r="B2000" s="106" t="str">
        <f>TEXT($A2000,"mmm")</f>
        <v>Jun</v>
      </c>
      <c r="C2000" s="107" t="s">
        <v>79</v>
      </c>
      <c r="D2000" s="107" t="s">
        <v>114</v>
      </c>
      <c r="E2000" s="107" t="s">
        <v>89</v>
      </c>
      <c r="F2000" s="107" t="s">
        <v>1992</v>
      </c>
      <c r="G2000" s="108">
        <v>998.02629999999988</v>
      </c>
      <c r="H2000" s="109">
        <v>1691.57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5"/>
  <sheetViews>
    <sheetView workbookViewId="0">
      <selection activeCell="I8" sqref="I8"/>
    </sheetView>
  </sheetViews>
  <sheetFormatPr defaultRowHeight="14.45"/>
  <cols>
    <col min="1" max="1" width="14" bestFit="1" customWidth="1"/>
    <col min="2" max="2" width="12" bestFit="1" customWidth="1"/>
    <col min="3" max="3" width="13.5703125" bestFit="1" customWidth="1"/>
    <col min="4" max="4" width="15" bestFit="1" customWidth="1"/>
    <col min="5" max="5" width="16" bestFit="1" customWidth="1"/>
    <col min="6" max="6" width="10.7109375" bestFit="1" customWidth="1"/>
    <col min="8" max="8" width="9.5703125" bestFit="1" customWidth="1"/>
    <col min="9" max="9" width="10.28515625" customWidth="1"/>
  </cols>
  <sheetData>
    <row r="1" spans="1:10" ht="15.75">
      <c r="A1" s="58" t="s">
        <v>1993</v>
      </c>
      <c r="B1" s="58" t="s">
        <v>1994</v>
      </c>
      <c r="C1" s="58" t="s">
        <v>1995</v>
      </c>
      <c r="D1" s="58" t="s">
        <v>1996</v>
      </c>
      <c r="E1" s="58" t="s">
        <v>1997</v>
      </c>
      <c r="F1" s="58" t="s">
        <v>1998</v>
      </c>
      <c r="H1" s="48" t="s">
        <v>0</v>
      </c>
      <c r="I1" s="48" t="s">
        <v>1999</v>
      </c>
    </row>
    <row r="2" spans="1:10" ht="15">
      <c r="A2" s="15" t="s">
        <v>2000</v>
      </c>
      <c r="B2" s="33">
        <v>152834.71866552287</v>
      </c>
      <c r="C2" s="35">
        <v>44876</v>
      </c>
      <c r="D2" s="35">
        <v>44881</v>
      </c>
      <c r="E2" t="str">
        <f>IF(NETWORKDAYS(C2,D2)&lt;=4,"0",NETWORKDAYS(C2,D2)-4)</f>
        <v>0</v>
      </c>
      <c r="F2" s="34">
        <f>B2*3%*E2</f>
        <v>0</v>
      </c>
      <c r="I2" s="48" t="s">
        <v>2001</v>
      </c>
    </row>
    <row r="3" spans="1:10" ht="15">
      <c r="A3" s="15" t="s">
        <v>2002</v>
      </c>
      <c r="B3" s="33">
        <v>421689.61963687174</v>
      </c>
      <c r="C3" s="35">
        <v>44876</v>
      </c>
      <c r="D3" s="35">
        <v>44886</v>
      </c>
      <c r="E3">
        <f t="shared" ref="E3:E35" si="0">IF(NETWORKDAYS(C3,D3)&lt;=4,"0",NETWORKDAYS(C3,D3)-4)</f>
        <v>3</v>
      </c>
      <c r="F3" s="34">
        <f t="shared" ref="F3:F35" si="1">B3*3%*E3</f>
        <v>37952.065767318454</v>
      </c>
    </row>
    <row r="4" spans="1:10" ht="15">
      <c r="A4" s="15" t="s">
        <v>2003</v>
      </c>
      <c r="B4" s="33">
        <v>421064.33357758319</v>
      </c>
      <c r="C4" s="35">
        <v>44877</v>
      </c>
      <c r="D4" s="35">
        <v>44887</v>
      </c>
      <c r="E4">
        <f t="shared" si="0"/>
        <v>3</v>
      </c>
      <c r="F4" s="34">
        <f t="shared" si="1"/>
        <v>37895.790021982488</v>
      </c>
      <c r="H4" s="48" t="s">
        <v>2</v>
      </c>
      <c r="I4" s="48" t="s">
        <v>2004</v>
      </c>
    </row>
    <row r="5" spans="1:10" ht="15">
      <c r="A5" s="15" t="s">
        <v>2005</v>
      </c>
      <c r="B5" s="33">
        <v>526242.31334746454</v>
      </c>
      <c r="C5" s="35">
        <v>44877</v>
      </c>
      <c r="D5" s="35">
        <v>44885</v>
      </c>
      <c r="E5">
        <f t="shared" si="0"/>
        <v>1</v>
      </c>
      <c r="F5" s="34">
        <f t="shared" si="1"/>
        <v>15787.269400423937</v>
      </c>
    </row>
    <row r="6" spans="1:10" ht="15">
      <c r="A6" s="15" t="s">
        <v>2006</v>
      </c>
      <c r="B6" s="33">
        <v>172490.51185501763</v>
      </c>
      <c r="C6" s="35">
        <v>44879</v>
      </c>
      <c r="D6" s="35">
        <v>44884</v>
      </c>
      <c r="E6">
        <f t="shared" si="0"/>
        <v>1</v>
      </c>
      <c r="F6" s="34">
        <f t="shared" si="1"/>
        <v>5174.7153556505282</v>
      </c>
      <c r="H6" s="48" t="s">
        <v>5</v>
      </c>
      <c r="I6" s="48" t="s">
        <v>2007</v>
      </c>
    </row>
    <row r="7" spans="1:10" ht="15">
      <c r="A7" s="15" t="s">
        <v>2008</v>
      </c>
      <c r="B7" s="33">
        <v>270464.60821140592</v>
      </c>
      <c r="C7" s="35">
        <v>44875</v>
      </c>
      <c r="D7" s="35">
        <v>44881</v>
      </c>
      <c r="E7">
        <f t="shared" si="0"/>
        <v>1</v>
      </c>
      <c r="F7" s="34">
        <f t="shared" si="1"/>
        <v>8113.9382463421771</v>
      </c>
      <c r="H7" s="48" t="s">
        <v>2009</v>
      </c>
      <c r="I7">
        <f>COUNTIF(E2:E35,"&gt;0")</f>
        <v>18</v>
      </c>
    </row>
    <row r="8" spans="1:10" ht="15">
      <c r="A8" s="15" t="s">
        <v>2010</v>
      </c>
      <c r="B8" s="33">
        <v>413508.05305587815</v>
      </c>
      <c r="C8" s="35">
        <v>44875</v>
      </c>
      <c r="D8" s="35">
        <v>44877</v>
      </c>
      <c r="E8" t="str">
        <f t="shared" si="0"/>
        <v>0</v>
      </c>
      <c r="F8" s="34">
        <f t="shared" si="1"/>
        <v>0</v>
      </c>
    </row>
    <row r="9" spans="1:10" ht="15">
      <c r="A9" s="15" t="s">
        <v>2011</v>
      </c>
      <c r="B9" s="33">
        <v>438240.59826595325</v>
      </c>
      <c r="C9" s="35">
        <v>44876</v>
      </c>
      <c r="D9" s="35">
        <v>44878</v>
      </c>
      <c r="E9" t="str">
        <f t="shared" si="0"/>
        <v>0</v>
      </c>
      <c r="F9" s="34">
        <f t="shared" si="1"/>
        <v>0</v>
      </c>
      <c r="H9" s="48" t="s">
        <v>13</v>
      </c>
      <c r="I9" s="48" t="s">
        <v>2012</v>
      </c>
    </row>
    <row r="10" spans="1:10" ht="15">
      <c r="A10" s="15" t="s">
        <v>2013</v>
      </c>
      <c r="B10" s="33">
        <v>277481.08424095146</v>
      </c>
      <c r="C10" s="35">
        <v>44877</v>
      </c>
      <c r="D10" s="35">
        <v>44885</v>
      </c>
      <c r="E10">
        <f t="shared" si="0"/>
        <v>1</v>
      </c>
      <c r="F10" s="34">
        <f t="shared" si="1"/>
        <v>8324.4325272285441</v>
      </c>
      <c r="H10" s="48" t="s">
        <v>2009</v>
      </c>
      <c r="I10" s="34">
        <f>SUM(F2:F35)</f>
        <v>384364.61729200813</v>
      </c>
    </row>
    <row r="11" spans="1:10" ht="15">
      <c r="A11" s="15" t="s">
        <v>2014</v>
      </c>
      <c r="B11" s="33">
        <v>172899.33870880376</v>
      </c>
      <c r="C11" s="35">
        <v>44877</v>
      </c>
      <c r="D11" s="35">
        <v>44880</v>
      </c>
      <c r="E11" t="str">
        <f t="shared" si="0"/>
        <v>0</v>
      </c>
      <c r="F11" s="34">
        <f t="shared" si="1"/>
        <v>0</v>
      </c>
    </row>
    <row r="12" spans="1:10" ht="15">
      <c r="A12" s="15" t="s">
        <v>2015</v>
      </c>
      <c r="B12" s="33">
        <v>223140.39965761674</v>
      </c>
      <c r="C12" s="35">
        <v>44877</v>
      </c>
      <c r="D12" s="35">
        <v>44881</v>
      </c>
      <c r="E12" t="str">
        <f t="shared" si="0"/>
        <v>0</v>
      </c>
      <c r="F12" s="34">
        <f t="shared" si="1"/>
        <v>0</v>
      </c>
    </row>
    <row r="13" spans="1:10" ht="15">
      <c r="A13" s="15" t="s">
        <v>2016</v>
      </c>
      <c r="B13" s="33">
        <v>335146.56969219749</v>
      </c>
      <c r="C13" s="35">
        <v>44880</v>
      </c>
      <c r="D13" s="35">
        <v>44889</v>
      </c>
      <c r="E13">
        <f t="shared" si="0"/>
        <v>4</v>
      </c>
      <c r="F13" s="34">
        <f t="shared" si="1"/>
        <v>40217.588363063696</v>
      </c>
    </row>
    <row r="14" spans="1:10">
      <c r="A14" s="15" t="s">
        <v>2017</v>
      </c>
      <c r="B14" s="33">
        <v>187547.14976234594</v>
      </c>
      <c r="C14" s="35">
        <v>44875</v>
      </c>
      <c r="D14" s="35">
        <v>44885</v>
      </c>
      <c r="E14">
        <f t="shared" si="0"/>
        <v>3</v>
      </c>
      <c r="F14" s="34">
        <f t="shared" si="1"/>
        <v>16879.243478611133</v>
      </c>
      <c r="I14" s="31" t="s">
        <v>52</v>
      </c>
      <c r="J14" s="31" t="s">
        <v>53</v>
      </c>
    </row>
    <row r="15" spans="1:10" ht="15">
      <c r="A15" s="15" t="s">
        <v>2018</v>
      </c>
      <c r="B15" s="33">
        <v>281511.24986489397</v>
      </c>
      <c r="C15" s="35">
        <v>44876</v>
      </c>
      <c r="D15" s="35">
        <v>44879</v>
      </c>
      <c r="E15" t="str">
        <f t="shared" si="0"/>
        <v>0</v>
      </c>
      <c r="F15" s="34">
        <f t="shared" si="1"/>
        <v>0</v>
      </c>
      <c r="I15" s="15" t="s">
        <v>0</v>
      </c>
      <c r="J15" s="15">
        <v>4</v>
      </c>
    </row>
    <row r="16" spans="1:10" ht="15">
      <c r="A16" s="15" t="s">
        <v>2019</v>
      </c>
      <c r="B16" s="33">
        <v>205924.3780343862</v>
      </c>
      <c r="C16" s="35">
        <v>44875</v>
      </c>
      <c r="D16" s="35">
        <v>44877</v>
      </c>
      <c r="E16" t="str">
        <f t="shared" si="0"/>
        <v>0</v>
      </c>
      <c r="F16" s="34">
        <f t="shared" si="1"/>
        <v>0</v>
      </c>
      <c r="I16" s="15" t="s">
        <v>2</v>
      </c>
      <c r="J16" s="15">
        <v>4</v>
      </c>
    </row>
    <row r="17" spans="1:10">
      <c r="A17" s="15" t="s">
        <v>2020</v>
      </c>
      <c r="B17" s="33">
        <v>542310.52521138988</v>
      </c>
      <c r="C17" s="35">
        <v>44877</v>
      </c>
      <c r="D17" s="35">
        <v>44883</v>
      </c>
      <c r="E17">
        <f t="shared" si="0"/>
        <v>1</v>
      </c>
      <c r="F17" s="34">
        <f t="shared" si="1"/>
        <v>16269.315756341695</v>
      </c>
      <c r="I17" s="75" t="s">
        <v>5</v>
      </c>
      <c r="J17" s="15">
        <v>1</v>
      </c>
    </row>
    <row r="18" spans="1:10">
      <c r="A18" s="15" t="s">
        <v>2021</v>
      </c>
      <c r="B18" s="33">
        <v>154218.19031151617</v>
      </c>
      <c r="C18" s="35">
        <v>44875</v>
      </c>
      <c r="D18" s="35">
        <v>44885</v>
      </c>
      <c r="E18">
        <f t="shared" si="0"/>
        <v>3</v>
      </c>
      <c r="F18" s="34">
        <f t="shared" si="1"/>
        <v>13879.637128036455</v>
      </c>
      <c r="I18" s="75" t="s">
        <v>13</v>
      </c>
      <c r="J18" s="15">
        <v>1</v>
      </c>
    </row>
    <row r="19" spans="1:10">
      <c r="A19" s="15" t="s">
        <v>2022</v>
      </c>
      <c r="B19" s="33">
        <v>209512.44918089919</v>
      </c>
      <c r="C19" s="35">
        <v>44875</v>
      </c>
      <c r="D19" s="35">
        <v>44878</v>
      </c>
      <c r="E19" t="str">
        <f t="shared" si="0"/>
        <v>0</v>
      </c>
      <c r="F19" s="34">
        <f t="shared" si="1"/>
        <v>0</v>
      </c>
      <c r="I19" s="55"/>
      <c r="J19" s="55"/>
    </row>
    <row r="20" spans="1:10" ht="15">
      <c r="A20" s="15" t="s">
        <v>2023</v>
      </c>
      <c r="B20" s="33">
        <v>404200.97851164744</v>
      </c>
      <c r="C20" s="35">
        <v>44876</v>
      </c>
      <c r="D20" s="35">
        <v>44877</v>
      </c>
      <c r="E20" t="str">
        <f t="shared" si="0"/>
        <v>0</v>
      </c>
      <c r="F20" s="34">
        <f t="shared" si="1"/>
        <v>0</v>
      </c>
    </row>
    <row r="21" spans="1:10" ht="15">
      <c r="A21" s="15" t="s">
        <v>2024</v>
      </c>
      <c r="B21" s="33">
        <v>307304.83240745077</v>
      </c>
      <c r="C21" s="35">
        <v>44877</v>
      </c>
      <c r="D21" s="35">
        <v>44878</v>
      </c>
      <c r="E21" t="str">
        <f t="shared" si="0"/>
        <v>0</v>
      </c>
      <c r="F21" s="34">
        <f t="shared" si="1"/>
        <v>0</v>
      </c>
    </row>
    <row r="22" spans="1:10" ht="15">
      <c r="A22" s="15" t="s">
        <v>2025</v>
      </c>
      <c r="B22" s="33">
        <v>361454.38348737999</v>
      </c>
      <c r="C22" s="35">
        <v>44879</v>
      </c>
      <c r="D22" s="35">
        <v>44884</v>
      </c>
      <c r="E22">
        <f t="shared" si="0"/>
        <v>1</v>
      </c>
      <c r="F22" s="34">
        <f t="shared" si="1"/>
        <v>10843.631504621399</v>
      </c>
    </row>
    <row r="23" spans="1:10" ht="15">
      <c r="A23" s="15" t="s">
        <v>2022</v>
      </c>
      <c r="B23" s="33">
        <v>421492.10870209197</v>
      </c>
      <c r="C23" s="35">
        <v>44880</v>
      </c>
      <c r="D23" s="35">
        <v>44886</v>
      </c>
      <c r="E23">
        <f t="shared" si="0"/>
        <v>1</v>
      </c>
      <c r="F23" s="34">
        <f t="shared" si="1"/>
        <v>12644.763261062759</v>
      </c>
    </row>
    <row r="24" spans="1:10" ht="15">
      <c r="A24" s="15" t="s">
        <v>2026</v>
      </c>
      <c r="B24" s="33">
        <v>331674.01723293774</v>
      </c>
      <c r="C24" s="35">
        <v>44875</v>
      </c>
      <c r="D24" s="35">
        <v>44878</v>
      </c>
      <c r="E24" t="str">
        <f t="shared" si="0"/>
        <v>0</v>
      </c>
      <c r="F24" s="34">
        <f t="shared" si="1"/>
        <v>0</v>
      </c>
    </row>
    <row r="25" spans="1:10" ht="15">
      <c r="A25" s="15" t="s">
        <v>2027</v>
      </c>
      <c r="B25" s="33">
        <v>424572.51392821455</v>
      </c>
      <c r="C25" s="35">
        <v>44876</v>
      </c>
      <c r="D25" s="35">
        <v>44882</v>
      </c>
      <c r="E25">
        <f t="shared" si="0"/>
        <v>1</v>
      </c>
      <c r="F25" s="34">
        <f t="shared" si="1"/>
        <v>12737.175417846436</v>
      </c>
    </row>
    <row r="26" spans="1:10">
      <c r="A26" s="15" t="s">
        <v>2028</v>
      </c>
      <c r="B26" s="33">
        <v>284581.88701099879</v>
      </c>
      <c r="C26" s="35">
        <v>44876</v>
      </c>
      <c r="D26" s="35">
        <v>44878</v>
      </c>
      <c r="E26" t="str">
        <f t="shared" si="0"/>
        <v>0</v>
      </c>
      <c r="F26" s="34">
        <f t="shared" si="1"/>
        <v>0</v>
      </c>
    </row>
    <row r="27" spans="1:10">
      <c r="A27" s="15" t="s">
        <v>2029</v>
      </c>
      <c r="B27" s="33">
        <v>207637.58549964614</v>
      </c>
      <c r="C27" s="35">
        <v>44876</v>
      </c>
      <c r="D27" s="35">
        <v>44886</v>
      </c>
      <c r="E27">
        <f t="shared" si="0"/>
        <v>3</v>
      </c>
      <c r="F27" s="34">
        <f t="shared" si="1"/>
        <v>18687.382694968153</v>
      </c>
    </row>
    <row r="28" spans="1:10">
      <c r="A28" s="15" t="s">
        <v>2030</v>
      </c>
      <c r="B28" s="33">
        <v>403636.84383868438</v>
      </c>
      <c r="C28" s="35">
        <v>44879</v>
      </c>
      <c r="D28" s="35">
        <v>44882</v>
      </c>
      <c r="E28" t="str">
        <f t="shared" si="0"/>
        <v>0</v>
      </c>
      <c r="F28" s="34">
        <f t="shared" si="1"/>
        <v>0</v>
      </c>
    </row>
    <row r="29" spans="1:10">
      <c r="A29" s="15" t="s">
        <v>2031</v>
      </c>
      <c r="B29" s="33">
        <v>313511.33095599036</v>
      </c>
      <c r="C29" s="35">
        <v>44880</v>
      </c>
      <c r="D29" s="35">
        <v>44884</v>
      </c>
      <c r="E29" t="str">
        <f t="shared" si="0"/>
        <v>0</v>
      </c>
      <c r="F29" s="34">
        <f t="shared" si="1"/>
        <v>0</v>
      </c>
    </row>
    <row r="30" spans="1:10">
      <c r="A30" s="15" t="s">
        <v>2032</v>
      </c>
      <c r="B30" s="33">
        <v>373050.06920224044</v>
      </c>
      <c r="C30" s="35">
        <v>44880</v>
      </c>
      <c r="D30" s="35">
        <v>44888</v>
      </c>
      <c r="E30">
        <f t="shared" si="0"/>
        <v>3</v>
      </c>
      <c r="F30" s="34">
        <f t="shared" si="1"/>
        <v>33574.506228201637</v>
      </c>
    </row>
    <row r="31" spans="1:10">
      <c r="A31" s="15" t="s">
        <v>2033</v>
      </c>
      <c r="B31" s="33">
        <v>531851.12349987717</v>
      </c>
      <c r="C31" s="35">
        <v>44875</v>
      </c>
      <c r="D31" s="35">
        <v>44884</v>
      </c>
      <c r="E31">
        <f t="shared" si="0"/>
        <v>3</v>
      </c>
      <c r="F31" s="34">
        <f t="shared" si="1"/>
        <v>47866.601114988945</v>
      </c>
    </row>
    <row r="32" spans="1:10">
      <c r="A32" s="15" t="s">
        <v>2034</v>
      </c>
      <c r="B32" s="33">
        <v>221596.60495110939</v>
      </c>
      <c r="C32" s="35">
        <v>44877</v>
      </c>
      <c r="D32" s="35">
        <v>44881</v>
      </c>
      <c r="E32" t="str">
        <f t="shared" si="0"/>
        <v>0</v>
      </c>
      <c r="F32" s="34">
        <f t="shared" si="1"/>
        <v>0</v>
      </c>
    </row>
    <row r="33" spans="1:6">
      <c r="A33" s="15" t="s">
        <v>2035</v>
      </c>
      <c r="B33" s="33">
        <v>537395.1927445248</v>
      </c>
      <c r="C33" s="35">
        <v>44876</v>
      </c>
      <c r="D33" s="35">
        <v>44884</v>
      </c>
      <c r="E33">
        <f t="shared" si="0"/>
        <v>2</v>
      </c>
      <c r="F33" s="34">
        <f t="shared" si="1"/>
        <v>32243.711564671488</v>
      </c>
    </row>
    <row r="34" spans="1:6">
      <c r="A34" s="15" t="s">
        <v>2036</v>
      </c>
      <c r="B34" s="33">
        <v>254547.49101080326</v>
      </c>
      <c r="C34" s="35">
        <v>44877</v>
      </c>
      <c r="D34" s="35">
        <v>44886</v>
      </c>
      <c r="E34">
        <f t="shared" si="0"/>
        <v>2</v>
      </c>
      <c r="F34" s="34">
        <f t="shared" si="1"/>
        <v>15272.849460648195</v>
      </c>
    </row>
    <row r="35" spans="1:6">
      <c r="A35" s="15" t="s">
        <v>2037</v>
      </c>
      <c r="B35" s="33">
        <v>505100.99682992697</v>
      </c>
      <c r="C35" s="35">
        <v>44879</v>
      </c>
      <c r="D35" s="35">
        <v>44879</v>
      </c>
      <c r="E35" t="str">
        <f t="shared" si="0"/>
        <v>0</v>
      </c>
      <c r="F35" s="34">
        <f t="shared" si="1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1"/>
  <sheetViews>
    <sheetView workbookViewId="0">
      <selection activeCell="D2" sqref="D2"/>
    </sheetView>
  </sheetViews>
  <sheetFormatPr defaultRowHeight="14.45"/>
  <cols>
    <col min="1" max="1" width="12.85546875" bestFit="1" customWidth="1"/>
    <col min="6" max="6" width="6.7109375" customWidth="1"/>
  </cols>
  <sheetData>
    <row r="1" spans="1:8">
      <c r="A1" s="59" t="s">
        <v>2038</v>
      </c>
      <c r="B1" s="60" t="s">
        <v>2039</v>
      </c>
      <c r="C1" s="60" t="s">
        <v>2040</v>
      </c>
      <c r="D1" s="59" t="s">
        <v>2041</v>
      </c>
    </row>
    <row r="2" spans="1:8">
      <c r="A2" s="50" t="s">
        <v>2042</v>
      </c>
      <c r="B2" s="32" t="str">
        <f>_xlfn.TEXTAFTER(_xlfn.TEXTBEFORE(A2,"-"),":")</f>
        <v>200</v>
      </c>
      <c r="C2" s="32" t="str">
        <f>LEFT(_xlfn.TEXTAFTER(A2,"-"),2)</f>
        <v>65</v>
      </c>
      <c r="D2" s="32" t="str">
        <f>_xlfn.TEXTAFTER(A2,C2)</f>
        <v>L</v>
      </c>
      <c r="F2" s="48" t="s">
        <v>0</v>
      </c>
      <c r="G2" s="48" t="s">
        <v>2043</v>
      </c>
    </row>
    <row r="3" spans="1:8">
      <c r="A3" s="50" t="s">
        <v>2044</v>
      </c>
      <c r="B3" s="32" t="str">
        <f t="shared" ref="B3:B31" si="0">_xlfn.TEXTAFTER(_xlfn.TEXTBEFORE(A3,"-"),":")</f>
        <v>100</v>
      </c>
      <c r="C3" s="32" t="str">
        <f t="shared" ref="C3:C31" si="1">LEFT(_xlfn.TEXTAFTER(A3,"-"),2)</f>
        <v>65</v>
      </c>
      <c r="D3" s="32" t="str">
        <f t="shared" ref="D3:D31" si="2">_xlfn.TEXTAFTER(A3,C3)</f>
        <v>XL</v>
      </c>
    </row>
    <row r="4" spans="1:8">
      <c r="A4" s="50" t="s">
        <v>2045</v>
      </c>
      <c r="B4" s="32" t="str">
        <f t="shared" si="0"/>
        <v>100</v>
      </c>
      <c r="C4" s="32" t="str">
        <f t="shared" si="1"/>
        <v>65</v>
      </c>
      <c r="D4" s="32" t="str">
        <f t="shared" si="2"/>
        <v>XXL</v>
      </c>
      <c r="F4" s="48" t="s">
        <v>2</v>
      </c>
      <c r="G4" s="48" t="s">
        <v>2046</v>
      </c>
    </row>
    <row r="5" spans="1:8">
      <c r="A5" s="50" t="s">
        <v>2047</v>
      </c>
      <c r="B5" s="32" t="str">
        <f t="shared" si="0"/>
        <v>500</v>
      </c>
      <c r="C5" s="32" t="str">
        <f t="shared" si="1"/>
        <v>06</v>
      </c>
      <c r="D5" s="32" t="str">
        <f t="shared" si="2"/>
        <v>M</v>
      </c>
    </row>
    <row r="6" spans="1:8">
      <c r="A6" s="50" t="s">
        <v>2048</v>
      </c>
      <c r="B6" s="32" t="str">
        <f t="shared" si="0"/>
        <v>800</v>
      </c>
      <c r="C6" s="32" t="str">
        <f t="shared" si="1"/>
        <v>06</v>
      </c>
      <c r="D6" s="32" t="str">
        <f t="shared" si="2"/>
        <v>L</v>
      </c>
      <c r="F6" s="48" t="s">
        <v>5</v>
      </c>
      <c r="G6" s="48" t="s">
        <v>2049</v>
      </c>
    </row>
    <row r="7" spans="1:8">
      <c r="A7" s="50" t="s">
        <v>2050</v>
      </c>
      <c r="B7" s="32" t="str">
        <f t="shared" si="0"/>
        <v>1000</v>
      </c>
      <c r="C7" s="32" t="str">
        <f t="shared" si="1"/>
        <v>06</v>
      </c>
      <c r="D7" s="32" t="str">
        <f t="shared" si="2"/>
        <v>XL</v>
      </c>
    </row>
    <row r="8" spans="1:8">
      <c r="A8" s="50" t="s">
        <v>2051</v>
      </c>
      <c r="B8" s="32" t="str">
        <f t="shared" si="0"/>
        <v>100</v>
      </c>
      <c r="C8" s="32" t="str">
        <f t="shared" si="1"/>
        <v>06</v>
      </c>
      <c r="D8" s="32" t="str">
        <f t="shared" si="2"/>
        <v>XXL</v>
      </c>
    </row>
    <row r="9" spans="1:8">
      <c r="A9" s="50" t="s">
        <v>2052</v>
      </c>
      <c r="B9" s="32" t="str">
        <f t="shared" si="0"/>
        <v>1200</v>
      </c>
      <c r="C9" s="32" t="str">
        <f t="shared" si="1"/>
        <v>05</v>
      </c>
      <c r="D9" s="32" t="str">
        <f t="shared" si="2"/>
        <v>M</v>
      </c>
      <c r="G9" s="31" t="s">
        <v>52</v>
      </c>
      <c r="H9" s="31" t="s">
        <v>53</v>
      </c>
    </row>
    <row r="10" spans="1:8">
      <c r="A10" s="50" t="s">
        <v>2053</v>
      </c>
      <c r="B10" s="32" t="str">
        <f t="shared" si="0"/>
        <v>300</v>
      </c>
      <c r="C10" s="32" t="str">
        <f t="shared" si="1"/>
        <v>05</v>
      </c>
      <c r="D10" s="32" t="str">
        <f t="shared" si="2"/>
        <v>L</v>
      </c>
      <c r="G10" s="15" t="s">
        <v>0</v>
      </c>
      <c r="H10" s="15">
        <v>2</v>
      </c>
    </row>
    <row r="11" spans="1:8">
      <c r="A11" s="50" t="s">
        <v>2054</v>
      </c>
      <c r="B11" s="32" t="str">
        <f t="shared" si="0"/>
        <v>600</v>
      </c>
      <c r="C11" s="32" t="str">
        <f t="shared" si="1"/>
        <v>05</v>
      </c>
      <c r="D11" s="32" t="str">
        <f t="shared" si="2"/>
        <v>XL</v>
      </c>
      <c r="G11" s="15" t="s">
        <v>2</v>
      </c>
      <c r="H11" s="15">
        <v>2</v>
      </c>
    </row>
    <row r="12" spans="1:8">
      <c r="A12" s="50" t="s">
        <v>2055</v>
      </c>
      <c r="B12" s="32" t="str">
        <f t="shared" si="0"/>
        <v>800</v>
      </c>
      <c r="C12" s="32" t="str">
        <f t="shared" si="1"/>
        <v>05</v>
      </c>
      <c r="D12" s="32" t="str">
        <f t="shared" si="2"/>
        <v>XXL</v>
      </c>
      <c r="G12" s="75" t="s">
        <v>5</v>
      </c>
      <c r="H12" s="15">
        <v>2</v>
      </c>
    </row>
    <row r="13" spans="1:8">
      <c r="A13" s="50" t="s">
        <v>2056</v>
      </c>
      <c r="B13" s="32" t="str">
        <f t="shared" si="0"/>
        <v>300</v>
      </c>
      <c r="C13" s="32" t="str">
        <f t="shared" si="1"/>
        <v>04</v>
      </c>
      <c r="D13" s="32" t="str">
        <f t="shared" si="2"/>
        <v>S</v>
      </c>
    </row>
    <row r="14" spans="1:8">
      <c r="A14" s="50" t="s">
        <v>2057</v>
      </c>
      <c r="B14" s="32" t="str">
        <f t="shared" si="0"/>
        <v>1500</v>
      </c>
      <c r="C14" s="32" t="str">
        <f t="shared" si="1"/>
        <v>04</v>
      </c>
      <c r="D14" s="32" t="str">
        <f t="shared" si="2"/>
        <v>M</v>
      </c>
    </row>
    <row r="15" spans="1:8">
      <c r="A15" s="50" t="s">
        <v>2058</v>
      </c>
      <c r="B15" s="32" t="str">
        <f t="shared" si="0"/>
        <v>1300</v>
      </c>
      <c r="C15" s="32" t="str">
        <f t="shared" si="1"/>
        <v>04</v>
      </c>
      <c r="D15" s="32" t="str">
        <f t="shared" si="2"/>
        <v>L</v>
      </c>
    </row>
    <row r="16" spans="1:8">
      <c r="A16" s="50" t="s">
        <v>2059</v>
      </c>
      <c r="B16" s="32" t="str">
        <f t="shared" si="0"/>
        <v>700</v>
      </c>
      <c r="C16" s="32" t="str">
        <f t="shared" si="1"/>
        <v>04</v>
      </c>
      <c r="D16" s="32" t="str">
        <f t="shared" si="2"/>
        <v>XL</v>
      </c>
    </row>
    <row r="17" spans="1:4">
      <c r="A17" s="50" t="s">
        <v>2060</v>
      </c>
      <c r="B17" s="32" t="str">
        <f t="shared" si="0"/>
        <v>200</v>
      </c>
      <c r="C17" s="32" t="str">
        <f t="shared" si="1"/>
        <v>04</v>
      </c>
      <c r="D17" s="32" t="str">
        <f t="shared" si="2"/>
        <v>XXL</v>
      </c>
    </row>
    <row r="18" spans="1:4">
      <c r="A18" s="50" t="s">
        <v>2061</v>
      </c>
      <c r="B18" s="32" t="str">
        <f t="shared" si="0"/>
        <v>750</v>
      </c>
      <c r="C18" s="32" t="str">
        <f t="shared" si="1"/>
        <v>02</v>
      </c>
      <c r="D18" s="32" t="str">
        <f t="shared" si="2"/>
        <v>S</v>
      </c>
    </row>
    <row r="19" spans="1:4">
      <c r="A19" s="50" t="s">
        <v>2062</v>
      </c>
      <c r="B19" s="32" t="str">
        <f t="shared" si="0"/>
        <v>400</v>
      </c>
      <c r="C19" s="32" t="str">
        <f t="shared" si="1"/>
        <v>02</v>
      </c>
      <c r="D19" s="32" t="str">
        <f t="shared" si="2"/>
        <v>M</v>
      </c>
    </row>
    <row r="20" spans="1:4">
      <c r="A20" s="50" t="s">
        <v>2063</v>
      </c>
      <c r="B20" s="32" t="str">
        <f t="shared" si="0"/>
        <v>700</v>
      </c>
      <c r="C20" s="32" t="str">
        <f t="shared" si="1"/>
        <v>02</v>
      </c>
      <c r="D20" s="32" t="str">
        <f t="shared" si="2"/>
        <v>L</v>
      </c>
    </row>
    <row r="21" spans="1:4">
      <c r="A21" s="50" t="s">
        <v>2064</v>
      </c>
      <c r="B21" s="32" t="str">
        <f t="shared" si="0"/>
        <v>1000</v>
      </c>
      <c r="C21" s="32" t="str">
        <f t="shared" si="1"/>
        <v>02</v>
      </c>
      <c r="D21" s="32" t="str">
        <f t="shared" si="2"/>
        <v>XL</v>
      </c>
    </row>
    <row r="22" spans="1:4">
      <c r="A22" s="50" t="s">
        <v>2065</v>
      </c>
      <c r="B22" s="32" t="str">
        <f t="shared" si="0"/>
        <v>900</v>
      </c>
      <c r="C22" s="32" t="str">
        <f t="shared" si="1"/>
        <v>02</v>
      </c>
      <c r="D22" s="32" t="str">
        <f t="shared" si="2"/>
        <v>XXL</v>
      </c>
    </row>
    <row r="23" spans="1:4">
      <c r="A23" s="50" t="s">
        <v>2066</v>
      </c>
      <c r="B23" s="32" t="str">
        <f t="shared" si="0"/>
        <v>350</v>
      </c>
      <c r="C23" s="32" t="str">
        <f t="shared" si="1"/>
        <v>01</v>
      </c>
      <c r="D23" s="32" t="str">
        <f t="shared" si="2"/>
        <v>S</v>
      </c>
    </row>
    <row r="24" spans="1:4">
      <c r="A24" s="50" t="s">
        <v>2067</v>
      </c>
      <c r="B24" s="32" t="str">
        <f t="shared" si="0"/>
        <v>2000</v>
      </c>
      <c r="C24" s="32" t="str">
        <f t="shared" si="1"/>
        <v>01</v>
      </c>
      <c r="D24" s="32" t="str">
        <f t="shared" si="2"/>
        <v>M</v>
      </c>
    </row>
    <row r="25" spans="1:4">
      <c r="A25" s="50" t="s">
        <v>2068</v>
      </c>
      <c r="B25" s="32" t="str">
        <f t="shared" si="0"/>
        <v>1350</v>
      </c>
      <c r="C25" s="32" t="str">
        <f t="shared" si="1"/>
        <v>01</v>
      </c>
      <c r="D25" s="32" t="str">
        <f t="shared" si="2"/>
        <v>L</v>
      </c>
    </row>
    <row r="26" spans="1:4">
      <c r="A26" s="50" t="s">
        <v>2069</v>
      </c>
      <c r="B26" s="32" t="str">
        <f t="shared" si="0"/>
        <v>100</v>
      </c>
      <c r="C26" s="32" t="str">
        <f t="shared" si="1"/>
        <v>01</v>
      </c>
      <c r="D26" s="32" t="str">
        <f t="shared" si="2"/>
        <v>XL</v>
      </c>
    </row>
    <row r="27" spans="1:4">
      <c r="A27" s="50" t="s">
        <v>2070</v>
      </c>
      <c r="B27" s="32" t="str">
        <f t="shared" si="0"/>
        <v>500</v>
      </c>
      <c r="C27" s="32" t="str">
        <f t="shared" si="1"/>
        <v>01</v>
      </c>
      <c r="D27" s="32" t="str">
        <f t="shared" si="2"/>
        <v>XXL</v>
      </c>
    </row>
    <row r="28" spans="1:4">
      <c r="A28" s="50" t="s">
        <v>2071</v>
      </c>
      <c r="B28" s="32" t="str">
        <f t="shared" si="0"/>
        <v>800</v>
      </c>
      <c r="C28" s="32" t="str">
        <f t="shared" si="1"/>
        <v>25</v>
      </c>
      <c r="D28" s="32" t="str">
        <f t="shared" si="2"/>
        <v>M</v>
      </c>
    </row>
    <row r="29" spans="1:4">
      <c r="A29" s="50" t="s">
        <v>2072</v>
      </c>
      <c r="B29" s="32" t="str">
        <f t="shared" si="0"/>
        <v>300</v>
      </c>
      <c r="C29" s="32" t="str">
        <f t="shared" si="1"/>
        <v>25</v>
      </c>
      <c r="D29" s="32" t="str">
        <f t="shared" si="2"/>
        <v>L</v>
      </c>
    </row>
    <row r="30" spans="1:4">
      <c r="A30" s="50" t="s">
        <v>2073</v>
      </c>
      <c r="B30" s="32" t="str">
        <f t="shared" si="0"/>
        <v>700</v>
      </c>
      <c r="C30" s="32" t="str">
        <f t="shared" si="1"/>
        <v>25</v>
      </c>
      <c r="D30" s="32" t="str">
        <f t="shared" si="2"/>
        <v>XL</v>
      </c>
    </row>
    <row r="31" spans="1:4">
      <c r="A31" s="50" t="s">
        <v>2074</v>
      </c>
      <c r="B31" s="32" t="str">
        <f t="shared" si="0"/>
        <v>1200</v>
      </c>
      <c r="C31" s="32" t="str">
        <f t="shared" si="1"/>
        <v>25</v>
      </c>
      <c r="D31" s="32" t="str">
        <f t="shared" si="2"/>
        <v>XXL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892"/>
  <sheetViews>
    <sheetView workbookViewId="0">
      <selection activeCell="E5" sqref="E5"/>
    </sheetView>
  </sheetViews>
  <sheetFormatPr defaultRowHeight="15" customHeight="1"/>
  <cols>
    <col min="1" max="1" width="15.5703125" customWidth="1"/>
    <col min="2" max="4" width="12.140625" customWidth="1"/>
    <col min="8" max="8" width="10.5703125" customWidth="1"/>
    <col min="11" max="11" width="15.5703125" customWidth="1"/>
    <col min="12" max="12" width="16.28515625" customWidth="1"/>
    <col min="13" max="14" width="13.7109375" customWidth="1"/>
    <col min="15" max="15" width="14.7109375" customWidth="1"/>
    <col min="16" max="16" width="13.7109375" customWidth="1"/>
    <col min="17" max="19" width="12.5703125" customWidth="1"/>
    <col min="20" max="20" width="14.7109375" customWidth="1"/>
    <col min="21" max="21" width="13.85546875" bestFit="1" customWidth="1"/>
    <col min="22" max="22" width="15.5703125" bestFit="1" customWidth="1"/>
    <col min="23" max="23" width="13.85546875" bestFit="1" customWidth="1"/>
    <col min="24" max="24" width="15.5703125" bestFit="1" customWidth="1"/>
    <col min="25" max="25" width="18.85546875" bestFit="1" customWidth="1"/>
    <col min="26" max="26" width="20.5703125" bestFit="1" customWidth="1"/>
    <col min="257" max="257" width="15.5703125" customWidth="1"/>
    <col min="258" max="259" width="12.140625" customWidth="1"/>
    <col min="263" max="263" width="10.5703125" customWidth="1"/>
    <col min="513" max="513" width="15.5703125" customWidth="1"/>
    <col min="514" max="515" width="12.140625" customWidth="1"/>
    <col min="519" max="519" width="10.5703125" customWidth="1"/>
    <col min="769" max="769" width="15.5703125" customWidth="1"/>
    <col min="770" max="771" width="12.140625" customWidth="1"/>
    <col min="775" max="775" width="10.5703125" customWidth="1"/>
    <col min="1025" max="1025" width="15.5703125" customWidth="1"/>
    <col min="1026" max="1027" width="12.140625" customWidth="1"/>
    <col min="1031" max="1031" width="10.5703125" customWidth="1"/>
    <col min="1281" max="1281" width="15.5703125" customWidth="1"/>
    <col min="1282" max="1283" width="12.140625" customWidth="1"/>
    <col min="1287" max="1287" width="10.5703125" customWidth="1"/>
    <col min="1537" max="1537" width="15.5703125" customWidth="1"/>
    <col min="1538" max="1539" width="12.140625" customWidth="1"/>
    <col min="1543" max="1543" width="10.5703125" customWidth="1"/>
    <col min="1793" max="1793" width="15.5703125" customWidth="1"/>
    <col min="1794" max="1795" width="12.140625" customWidth="1"/>
    <col min="1799" max="1799" width="10.5703125" customWidth="1"/>
    <col min="2049" max="2049" width="15.5703125" customWidth="1"/>
    <col min="2050" max="2051" width="12.140625" customWidth="1"/>
    <col min="2055" max="2055" width="10.5703125" customWidth="1"/>
    <col min="2305" max="2305" width="15.5703125" customWidth="1"/>
    <col min="2306" max="2307" width="12.140625" customWidth="1"/>
    <col min="2311" max="2311" width="10.5703125" customWidth="1"/>
    <col min="2561" max="2561" width="15.5703125" customWidth="1"/>
    <col min="2562" max="2563" width="12.140625" customWidth="1"/>
    <col min="2567" max="2567" width="10.5703125" customWidth="1"/>
    <col min="2817" max="2817" width="15.5703125" customWidth="1"/>
    <col min="2818" max="2819" width="12.140625" customWidth="1"/>
    <col min="2823" max="2823" width="10.5703125" customWidth="1"/>
    <col min="3073" max="3073" width="15.5703125" customWidth="1"/>
    <col min="3074" max="3075" width="12.140625" customWidth="1"/>
    <col min="3079" max="3079" width="10.5703125" customWidth="1"/>
    <col min="3329" max="3329" width="15.5703125" customWidth="1"/>
    <col min="3330" max="3331" width="12.140625" customWidth="1"/>
    <col min="3335" max="3335" width="10.5703125" customWidth="1"/>
    <col min="3585" max="3585" width="15.5703125" customWidth="1"/>
    <col min="3586" max="3587" width="12.140625" customWidth="1"/>
    <col min="3591" max="3591" width="10.5703125" customWidth="1"/>
    <col min="3841" max="3841" width="15.5703125" customWidth="1"/>
    <col min="3842" max="3843" width="12.140625" customWidth="1"/>
    <col min="3847" max="3847" width="10.5703125" customWidth="1"/>
    <col min="4097" max="4097" width="15.5703125" customWidth="1"/>
    <col min="4098" max="4099" width="12.140625" customWidth="1"/>
    <col min="4103" max="4103" width="10.5703125" customWidth="1"/>
    <col min="4353" max="4353" width="15.5703125" customWidth="1"/>
    <col min="4354" max="4355" width="12.140625" customWidth="1"/>
    <col min="4359" max="4359" width="10.5703125" customWidth="1"/>
    <col min="4609" max="4609" width="15.5703125" customWidth="1"/>
    <col min="4610" max="4611" width="12.140625" customWidth="1"/>
    <col min="4615" max="4615" width="10.5703125" customWidth="1"/>
    <col min="4865" max="4865" width="15.5703125" customWidth="1"/>
    <col min="4866" max="4867" width="12.140625" customWidth="1"/>
    <col min="4871" max="4871" width="10.5703125" customWidth="1"/>
    <col min="5121" max="5121" width="15.5703125" customWidth="1"/>
    <col min="5122" max="5123" width="12.140625" customWidth="1"/>
    <col min="5127" max="5127" width="10.5703125" customWidth="1"/>
    <col min="5377" max="5377" width="15.5703125" customWidth="1"/>
    <col min="5378" max="5379" width="12.140625" customWidth="1"/>
    <col min="5383" max="5383" width="10.5703125" customWidth="1"/>
    <col min="5633" max="5633" width="15.5703125" customWidth="1"/>
    <col min="5634" max="5635" width="12.140625" customWidth="1"/>
    <col min="5639" max="5639" width="10.5703125" customWidth="1"/>
    <col min="5889" max="5889" width="15.5703125" customWidth="1"/>
    <col min="5890" max="5891" width="12.140625" customWidth="1"/>
    <col min="5895" max="5895" width="10.5703125" customWidth="1"/>
    <col min="6145" max="6145" width="15.5703125" customWidth="1"/>
    <col min="6146" max="6147" width="12.140625" customWidth="1"/>
    <col min="6151" max="6151" width="10.5703125" customWidth="1"/>
    <col min="6401" max="6401" width="15.5703125" customWidth="1"/>
    <col min="6402" max="6403" width="12.140625" customWidth="1"/>
    <col min="6407" max="6407" width="10.5703125" customWidth="1"/>
    <col min="6657" max="6657" width="15.5703125" customWidth="1"/>
    <col min="6658" max="6659" width="12.140625" customWidth="1"/>
    <col min="6663" max="6663" width="10.5703125" customWidth="1"/>
    <col min="6913" max="6913" width="15.5703125" customWidth="1"/>
    <col min="6914" max="6915" width="12.140625" customWidth="1"/>
    <col min="6919" max="6919" width="10.5703125" customWidth="1"/>
    <col min="7169" max="7169" width="15.5703125" customWidth="1"/>
    <col min="7170" max="7171" width="12.140625" customWidth="1"/>
    <col min="7175" max="7175" width="10.5703125" customWidth="1"/>
    <col min="7425" max="7425" width="15.5703125" customWidth="1"/>
    <col min="7426" max="7427" width="12.140625" customWidth="1"/>
    <col min="7431" max="7431" width="10.5703125" customWidth="1"/>
    <col min="7681" max="7681" width="15.5703125" customWidth="1"/>
    <col min="7682" max="7683" width="12.140625" customWidth="1"/>
    <col min="7687" max="7687" width="10.5703125" customWidth="1"/>
    <col min="7937" max="7937" width="15.5703125" customWidth="1"/>
    <col min="7938" max="7939" width="12.140625" customWidth="1"/>
    <col min="7943" max="7943" width="10.5703125" customWidth="1"/>
    <col min="8193" max="8193" width="15.5703125" customWidth="1"/>
    <col min="8194" max="8195" width="12.140625" customWidth="1"/>
    <col min="8199" max="8199" width="10.5703125" customWidth="1"/>
    <col min="8449" max="8449" width="15.5703125" customWidth="1"/>
    <col min="8450" max="8451" width="12.140625" customWidth="1"/>
    <col min="8455" max="8455" width="10.5703125" customWidth="1"/>
    <col min="8705" max="8705" width="15.5703125" customWidth="1"/>
    <col min="8706" max="8707" width="12.140625" customWidth="1"/>
    <col min="8711" max="8711" width="10.5703125" customWidth="1"/>
    <col min="8961" max="8961" width="15.5703125" customWidth="1"/>
    <col min="8962" max="8963" width="12.140625" customWidth="1"/>
    <col min="8967" max="8967" width="10.5703125" customWidth="1"/>
    <col min="9217" max="9217" width="15.5703125" customWidth="1"/>
    <col min="9218" max="9219" width="12.140625" customWidth="1"/>
    <col min="9223" max="9223" width="10.5703125" customWidth="1"/>
    <col min="9473" max="9473" width="15.5703125" customWidth="1"/>
    <col min="9474" max="9475" width="12.140625" customWidth="1"/>
    <col min="9479" max="9479" width="10.5703125" customWidth="1"/>
    <col min="9729" max="9729" width="15.5703125" customWidth="1"/>
    <col min="9730" max="9731" width="12.140625" customWidth="1"/>
    <col min="9735" max="9735" width="10.5703125" customWidth="1"/>
    <col min="9985" max="9985" width="15.5703125" customWidth="1"/>
    <col min="9986" max="9987" width="12.140625" customWidth="1"/>
    <col min="9991" max="9991" width="10.5703125" customWidth="1"/>
    <col min="10241" max="10241" width="15.5703125" customWidth="1"/>
    <col min="10242" max="10243" width="12.140625" customWidth="1"/>
    <col min="10247" max="10247" width="10.5703125" customWidth="1"/>
    <col min="10497" max="10497" width="15.5703125" customWidth="1"/>
    <col min="10498" max="10499" width="12.140625" customWidth="1"/>
    <col min="10503" max="10503" width="10.5703125" customWidth="1"/>
    <col min="10753" max="10753" width="15.5703125" customWidth="1"/>
    <col min="10754" max="10755" width="12.140625" customWidth="1"/>
    <col min="10759" max="10759" width="10.5703125" customWidth="1"/>
    <col min="11009" max="11009" width="15.5703125" customWidth="1"/>
    <col min="11010" max="11011" width="12.140625" customWidth="1"/>
    <col min="11015" max="11015" width="10.5703125" customWidth="1"/>
    <col min="11265" max="11265" width="15.5703125" customWidth="1"/>
    <col min="11266" max="11267" width="12.140625" customWidth="1"/>
    <col min="11271" max="11271" width="10.5703125" customWidth="1"/>
    <col min="11521" max="11521" width="15.5703125" customWidth="1"/>
    <col min="11522" max="11523" width="12.140625" customWidth="1"/>
    <col min="11527" max="11527" width="10.5703125" customWidth="1"/>
    <col min="11777" max="11777" width="15.5703125" customWidth="1"/>
    <col min="11778" max="11779" width="12.140625" customWidth="1"/>
    <col min="11783" max="11783" width="10.5703125" customWidth="1"/>
    <col min="12033" max="12033" width="15.5703125" customWidth="1"/>
    <col min="12034" max="12035" width="12.140625" customWidth="1"/>
    <col min="12039" max="12039" width="10.5703125" customWidth="1"/>
    <col min="12289" max="12289" width="15.5703125" customWidth="1"/>
    <col min="12290" max="12291" width="12.140625" customWidth="1"/>
    <col min="12295" max="12295" width="10.5703125" customWidth="1"/>
    <col min="12545" max="12545" width="15.5703125" customWidth="1"/>
    <col min="12546" max="12547" width="12.140625" customWidth="1"/>
    <col min="12551" max="12551" width="10.5703125" customWidth="1"/>
    <col min="12801" max="12801" width="15.5703125" customWidth="1"/>
    <col min="12802" max="12803" width="12.140625" customWidth="1"/>
    <col min="12807" max="12807" width="10.5703125" customWidth="1"/>
    <col min="13057" max="13057" width="15.5703125" customWidth="1"/>
    <col min="13058" max="13059" width="12.140625" customWidth="1"/>
    <col min="13063" max="13063" width="10.5703125" customWidth="1"/>
    <col min="13313" max="13313" width="15.5703125" customWidth="1"/>
    <col min="13314" max="13315" width="12.140625" customWidth="1"/>
    <col min="13319" max="13319" width="10.5703125" customWidth="1"/>
    <col min="13569" max="13569" width="15.5703125" customWidth="1"/>
    <col min="13570" max="13571" width="12.140625" customWidth="1"/>
    <col min="13575" max="13575" width="10.5703125" customWidth="1"/>
    <col min="13825" max="13825" width="15.5703125" customWidth="1"/>
    <col min="13826" max="13827" width="12.140625" customWidth="1"/>
    <col min="13831" max="13831" width="10.5703125" customWidth="1"/>
    <col min="14081" max="14081" width="15.5703125" customWidth="1"/>
    <col min="14082" max="14083" width="12.140625" customWidth="1"/>
    <col min="14087" max="14087" width="10.5703125" customWidth="1"/>
    <col min="14337" max="14337" width="15.5703125" customWidth="1"/>
    <col min="14338" max="14339" width="12.140625" customWidth="1"/>
    <col min="14343" max="14343" width="10.5703125" customWidth="1"/>
    <col min="14593" max="14593" width="15.5703125" customWidth="1"/>
    <col min="14594" max="14595" width="12.140625" customWidth="1"/>
    <col min="14599" max="14599" width="10.5703125" customWidth="1"/>
    <col min="14849" max="14849" width="15.5703125" customWidth="1"/>
    <col min="14850" max="14851" width="12.140625" customWidth="1"/>
    <col min="14855" max="14855" width="10.5703125" customWidth="1"/>
    <col min="15105" max="15105" width="15.5703125" customWidth="1"/>
    <col min="15106" max="15107" width="12.140625" customWidth="1"/>
    <col min="15111" max="15111" width="10.5703125" customWidth="1"/>
    <col min="15361" max="15361" width="15.5703125" customWidth="1"/>
    <col min="15362" max="15363" width="12.140625" customWidth="1"/>
    <col min="15367" max="15367" width="10.5703125" customWidth="1"/>
    <col min="15617" max="15617" width="15.5703125" customWidth="1"/>
    <col min="15618" max="15619" width="12.140625" customWidth="1"/>
    <col min="15623" max="15623" width="10.5703125" customWidth="1"/>
    <col min="15873" max="15873" width="15.5703125" customWidth="1"/>
    <col min="15874" max="15875" width="12.140625" customWidth="1"/>
    <col min="15879" max="15879" width="10.5703125" customWidth="1"/>
    <col min="16129" max="16129" width="15.5703125" customWidth="1"/>
    <col min="16130" max="16131" width="12.140625" customWidth="1"/>
    <col min="16135" max="16135" width="10.5703125" customWidth="1"/>
  </cols>
  <sheetData>
    <row r="1" spans="1:12">
      <c r="A1" s="61" t="s">
        <v>2075</v>
      </c>
      <c r="B1" s="62" t="s">
        <v>23</v>
      </c>
      <c r="C1" s="62" t="s">
        <v>70</v>
      </c>
      <c r="D1" s="62" t="s">
        <v>2076</v>
      </c>
      <c r="E1" s="62" t="s">
        <v>75</v>
      </c>
      <c r="F1" s="62" t="s">
        <v>2077</v>
      </c>
      <c r="G1" s="62" t="s">
        <v>2078</v>
      </c>
      <c r="H1" s="63" t="s">
        <v>2079</v>
      </c>
    </row>
    <row r="2" spans="1:12">
      <c r="A2" s="1">
        <v>1</v>
      </c>
      <c r="B2" s="2" t="s">
        <v>2080</v>
      </c>
      <c r="C2" s="3">
        <v>38078</v>
      </c>
      <c r="D2" s="4">
        <f>YEAR(Table1[[#This Row],[Date]])</f>
        <v>2004</v>
      </c>
      <c r="E2" s="2" t="s">
        <v>2081</v>
      </c>
      <c r="F2" s="4">
        <v>45</v>
      </c>
      <c r="G2" s="5">
        <v>137.20455832336393</v>
      </c>
      <c r="H2" s="6" t="s">
        <v>2082</v>
      </c>
      <c r="K2" s="48" t="s">
        <v>2083</v>
      </c>
    </row>
    <row r="3" spans="1:12">
      <c r="A3" s="1">
        <v>2</v>
      </c>
      <c r="B3" s="2" t="s">
        <v>2084</v>
      </c>
      <c r="C3" s="3">
        <v>38056</v>
      </c>
      <c r="D3" s="4">
        <f>YEAR(Table1[[#This Row],[Date]])</f>
        <v>2004</v>
      </c>
      <c r="E3" s="2" t="s">
        <v>2085</v>
      </c>
      <c r="F3" s="4">
        <v>50</v>
      </c>
      <c r="G3" s="5">
        <v>152.00730307485438</v>
      </c>
      <c r="H3" s="6" t="s">
        <v>2086</v>
      </c>
    </row>
    <row r="4" spans="1:12">
      <c r="A4" s="1">
        <v>3</v>
      </c>
      <c r="B4" s="2" t="s">
        <v>2087</v>
      </c>
      <c r="C4" s="3">
        <v>38408</v>
      </c>
      <c r="D4" s="4">
        <f>YEAR(Table1[[#This Row],[Date]])</f>
        <v>2005</v>
      </c>
      <c r="E4" s="2" t="s">
        <v>2088</v>
      </c>
      <c r="F4" s="4">
        <v>9</v>
      </c>
      <c r="G4" s="5">
        <v>28.719483117139745</v>
      </c>
      <c r="H4" s="6" t="s">
        <v>2086</v>
      </c>
      <c r="K4" s="48" t="s">
        <v>2089</v>
      </c>
    </row>
    <row r="5" spans="1:12">
      <c r="A5" s="1">
        <v>4</v>
      </c>
      <c r="B5" s="2" t="s">
        <v>2084</v>
      </c>
      <c r="C5" s="3">
        <v>38859</v>
      </c>
      <c r="D5" s="4">
        <f>YEAR(Table1[[#This Row],[Date]])</f>
        <v>2006</v>
      </c>
      <c r="E5" s="2" t="s">
        <v>2081</v>
      </c>
      <c r="F5" s="4">
        <v>55</v>
      </c>
      <c r="G5" s="5">
        <v>167.07532251655616</v>
      </c>
      <c r="H5" s="6" t="s">
        <v>2090</v>
      </c>
      <c r="K5" s="22"/>
    </row>
    <row r="6" spans="1:12">
      <c r="A6" s="1">
        <v>5</v>
      </c>
      <c r="B6" s="2" t="s">
        <v>2091</v>
      </c>
      <c r="C6" s="3">
        <v>38155</v>
      </c>
      <c r="D6" s="4">
        <f>YEAR(Table1[[#This Row],[Date]])</f>
        <v>2004</v>
      </c>
      <c r="E6" s="2" t="s">
        <v>2081</v>
      </c>
      <c r="F6" s="4">
        <v>43</v>
      </c>
      <c r="G6" s="5">
        <v>130.60287243901442</v>
      </c>
      <c r="H6" s="6" t="s">
        <v>2086</v>
      </c>
      <c r="K6" s="73" t="s">
        <v>2092</v>
      </c>
    </row>
    <row r="7" spans="1:12">
      <c r="A7" s="1">
        <v>6</v>
      </c>
      <c r="B7" s="2" t="s">
        <v>2093</v>
      </c>
      <c r="C7" s="3">
        <v>38683</v>
      </c>
      <c r="D7" s="4">
        <f>YEAR(Table1[[#This Row],[Date]])</f>
        <v>2005</v>
      </c>
      <c r="E7" s="2" t="s">
        <v>2094</v>
      </c>
      <c r="F7" s="4">
        <v>58</v>
      </c>
      <c r="G7" s="5">
        <v>175.99097407072162</v>
      </c>
      <c r="H7" s="6" t="s">
        <v>2086</v>
      </c>
      <c r="K7" s="22"/>
    </row>
    <row r="8" spans="1:12">
      <c r="A8" s="1">
        <v>7</v>
      </c>
      <c r="B8" s="2" t="s">
        <v>2095</v>
      </c>
      <c r="C8" s="3">
        <v>38067</v>
      </c>
      <c r="D8" s="4">
        <f>YEAR(Table1[[#This Row],[Date]])</f>
        <v>2004</v>
      </c>
      <c r="E8" s="2" t="s">
        <v>2094</v>
      </c>
      <c r="F8" s="4">
        <v>8</v>
      </c>
      <c r="G8" s="5">
        <v>25.800692176216739</v>
      </c>
      <c r="H8" s="6" t="s">
        <v>2086</v>
      </c>
      <c r="K8" s="22"/>
    </row>
    <row r="9" spans="1:12">
      <c r="A9" s="1">
        <v>8</v>
      </c>
      <c r="B9" s="2" t="s">
        <v>2093</v>
      </c>
      <c r="C9" s="3">
        <v>39068</v>
      </c>
      <c r="D9" s="4">
        <f>YEAR(Table1[[#This Row],[Date]])</f>
        <v>2006</v>
      </c>
      <c r="E9" s="2" t="s">
        <v>2081</v>
      </c>
      <c r="F9" s="4">
        <v>72</v>
      </c>
      <c r="G9" s="5">
        <v>217.83965386113226</v>
      </c>
      <c r="H9" s="6" t="s">
        <v>2086</v>
      </c>
      <c r="K9" s="31" t="s">
        <v>52</v>
      </c>
      <c r="L9" s="31" t="s">
        <v>53</v>
      </c>
    </row>
    <row r="10" spans="1:12">
      <c r="A10" s="1">
        <v>9</v>
      </c>
      <c r="B10" s="2" t="s">
        <v>2087</v>
      </c>
      <c r="C10" s="3">
        <v>38903</v>
      </c>
      <c r="D10" s="4">
        <f>YEAR(Table1[[#This Row],[Date]])</f>
        <v>2006</v>
      </c>
      <c r="E10" s="2" t="s">
        <v>2094</v>
      </c>
      <c r="F10" s="4">
        <v>75</v>
      </c>
      <c r="G10" s="5">
        <v>226.64232685518837</v>
      </c>
      <c r="H10" s="6" t="s">
        <v>2082</v>
      </c>
      <c r="K10" s="15" t="s">
        <v>0</v>
      </c>
      <c r="L10" s="15">
        <v>2</v>
      </c>
    </row>
    <row r="11" spans="1:12">
      <c r="A11" s="1">
        <v>10</v>
      </c>
      <c r="B11" s="2" t="s">
        <v>2080</v>
      </c>
      <c r="C11" s="3">
        <v>38936</v>
      </c>
      <c r="D11" s="4">
        <f>YEAR(Table1[[#This Row],[Date]])</f>
        <v>2006</v>
      </c>
      <c r="E11" s="2" t="s">
        <v>2081</v>
      </c>
      <c r="F11" s="4">
        <v>24</v>
      </c>
      <c r="G11" s="5">
        <v>73.502342173405509</v>
      </c>
      <c r="H11" s="6" t="s">
        <v>2096</v>
      </c>
      <c r="K11" s="15" t="s">
        <v>2</v>
      </c>
      <c r="L11" s="15">
        <v>2</v>
      </c>
    </row>
    <row r="12" spans="1:12">
      <c r="A12" s="1">
        <v>11</v>
      </c>
      <c r="B12" s="2" t="s">
        <v>2087</v>
      </c>
      <c r="C12" s="3">
        <v>38320</v>
      </c>
      <c r="D12" s="4">
        <f>YEAR(Table1[[#This Row],[Date]])</f>
        <v>2004</v>
      </c>
      <c r="E12" s="2" t="s">
        <v>2097</v>
      </c>
      <c r="F12" s="4">
        <v>43</v>
      </c>
      <c r="G12" s="5">
        <v>130.83536844241408</v>
      </c>
      <c r="H12" s="6" t="s">
        <v>2096</v>
      </c>
      <c r="K12" s="75" t="s">
        <v>5</v>
      </c>
      <c r="L12" s="15">
        <v>2</v>
      </c>
    </row>
    <row r="13" spans="1:12">
      <c r="A13" s="1">
        <v>12</v>
      </c>
      <c r="B13" s="2" t="s">
        <v>2087</v>
      </c>
      <c r="C13" s="3">
        <v>38309</v>
      </c>
      <c r="D13" s="4">
        <f>YEAR(Table1[[#This Row],[Date]])</f>
        <v>2004</v>
      </c>
      <c r="E13" s="2" t="s">
        <v>2081</v>
      </c>
      <c r="F13" s="4">
        <v>23</v>
      </c>
      <c r="G13" s="5">
        <v>71.034367691096961</v>
      </c>
      <c r="H13" s="6" t="s">
        <v>2090</v>
      </c>
      <c r="K13" s="22"/>
    </row>
    <row r="14" spans="1:12">
      <c r="A14" s="1">
        <v>13</v>
      </c>
      <c r="B14" s="2" t="s">
        <v>2098</v>
      </c>
      <c r="C14" s="3">
        <v>38595</v>
      </c>
      <c r="D14" s="4">
        <f>YEAR(Table1[[#This Row],[Date]])</f>
        <v>2005</v>
      </c>
      <c r="E14" s="2" t="s">
        <v>2081</v>
      </c>
      <c r="F14" s="4">
        <v>49</v>
      </c>
      <c r="G14" s="5">
        <v>149.59279694174981</v>
      </c>
      <c r="H14" s="6" t="s">
        <v>2090</v>
      </c>
      <c r="K14" s="22"/>
    </row>
    <row r="15" spans="1:12">
      <c r="A15" s="1">
        <v>14</v>
      </c>
      <c r="B15" s="2" t="s">
        <v>2084</v>
      </c>
      <c r="C15" s="3">
        <v>38353</v>
      </c>
      <c r="D15" s="4">
        <f>YEAR(Table1[[#This Row],[Date]])</f>
        <v>2005</v>
      </c>
      <c r="E15" s="2" t="s">
        <v>2094</v>
      </c>
      <c r="F15" s="4">
        <v>18</v>
      </c>
      <c r="G15" s="5">
        <v>56.471999230139573</v>
      </c>
      <c r="H15" s="6" t="s">
        <v>2082</v>
      </c>
    </row>
    <row r="16" spans="1:12">
      <c r="A16" s="1">
        <v>15</v>
      </c>
      <c r="B16" s="2" t="s">
        <v>2091</v>
      </c>
      <c r="C16" s="3">
        <v>38980</v>
      </c>
      <c r="D16" s="4">
        <f>YEAR(Table1[[#This Row],[Date]])</f>
        <v>2006</v>
      </c>
      <c r="E16" s="2" t="s">
        <v>2085</v>
      </c>
      <c r="F16" s="4">
        <v>8</v>
      </c>
      <c r="G16" s="5">
        <v>21.99</v>
      </c>
      <c r="H16" s="6" t="s">
        <v>2096</v>
      </c>
    </row>
    <row r="17" spans="1:17">
      <c r="A17" s="1">
        <v>16</v>
      </c>
      <c r="B17" s="2" t="s">
        <v>2098</v>
      </c>
      <c r="C17" s="3">
        <v>38089</v>
      </c>
      <c r="D17" s="4">
        <f>YEAR(Table1[[#This Row],[Date]])</f>
        <v>2004</v>
      </c>
      <c r="E17" s="2" t="s">
        <v>2097</v>
      </c>
      <c r="F17" s="4">
        <v>45</v>
      </c>
      <c r="G17" s="5">
        <v>137.39037590916232</v>
      </c>
      <c r="H17" s="6" t="s">
        <v>2096</v>
      </c>
    </row>
    <row r="18" spans="1:17">
      <c r="A18" s="1">
        <v>17</v>
      </c>
      <c r="B18" s="2" t="s">
        <v>2093</v>
      </c>
      <c r="C18" s="3">
        <v>38837</v>
      </c>
      <c r="D18" s="4">
        <f>YEAR(Table1[[#This Row],[Date]])</f>
        <v>2006</v>
      </c>
      <c r="E18" s="2" t="s">
        <v>2097</v>
      </c>
      <c r="F18" s="4">
        <v>66</v>
      </c>
      <c r="G18" s="5">
        <v>199.65433473774931</v>
      </c>
      <c r="H18" s="6" t="s">
        <v>2082</v>
      </c>
    </row>
    <row r="19" spans="1:17">
      <c r="A19" s="1">
        <v>18</v>
      </c>
      <c r="B19" s="2" t="s">
        <v>2099</v>
      </c>
      <c r="C19" s="3">
        <v>38595</v>
      </c>
      <c r="D19" s="4">
        <f>YEAR(Table1[[#This Row],[Date]])</f>
        <v>2005</v>
      </c>
      <c r="E19" s="2" t="s">
        <v>2081</v>
      </c>
      <c r="F19" s="4">
        <v>88</v>
      </c>
      <c r="G19" s="5">
        <v>265.18755145539586</v>
      </c>
      <c r="H19" s="6" t="s">
        <v>2086</v>
      </c>
    </row>
    <row r="20" spans="1:17">
      <c r="A20" s="1">
        <v>19</v>
      </c>
      <c r="B20" s="2" t="s">
        <v>2099</v>
      </c>
      <c r="C20" s="3">
        <v>38287</v>
      </c>
      <c r="D20" s="4">
        <f>YEAR(Table1[[#This Row],[Date]])</f>
        <v>2004</v>
      </c>
      <c r="E20" s="2" t="s">
        <v>2094</v>
      </c>
      <c r="F20" s="4">
        <v>78</v>
      </c>
      <c r="G20" s="5">
        <v>236.14697789113248</v>
      </c>
      <c r="H20" s="6" t="s">
        <v>2082</v>
      </c>
      <c r="K20" s="22"/>
      <c r="L20" s="21"/>
      <c r="M20" s="21"/>
      <c r="N20" s="21"/>
      <c r="O20" s="21"/>
      <c r="P20" s="21"/>
      <c r="Q20" s="21"/>
    </row>
    <row r="21" spans="1:17">
      <c r="A21" s="1">
        <v>20</v>
      </c>
      <c r="B21" s="2" t="s">
        <v>2091</v>
      </c>
      <c r="C21" s="3">
        <v>38683</v>
      </c>
      <c r="D21" s="4">
        <f>YEAR(Table1[[#This Row],[Date]])</f>
        <v>2005</v>
      </c>
      <c r="E21" s="2" t="s">
        <v>2081</v>
      </c>
      <c r="F21" s="4">
        <v>57</v>
      </c>
      <c r="G21" s="5">
        <v>173.11529461915569</v>
      </c>
      <c r="H21" s="6" t="s">
        <v>2086</v>
      </c>
      <c r="K21" s="22"/>
      <c r="L21" s="21"/>
      <c r="M21" s="21"/>
      <c r="N21" s="21"/>
      <c r="O21" s="21"/>
      <c r="P21" s="21"/>
      <c r="Q21" s="21"/>
    </row>
    <row r="22" spans="1:17">
      <c r="A22" s="1">
        <v>21</v>
      </c>
      <c r="B22" s="2" t="s">
        <v>2091</v>
      </c>
      <c r="C22" s="3">
        <v>38870</v>
      </c>
      <c r="D22" s="4">
        <f>YEAR(Table1[[#This Row],[Date]])</f>
        <v>2006</v>
      </c>
      <c r="E22" s="2" t="s">
        <v>2097</v>
      </c>
      <c r="F22" s="4">
        <v>12</v>
      </c>
      <c r="G22" s="5">
        <v>38.081435709433634</v>
      </c>
      <c r="H22" s="6" t="s">
        <v>2090</v>
      </c>
      <c r="K22" s="22"/>
      <c r="L22" s="21"/>
      <c r="M22" s="21"/>
      <c r="N22" s="21"/>
      <c r="O22" s="21"/>
      <c r="P22" s="21"/>
      <c r="Q22" s="21"/>
    </row>
    <row r="23" spans="1:17">
      <c r="A23" s="1">
        <v>22</v>
      </c>
      <c r="B23" s="2" t="s">
        <v>2080</v>
      </c>
      <c r="C23" s="3">
        <v>38254</v>
      </c>
      <c r="D23" s="4">
        <f>YEAR(Table1[[#This Row],[Date]])</f>
        <v>2004</v>
      </c>
      <c r="E23" s="2" t="s">
        <v>2094</v>
      </c>
      <c r="F23" s="4">
        <v>28</v>
      </c>
      <c r="G23" s="5">
        <v>86.512775700642493</v>
      </c>
      <c r="H23" s="6" t="s">
        <v>2086</v>
      </c>
      <c r="K23" s="22"/>
      <c r="L23" s="21"/>
      <c r="M23" s="21"/>
      <c r="N23" s="21"/>
      <c r="O23" s="21"/>
      <c r="P23" s="21"/>
      <c r="Q23" s="21"/>
    </row>
    <row r="24" spans="1:17">
      <c r="A24" s="1">
        <v>23</v>
      </c>
      <c r="B24" s="2" t="s">
        <v>2093</v>
      </c>
      <c r="C24" s="3">
        <v>38749</v>
      </c>
      <c r="D24" s="4">
        <f>YEAR(Table1[[#This Row],[Date]])</f>
        <v>2006</v>
      </c>
      <c r="E24" s="2" t="s">
        <v>2097</v>
      </c>
      <c r="F24" s="4">
        <v>25</v>
      </c>
      <c r="G24" s="5">
        <v>77.307151643363554</v>
      </c>
      <c r="H24" s="6" t="s">
        <v>2086</v>
      </c>
      <c r="K24" s="22"/>
      <c r="L24" s="21"/>
      <c r="M24" s="21"/>
      <c r="N24" s="21"/>
      <c r="O24" s="21"/>
      <c r="P24" s="21"/>
      <c r="Q24" s="21"/>
    </row>
    <row r="25" spans="1:17">
      <c r="A25" s="1">
        <v>26</v>
      </c>
      <c r="B25" s="2" t="s">
        <v>2098</v>
      </c>
      <c r="C25" s="3">
        <v>39057</v>
      </c>
      <c r="D25" s="4">
        <f>YEAR(Table1[[#This Row],[Date]])</f>
        <v>2006</v>
      </c>
      <c r="E25" s="2" t="s">
        <v>2081</v>
      </c>
      <c r="F25" s="4">
        <v>24</v>
      </c>
      <c r="G25" s="5">
        <v>74.622434460070465</v>
      </c>
      <c r="H25" s="6" t="s">
        <v>2090</v>
      </c>
      <c r="K25" s="22"/>
      <c r="L25" s="21"/>
      <c r="M25" s="21"/>
      <c r="N25" s="21"/>
      <c r="O25" s="21"/>
      <c r="P25" s="21"/>
      <c r="Q25" s="21"/>
    </row>
    <row r="26" spans="1:17">
      <c r="A26" s="1">
        <v>27</v>
      </c>
      <c r="B26" s="2" t="s">
        <v>2099</v>
      </c>
      <c r="C26" s="3">
        <v>38089</v>
      </c>
      <c r="D26" s="4">
        <f>YEAR(Table1[[#This Row],[Date]])</f>
        <v>2004</v>
      </c>
      <c r="E26" s="2" t="s">
        <v>2088</v>
      </c>
      <c r="F26" s="4">
        <v>38</v>
      </c>
      <c r="G26" s="5">
        <v>115.98517718889856</v>
      </c>
      <c r="H26" s="6" t="s">
        <v>2086</v>
      </c>
      <c r="K26" s="22"/>
      <c r="L26" s="21"/>
      <c r="M26" s="21"/>
      <c r="N26" s="21"/>
      <c r="O26" s="21"/>
      <c r="P26" s="21"/>
      <c r="Q26" s="21"/>
    </row>
    <row r="27" spans="1:17">
      <c r="A27" s="1">
        <v>28</v>
      </c>
      <c r="B27" s="2" t="s">
        <v>2095</v>
      </c>
      <c r="C27" s="3">
        <v>38617</v>
      </c>
      <c r="D27" s="4">
        <f>YEAR(Table1[[#This Row],[Date]])</f>
        <v>2005</v>
      </c>
      <c r="E27" s="2" t="s">
        <v>2085</v>
      </c>
      <c r="F27" s="4">
        <v>77</v>
      </c>
      <c r="G27" s="5">
        <v>233.05438870487612</v>
      </c>
      <c r="H27" s="6" t="s">
        <v>2086</v>
      </c>
      <c r="K27" s="22"/>
      <c r="L27" s="21"/>
      <c r="M27" s="21"/>
      <c r="N27" s="21"/>
      <c r="O27" s="21"/>
      <c r="P27" s="21"/>
      <c r="Q27" s="21"/>
    </row>
    <row r="28" spans="1:17">
      <c r="A28" s="1">
        <v>32</v>
      </c>
      <c r="B28" s="2" t="s">
        <v>2095</v>
      </c>
      <c r="C28" s="3">
        <v>38804</v>
      </c>
      <c r="D28" s="4">
        <f>YEAR(Table1[[#This Row],[Date]])</f>
        <v>2006</v>
      </c>
      <c r="E28" s="2" t="s">
        <v>2081</v>
      </c>
      <c r="F28" s="4">
        <v>53</v>
      </c>
      <c r="G28" s="5">
        <v>161.46395235499537</v>
      </c>
      <c r="H28" s="6" t="s">
        <v>2086</v>
      </c>
      <c r="K28" s="22"/>
      <c r="L28" s="21"/>
      <c r="M28" s="21"/>
      <c r="N28" s="21"/>
      <c r="O28" s="21"/>
      <c r="P28" s="21"/>
      <c r="Q28" s="21"/>
    </row>
    <row r="29" spans="1:17">
      <c r="A29" s="1">
        <v>33</v>
      </c>
      <c r="B29" s="2" t="s">
        <v>2100</v>
      </c>
      <c r="C29" s="3">
        <v>38155</v>
      </c>
      <c r="D29" s="4">
        <f>YEAR(Table1[[#This Row],[Date]])</f>
        <v>2004</v>
      </c>
      <c r="E29" s="2" t="s">
        <v>2097</v>
      </c>
      <c r="F29" s="4">
        <v>41</v>
      </c>
      <c r="G29" s="5">
        <v>125.2697558819725</v>
      </c>
      <c r="H29" s="6" t="s">
        <v>2090</v>
      </c>
      <c r="K29" s="22"/>
      <c r="L29" s="21"/>
      <c r="M29" s="21"/>
      <c r="N29" s="21"/>
      <c r="O29" s="21"/>
      <c r="P29" s="21"/>
      <c r="Q29" s="21"/>
    </row>
    <row r="30" spans="1:17">
      <c r="A30" s="1">
        <v>34</v>
      </c>
      <c r="B30" s="2" t="s">
        <v>2091</v>
      </c>
      <c r="C30" s="3">
        <v>38969</v>
      </c>
      <c r="D30" s="4">
        <f>YEAR(Table1[[#This Row],[Date]])</f>
        <v>2006</v>
      </c>
      <c r="E30" s="2" t="s">
        <v>2097</v>
      </c>
      <c r="F30" s="4">
        <v>19</v>
      </c>
      <c r="G30" s="5">
        <v>59.153898700773034</v>
      </c>
      <c r="H30" s="6" t="s">
        <v>2090</v>
      </c>
    </row>
    <row r="31" spans="1:17">
      <c r="A31" s="1">
        <v>39</v>
      </c>
      <c r="B31" s="2" t="s">
        <v>2100</v>
      </c>
      <c r="C31" s="3">
        <v>38771</v>
      </c>
      <c r="D31" s="4">
        <f>YEAR(Table1[[#This Row],[Date]])</f>
        <v>2006</v>
      </c>
      <c r="E31" s="2" t="s">
        <v>2085</v>
      </c>
      <c r="F31" s="4">
        <v>9</v>
      </c>
      <c r="G31" s="5">
        <v>24.625751249139931</v>
      </c>
      <c r="H31" s="6" t="s">
        <v>2090</v>
      </c>
    </row>
    <row r="32" spans="1:17">
      <c r="A32" s="1">
        <v>40</v>
      </c>
      <c r="B32" s="2" t="s">
        <v>2084</v>
      </c>
      <c r="C32" s="3">
        <v>38892</v>
      </c>
      <c r="D32" s="4">
        <f>YEAR(Table1[[#This Row],[Date]])</f>
        <v>2006</v>
      </c>
      <c r="E32" s="2" t="s">
        <v>2085</v>
      </c>
      <c r="F32" s="4">
        <v>38</v>
      </c>
      <c r="G32" s="5">
        <v>115.58433775100286</v>
      </c>
      <c r="H32" s="6" t="s">
        <v>2082</v>
      </c>
    </row>
    <row r="33" spans="1:15">
      <c r="A33" s="1">
        <v>41</v>
      </c>
      <c r="B33" s="2" t="s">
        <v>2098</v>
      </c>
      <c r="C33" s="3">
        <v>38023</v>
      </c>
      <c r="D33" s="4">
        <f>YEAR(Table1[[#This Row],[Date]])</f>
        <v>2004</v>
      </c>
      <c r="E33" s="2" t="s">
        <v>2094</v>
      </c>
      <c r="F33" s="4">
        <v>25</v>
      </c>
      <c r="G33" s="5">
        <v>76.562095842195291</v>
      </c>
      <c r="H33" s="6" t="s">
        <v>2082</v>
      </c>
    </row>
    <row r="34" spans="1:15">
      <c r="A34" s="1">
        <v>42</v>
      </c>
      <c r="B34" s="2" t="s">
        <v>2098</v>
      </c>
      <c r="C34" s="3">
        <v>38452</v>
      </c>
      <c r="D34" s="4">
        <f>YEAR(Table1[[#This Row],[Date]])</f>
        <v>2005</v>
      </c>
      <c r="E34" s="2" t="s">
        <v>2097</v>
      </c>
      <c r="F34" s="4">
        <v>19</v>
      </c>
      <c r="G34" s="5">
        <v>59.382749361194016</v>
      </c>
      <c r="H34" s="6" t="s">
        <v>2086</v>
      </c>
    </row>
    <row r="35" spans="1:15">
      <c r="A35" s="1">
        <v>43</v>
      </c>
      <c r="B35" s="2" t="s">
        <v>2080</v>
      </c>
      <c r="C35" s="3">
        <v>38078</v>
      </c>
      <c r="D35" s="4">
        <f>YEAR(Table1[[#This Row],[Date]])</f>
        <v>2004</v>
      </c>
      <c r="E35" s="2" t="s">
        <v>2085</v>
      </c>
      <c r="F35" s="4">
        <v>86</v>
      </c>
      <c r="G35" s="5">
        <v>259.85996934004856</v>
      </c>
      <c r="H35" s="6" t="s">
        <v>2090</v>
      </c>
    </row>
    <row r="36" spans="1:15">
      <c r="A36" s="1">
        <v>44</v>
      </c>
      <c r="B36" s="2" t="s">
        <v>2093</v>
      </c>
      <c r="C36" s="3">
        <v>38144</v>
      </c>
      <c r="D36" s="4">
        <f>YEAR(Table1[[#This Row],[Date]])</f>
        <v>2004</v>
      </c>
      <c r="E36" s="2" t="s">
        <v>2081</v>
      </c>
      <c r="F36" s="4">
        <v>55</v>
      </c>
      <c r="G36" s="5">
        <v>167.11761356978838</v>
      </c>
      <c r="H36" s="6" t="s">
        <v>2086</v>
      </c>
    </row>
    <row r="37" spans="1:15">
      <c r="A37" s="1">
        <v>45</v>
      </c>
      <c r="B37" s="2" t="s">
        <v>2098</v>
      </c>
      <c r="C37" s="3">
        <v>38980</v>
      </c>
      <c r="D37" s="4">
        <f>YEAR(Table1[[#This Row],[Date]])</f>
        <v>2006</v>
      </c>
      <c r="E37" s="2" t="s">
        <v>2081</v>
      </c>
      <c r="F37" s="4">
        <v>2</v>
      </c>
      <c r="G37" s="5">
        <v>7.8483600384211831</v>
      </c>
      <c r="H37" s="6" t="s">
        <v>2096</v>
      </c>
    </row>
    <row r="38" spans="1:15">
      <c r="A38" s="1">
        <v>46</v>
      </c>
      <c r="B38" s="2" t="s">
        <v>2087</v>
      </c>
      <c r="C38" s="3">
        <v>38573</v>
      </c>
      <c r="D38" s="4">
        <f>YEAR(Table1[[#This Row],[Date]])</f>
        <v>2005</v>
      </c>
      <c r="E38" s="2" t="s">
        <v>2097</v>
      </c>
      <c r="F38" s="4">
        <v>93</v>
      </c>
      <c r="G38" s="5">
        <v>280.68747862762837</v>
      </c>
      <c r="H38" s="6" t="s">
        <v>2096</v>
      </c>
    </row>
    <row r="39" spans="1:15">
      <c r="A39" s="1">
        <v>47</v>
      </c>
      <c r="B39" s="2" t="s">
        <v>2091</v>
      </c>
      <c r="C39" s="3">
        <v>38254</v>
      </c>
      <c r="D39" s="4">
        <f>YEAR(Table1[[#This Row],[Date]])</f>
        <v>2004</v>
      </c>
      <c r="E39" s="2" t="s">
        <v>2094</v>
      </c>
      <c r="F39" s="4">
        <v>14</v>
      </c>
      <c r="G39" s="5">
        <v>43.931553656204748</v>
      </c>
      <c r="H39" s="6" t="s">
        <v>2090</v>
      </c>
    </row>
    <row r="40" spans="1:15">
      <c r="A40" s="1">
        <v>48</v>
      </c>
      <c r="B40" s="2" t="s">
        <v>2098</v>
      </c>
      <c r="C40" s="3">
        <v>38496</v>
      </c>
      <c r="D40" s="4">
        <f>YEAR(Table1[[#This Row],[Date]])</f>
        <v>2005</v>
      </c>
      <c r="E40" s="2" t="s">
        <v>2094</v>
      </c>
      <c r="F40" s="4">
        <v>37</v>
      </c>
      <c r="G40" s="5">
        <v>113.03491000904664</v>
      </c>
      <c r="H40" s="6" t="s">
        <v>2082</v>
      </c>
    </row>
    <row r="41" spans="1:15">
      <c r="A41" s="1">
        <v>49</v>
      </c>
      <c r="B41" s="2" t="s">
        <v>2080</v>
      </c>
      <c r="C41" s="3">
        <v>38309</v>
      </c>
      <c r="D41" s="4">
        <f>YEAR(Table1[[#This Row],[Date]])</f>
        <v>2004</v>
      </c>
      <c r="E41" s="2" t="s">
        <v>2085</v>
      </c>
      <c r="F41" s="4">
        <v>63</v>
      </c>
      <c r="G41" s="5">
        <v>190.69511057123685</v>
      </c>
      <c r="H41" s="6" t="s">
        <v>2090</v>
      </c>
      <c r="L41" s="23"/>
      <c r="M41" s="23"/>
      <c r="N41" s="23"/>
      <c r="O41" s="23"/>
    </row>
    <row r="42" spans="1:15">
      <c r="A42" s="1">
        <v>50</v>
      </c>
      <c r="B42" s="2" t="s">
        <v>2091</v>
      </c>
      <c r="C42" s="3">
        <v>38309</v>
      </c>
      <c r="D42" s="4">
        <f>YEAR(Table1[[#This Row],[Date]])</f>
        <v>2004</v>
      </c>
      <c r="E42" s="2" t="s">
        <v>2081</v>
      </c>
      <c r="F42" s="4">
        <v>1</v>
      </c>
      <c r="G42" s="5">
        <v>5.599704779498877</v>
      </c>
      <c r="H42" s="6" t="s">
        <v>2090</v>
      </c>
      <c r="K42" s="22"/>
      <c r="L42" s="21"/>
      <c r="M42" s="21"/>
      <c r="N42" s="21"/>
      <c r="O42" s="21"/>
    </row>
    <row r="43" spans="1:15">
      <c r="A43" s="1">
        <v>51</v>
      </c>
      <c r="B43" s="2" t="s">
        <v>2091</v>
      </c>
      <c r="C43" s="3">
        <v>38518</v>
      </c>
      <c r="D43" s="4">
        <f>YEAR(Table1[[#This Row],[Date]])</f>
        <v>2005</v>
      </c>
      <c r="E43" s="2" t="s">
        <v>2094</v>
      </c>
      <c r="F43" s="4">
        <v>24</v>
      </c>
      <c r="G43" s="5">
        <v>73.599272692165783</v>
      </c>
      <c r="H43" s="6" t="s">
        <v>2086</v>
      </c>
      <c r="K43" s="22"/>
      <c r="L43" s="21"/>
      <c r="M43" s="21"/>
      <c r="N43" s="21"/>
      <c r="O43" s="21"/>
    </row>
    <row r="44" spans="1:15">
      <c r="A44" s="1">
        <v>52</v>
      </c>
      <c r="B44" s="2" t="s">
        <v>2084</v>
      </c>
      <c r="C44" s="3">
        <v>37990</v>
      </c>
      <c r="D44" s="4">
        <f>YEAR(Table1[[#This Row],[Date]])</f>
        <v>2004</v>
      </c>
      <c r="E44" s="2" t="s">
        <v>2094</v>
      </c>
      <c r="F44" s="4">
        <v>83</v>
      </c>
      <c r="G44" s="5">
        <v>250.33273832124888</v>
      </c>
      <c r="H44" s="6" t="s">
        <v>2086</v>
      </c>
      <c r="K44" s="22"/>
      <c r="L44" s="21"/>
      <c r="M44" s="21"/>
      <c r="N44" s="21"/>
      <c r="O44" s="21"/>
    </row>
    <row r="45" spans="1:15">
      <c r="A45" s="1">
        <v>53</v>
      </c>
      <c r="B45" s="2" t="s">
        <v>2100</v>
      </c>
      <c r="C45" s="3">
        <v>38540</v>
      </c>
      <c r="D45" s="4">
        <f>YEAR(Table1[[#This Row],[Date]])</f>
        <v>2005</v>
      </c>
      <c r="E45" s="2" t="s">
        <v>2094</v>
      </c>
      <c r="F45" s="4">
        <v>49</v>
      </c>
      <c r="G45" s="5">
        <v>148.50659729480034</v>
      </c>
      <c r="H45" s="6" t="s">
        <v>2086</v>
      </c>
      <c r="K45" s="22"/>
      <c r="L45" s="21"/>
      <c r="M45" s="21"/>
      <c r="N45" s="21"/>
      <c r="O45" s="21"/>
    </row>
    <row r="46" spans="1:15">
      <c r="A46" s="1">
        <v>54</v>
      </c>
      <c r="B46" s="2" t="s">
        <v>2095</v>
      </c>
      <c r="C46" s="3">
        <v>38452</v>
      </c>
      <c r="D46" s="4">
        <f>YEAR(Table1[[#This Row],[Date]])</f>
        <v>2005</v>
      </c>
      <c r="E46" s="2" t="s">
        <v>2081</v>
      </c>
      <c r="F46" s="4">
        <v>26</v>
      </c>
      <c r="G46" s="5">
        <v>80.197912185633001</v>
      </c>
      <c r="H46" s="6" t="s">
        <v>2090</v>
      </c>
      <c r="K46" s="22"/>
      <c r="L46" s="21"/>
      <c r="M46" s="21"/>
      <c r="N46" s="21"/>
      <c r="O46" s="21"/>
    </row>
    <row r="47" spans="1:15">
      <c r="A47" s="1">
        <v>55</v>
      </c>
      <c r="B47" s="2" t="s">
        <v>2099</v>
      </c>
      <c r="C47" s="3">
        <v>38859</v>
      </c>
      <c r="D47" s="4">
        <f>YEAR(Table1[[#This Row],[Date]])</f>
        <v>2006</v>
      </c>
      <c r="E47" s="2" t="s">
        <v>2081</v>
      </c>
      <c r="F47" s="4">
        <v>35</v>
      </c>
      <c r="G47" s="5">
        <v>107.99264815962536</v>
      </c>
      <c r="H47" s="6" t="s">
        <v>2090</v>
      </c>
      <c r="K47" s="22"/>
      <c r="L47" s="21"/>
      <c r="M47" s="21"/>
      <c r="N47" s="21"/>
      <c r="O47" s="21"/>
    </row>
    <row r="48" spans="1:15">
      <c r="A48" s="1">
        <v>56</v>
      </c>
      <c r="B48" s="2" t="s">
        <v>2095</v>
      </c>
      <c r="C48" s="3">
        <v>38089</v>
      </c>
      <c r="D48" s="4">
        <f>YEAR(Table1[[#This Row],[Date]])</f>
        <v>2004</v>
      </c>
      <c r="E48" s="2" t="s">
        <v>2081</v>
      </c>
      <c r="F48" s="4">
        <v>8</v>
      </c>
      <c r="G48" s="5">
        <v>26.909399775034267</v>
      </c>
      <c r="H48" s="6" t="s">
        <v>2082</v>
      </c>
      <c r="K48" s="22"/>
      <c r="L48" s="21"/>
      <c r="M48" s="21"/>
      <c r="N48" s="21"/>
      <c r="O48" s="21"/>
    </row>
    <row r="49" spans="1:15">
      <c r="A49" s="1">
        <v>57</v>
      </c>
      <c r="B49" s="2" t="s">
        <v>2100</v>
      </c>
      <c r="C49" s="3">
        <v>38166</v>
      </c>
      <c r="D49" s="4">
        <f>YEAR(Table1[[#This Row],[Date]])</f>
        <v>2004</v>
      </c>
      <c r="E49" s="2" t="s">
        <v>2097</v>
      </c>
      <c r="F49" s="4">
        <v>49</v>
      </c>
      <c r="G49" s="5">
        <v>148.777847479907</v>
      </c>
      <c r="H49" s="6" t="s">
        <v>2086</v>
      </c>
      <c r="K49" s="22"/>
      <c r="L49" s="21"/>
      <c r="M49" s="21"/>
      <c r="N49" s="21"/>
      <c r="O49" s="21"/>
    </row>
    <row r="50" spans="1:15">
      <c r="A50" s="1">
        <v>58</v>
      </c>
      <c r="B50" s="2" t="s">
        <v>2095</v>
      </c>
      <c r="C50" s="3">
        <v>38089</v>
      </c>
      <c r="D50" s="4">
        <f>YEAR(Table1[[#This Row],[Date]])</f>
        <v>2004</v>
      </c>
      <c r="E50" s="2" t="s">
        <v>2085</v>
      </c>
      <c r="F50" s="4">
        <v>34</v>
      </c>
      <c r="G50" s="5">
        <v>104.09375694795658</v>
      </c>
      <c r="H50" s="6" t="s">
        <v>2096</v>
      </c>
      <c r="K50" s="22"/>
      <c r="L50" s="21"/>
      <c r="M50" s="21"/>
      <c r="N50" s="21"/>
      <c r="O50" s="21"/>
    </row>
    <row r="51" spans="1:15">
      <c r="A51" s="1">
        <v>59</v>
      </c>
      <c r="B51" s="2" t="s">
        <v>2095</v>
      </c>
      <c r="C51" s="3">
        <v>38694</v>
      </c>
      <c r="D51" s="4">
        <f>YEAR(Table1[[#This Row],[Date]])</f>
        <v>2005</v>
      </c>
      <c r="E51" s="2" t="s">
        <v>2081</v>
      </c>
      <c r="F51" s="4">
        <v>8</v>
      </c>
      <c r="G51" s="5">
        <v>26.236564211223342</v>
      </c>
      <c r="H51" s="6" t="s">
        <v>2086</v>
      </c>
      <c r="K51" s="22"/>
      <c r="L51" s="21"/>
      <c r="M51" s="21"/>
      <c r="N51" s="21"/>
      <c r="O51" s="21"/>
    </row>
    <row r="52" spans="1:15">
      <c r="A52" s="1">
        <v>60</v>
      </c>
      <c r="B52" s="2" t="s">
        <v>2099</v>
      </c>
      <c r="C52" s="3">
        <v>38287</v>
      </c>
      <c r="D52" s="4">
        <f>YEAR(Table1[[#This Row],[Date]])</f>
        <v>2004</v>
      </c>
      <c r="E52" s="2" t="s">
        <v>2097</v>
      </c>
      <c r="F52" s="4">
        <v>89</v>
      </c>
      <c r="G52" s="5">
        <v>269.09085017901094</v>
      </c>
      <c r="H52" s="6" t="s">
        <v>2096</v>
      </c>
    </row>
    <row r="53" spans="1:15">
      <c r="A53" s="1">
        <v>61</v>
      </c>
      <c r="B53" s="2" t="s">
        <v>2093</v>
      </c>
      <c r="C53" s="3">
        <v>38672</v>
      </c>
      <c r="D53" s="4">
        <f>YEAR(Table1[[#This Row],[Date]])</f>
        <v>2005</v>
      </c>
      <c r="E53" s="2" t="s">
        <v>2085</v>
      </c>
      <c r="F53" s="4">
        <v>62</v>
      </c>
      <c r="G53" s="5">
        <v>189.25415891346557</v>
      </c>
      <c r="H53" s="6" t="s">
        <v>2086</v>
      </c>
    </row>
    <row r="54" spans="1:15">
      <c r="A54" s="1">
        <v>62</v>
      </c>
      <c r="B54" s="2" t="s">
        <v>2098</v>
      </c>
      <c r="C54" s="3">
        <v>38210</v>
      </c>
      <c r="D54" s="4">
        <f>YEAR(Table1[[#This Row],[Date]])</f>
        <v>2004</v>
      </c>
      <c r="E54" s="2" t="s">
        <v>2085</v>
      </c>
      <c r="F54" s="4">
        <v>23</v>
      </c>
      <c r="G54" s="5">
        <v>71.313211840267556</v>
      </c>
      <c r="H54" s="6" t="s">
        <v>2082</v>
      </c>
    </row>
    <row r="55" spans="1:15">
      <c r="A55" s="1">
        <v>63</v>
      </c>
      <c r="B55" s="2" t="s">
        <v>2100</v>
      </c>
      <c r="C55" s="3">
        <v>38155</v>
      </c>
      <c r="D55" s="4">
        <f>YEAR(Table1[[#This Row],[Date]])</f>
        <v>2004</v>
      </c>
      <c r="E55" s="2" t="s">
        <v>2094</v>
      </c>
      <c r="F55" s="4">
        <v>95</v>
      </c>
      <c r="G55" s="5">
        <v>287.76081692141696</v>
      </c>
      <c r="H55" s="6" t="s">
        <v>2086</v>
      </c>
    </row>
    <row r="56" spans="1:15">
      <c r="A56" s="1">
        <v>64</v>
      </c>
      <c r="B56" s="2" t="s">
        <v>2098</v>
      </c>
      <c r="C56" s="3">
        <v>38848</v>
      </c>
      <c r="D56" s="4">
        <f>YEAR(Table1[[#This Row],[Date]])</f>
        <v>2006</v>
      </c>
      <c r="E56" s="2" t="s">
        <v>2094</v>
      </c>
      <c r="F56" s="4">
        <v>41</v>
      </c>
      <c r="G56" s="5">
        <v>125.00018840758105</v>
      </c>
      <c r="H56" s="6" t="s">
        <v>2082</v>
      </c>
    </row>
    <row r="57" spans="1:15">
      <c r="A57" s="1">
        <v>65</v>
      </c>
      <c r="B57" s="2" t="s">
        <v>2087</v>
      </c>
      <c r="C57" s="3">
        <v>38452</v>
      </c>
      <c r="D57" s="4">
        <f>YEAR(Table1[[#This Row],[Date]])</f>
        <v>2005</v>
      </c>
      <c r="E57" s="2" t="s">
        <v>2081</v>
      </c>
      <c r="F57" s="4">
        <v>6</v>
      </c>
      <c r="G57" s="5">
        <v>15.942861162173479</v>
      </c>
      <c r="H57" s="6" t="s">
        <v>2086</v>
      </c>
    </row>
    <row r="58" spans="1:15">
      <c r="A58" s="1">
        <v>66</v>
      </c>
      <c r="B58" s="2" t="s">
        <v>2080</v>
      </c>
      <c r="C58" s="3">
        <v>38353</v>
      </c>
      <c r="D58" s="4">
        <f>YEAR(Table1[[#This Row],[Date]])</f>
        <v>2005</v>
      </c>
      <c r="E58" s="2" t="s">
        <v>2097</v>
      </c>
      <c r="F58" s="4">
        <v>84</v>
      </c>
      <c r="G58" s="5">
        <v>253.99061782802139</v>
      </c>
      <c r="H58" s="6" t="s">
        <v>2082</v>
      </c>
    </row>
    <row r="59" spans="1:15">
      <c r="A59" s="1">
        <v>67</v>
      </c>
      <c r="B59" s="2" t="s">
        <v>2084</v>
      </c>
      <c r="C59" s="3">
        <v>38661</v>
      </c>
      <c r="D59" s="4">
        <f>YEAR(Table1[[#This Row],[Date]])</f>
        <v>2005</v>
      </c>
      <c r="E59" s="2" t="s">
        <v>2085</v>
      </c>
      <c r="F59" s="4">
        <v>63</v>
      </c>
      <c r="G59" s="5">
        <v>191.36713896782123</v>
      </c>
      <c r="H59" s="6" t="s">
        <v>2082</v>
      </c>
    </row>
    <row r="60" spans="1:15">
      <c r="A60" s="1">
        <v>68</v>
      </c>
      <c r="B60" s="2" t="s">
        <v>2091</v>
      </c>
      <c r="C60" s="3">
        <v>38914</v>
      </c>
      <c r="D60" s="4">
        <f>YEAR(Table1[[#This Row],[Date]])</f>
        <v>2006</v>
      </c>
      <c r="E60" s="2" t="s">
        <v>2081</v>
      </c>
      <c r="F60" s="4">
        <v>0</v>
      </c>
      <c r="G60" s="5">
        <v>2.3682330895483967</v>
      </c>
      <c r="H60" s="6" t="s">
        <v>2090</v>
      </c>
    </row>
    <row r="61" spans="1:15">
      <c r="A61" s="1">
        <v>69</v>
      </c>
      <c r="B61" s="2" t="s">
        <v>2095</v>
      </c>
      <c r="C61" s="3">
        <v>38375</v>
      </c>
      <c r="D61" s="4">
        <f>YEAR(Table1[[#This Row],[Date]])</f>
        <v>2005</v>
      </c>
      <c r="E61" s="2" t="s">
        <v>2094</v>
      </c>
      <c r="F61" s="4">
        <v>73</v>
      </c>
      <c r="G61" s="5">
        <v>221.4068752836437</v>
      </c>
      <c r="H61" s="6" t="s">
        <v>2096</v>
      </c>
    </row>
    <row r="62" spans="1:15">
      <c r="A62" s="1">
        <v>70</v>
      </c>
      <c r="B62" s="2" t="s">
        <v>2098</v>
      </c>
      <c r="C62" s="3">
        <v>38342</v>
      </c>
      <c r="D62" s="4">
        <f>YEAR(Table1[[#This Row],[Date]])</f>
        <v>2004</v>
      </c>
      <c r="E62" s="2" t="s">
        <v>2094</v>
      </c>
      <c r="F62" s="4">
        <v>95</v>
      </c>
      <c r="G62" s="5">
        <v>287.05320060576679</v>
      </c>
      <c r="H62" s="6" t="s">
        <v>2086</v>
      </c>
    </row>
    <row r="63" spans="1:15">
      <c r="A63" s="1">
        <v>71</v>
      </c>
      <c r="B63" s="2" t="s">
        <v>2087</v>
      </c>
      <c r="C63" s="3">
        <v>38672</v>
      </c>
      <c r="D63" s="4">
        <f>YEAR(Table1[[#This Row],[Date]])</f>
        <v>2005</v>
      </c>
      <c r="E63" s="2" t="s">
        <v>2088</v>
      </c>
      <c r="F63" s="4">
        <v>93</v>
      </c>
      <c r="G63" s="5">
        <v>280.76798505156279</v>
      </c>
      <c r="H63" s="6" t="s">
        <v>2090</v>
      </c>
    </row>
    <row r="64" spans="1:15">
      <c r="A64" s="1">
        <v>72</v>
      </c>
      <c r="B64" s="2" t="s">
        <v>2091</v>
      </c>
      <c r="C64" s="3">
        <v>38155</v>
      </c>
      <c r="D64" s="4">
        <f>YEAR(Table1[[#This Row],[Date]])</f>
        <v>2004</v>
      </c>
      <c r="E64" s="2" t="s">
        <v>2088</v>
      </c>
      <c r="F64" s="4">
        <v>54</v>
      </c>
      <c r="G64" s="5">
        <v>163.86605406277587</v>
      </c>
      <c r="H64" s="6" t="s">
        <v>2082</v>
      </c>
    </row>
    <row r="65" spans="1:8">
      <c r="A65" s="1">
        <v>73</v>
      </c>
      <c r="B65" s="2" t="s">
        <v>2095</v>
      </c>
      <c r="C65" s="3">
        <v>38529</v>
      </c>
      <c r="D65" s="4">
        <f>YEAR(Table1[[#This Row],[Date]])</f>
        <v>2005</v>
      </c>
      <c r="E65" s="2" t="s">
        <v>2085</v>
      </c>
      <c r="F65" s="4">
        <v>33</v>
      </c>
      <c r="G65" s="5">
        <v>101.36706423848841</v>
      </c>
      <c r="H65" s="6" t="s">
        <v>2082</v>
      </c>
    </row>
    <row r="66" spans="1:8">
      <c r="A66" s="1">
        <v>74</v>
      </c>
      <c r="B66" s="2" t="s">
        <v>2087</v>
      </c>
      <c r="C66" s="3">
        <v>38089</v>
      </c>
      <c r="D66" s="4">
        <f>YEAR(Table1[[#This Row],[Date]])</f>
        <v>2004</v>
      </c>
      <c r="E66" s="2" t="s">
        <v>2097</v>
      </c>
      <c r="F66" s="4">
        <v>48</v>
      </c>
      <c r="G66" s="5">
        <v>145.83607322448287</v>
      </c>
      <c r="H66" s="6" t="s">
        <v>2090</v>
      </c>
    </row>
    <row r="67" spans="1:8">
      <c r="A67" s="1">
        <v>75</v>
      </c>
      <c r="B67" s="2" t="s">
        <v>2099</v>
      </c>
      <c r="C67" s="3">
        <v>38375</v>
      </c>
      <c r="D67" s="4">
        <f>YEAR(Table1[[#This Row],[Date]])</f>
        <v>2005</v>
      </c>
      <c r="E67" s="2" t="s">
        <v>2094</v>
      </c>
      <c r="F67" s="4">
        <v>7</v>
      </c>
      <c r="G67" s="5">
        <v>18.531454427544542</v>
      </c>
      <c r="H67" s="6" t="s">
        <v>2086</v>
      </c>
    </row>
    <row r="68" spans="1:8">
      <c r="A68" s="1">
        <v>76</v>
      </c>
      <c r="B68" s="2" t="s">
        <v>2093</v>
      </c>
      <c r="C68" s="3">
        <v>38782</v>
      </c>
      <c r="D68" s="4">
        <f>YEAR(Table1[[#This Row],[Date]])</f>
        <v>2006</v>
      </c>
      <c r="E68" s="2" t="s">
        <v>2085</v>
      </c>
      <c r="F68" s="4">
        <v>2</v>
      </c>
      <c r="G68" s="5">
        <v>3.941491558920891</v>
      </c>
      <c r="H68" s="6" t="s">
        <v>2090</v>
      </c>
    </row>
    <row r="69" spans="1:8">
      <c r="A69" s="1">
        <v>77</v>
      </c>
      <c r="B69" s="2" t="s">
        <v>2095</v>
      </c>
      <c r="C69" s="3">
        <v>38001</v>
      </c>
      <c r="D69" s="4">
        <f>YEAR(Table1[[#This Row],[Date]])</f>
        <v>2004</v>
      </c>
      <c r="E69" s="2" t="s">
        <v>2097</v>
      </c>
      <c r="F69" s="4">
        <v>27</v>
      </c>
      <c r="G69" s="5">
        <v>83.29090970219859</v>
      </c>
      <c r="H69" s="6" t="s">
        <v>2096</v>
      </c>
    </row>
    <row r="70" spans="1:8">
      <c r="A70" s="1">
        <v>78</v>
      </c>
      <c r="B70" s="2" t="s">
        <v>2098</v>
      </c>
      <c r="C70" s="3">
        <v>39068</v>
      </c>
      <c r="D70" s="4">
        <f>YEAR(Table1[[#This Row],[Date]])</f>
        <v>2006</v>
      </c>
      <c r="E70" s="2" t="s">
        <v>2085</v>
      </c>
      <c r="F70" s="4">
        <v>56</v>
      </c>
      <c r="G70" s="5">
        <v>170.23780299763459</v>
      </c>
      <c r="H70" s="6" t="s">
        <v>2082</v>
      </c>
    </row>
    <row r="71" spans="1:8">
      <c r="A71" s="1">
        <v>79</v>
      </c>
      <c r="B71" s="2" t="s">
        <v>2095</v>
      </c>
      <c r="C71" s="3">
        <v>38397</v>
      </c>
      <c r="D71" s="4">
        <f>YEAR(Table1[[#This Row],[Date]])</f>
        <v>2005</v>
      </c>
      <c r="E71" s="2" t="s">
        <v>2097</v>
      </c>
      <c r="F71" s="4">
        <v>70</v>
      </c>
      <c r="G71" s="5">
        <v>212.29242314468692</v>
      </c>
      <c r="H71" s="6" t="s">
        <v>2082</v>
      </c>
    </row>
    <row r="72" spans="1:8">
      <c r="A72" s="1">
        <v>80</v>
      </c>
      <c r="B72" s="2" t="s">
        <v>2099</v>
      </c>
      <c r="C72" s="3">
        <v>38441</v>
      </c>
      <c r="D72" s="4">
        <f>YEAR(Table1[[#This Row],[Date]])</f>
        <v>2005</v>
      </c>
      <c r="E72" s="2" t="s">
        <v>2097</v>
      </c>
      <c r="F72" s="4">
        <v>16</v>
      </c>
      <c r="G72" s="5">
        <v>49.457645878335306</v>
      </c>
      <c r="H72" s="6" t="s">
        <v>2090</v>
      </c>
    </row>
    <row r="73" spans="1:8">
      <c r="A73" s="1">
        <v>81</v>
      </c>
      <c r="B73" s="2" t="s">
        <v>2099</v>
      </c>
      <c r="C73" s="3">
        <v>38727</v>
      </c>
      <c r="D73" s="4">
        <f>YEAR(Table1[[#This Row],[Date]])</f>
        <v>2006</v>
      </c>
      <c r="E73" s="2" t="s">
        <v>2081</v>
      </c>
      <c r="F73" s="4">
        <v>69</v>
      </c>
      <c r="G73" s="5">
        <v>208.68512958069783</v>
      </c>
      <c r="H73" s="6" t="s">
        <v>2096</v>
      </c>
    </row>
    <row r="74" spans="1:8">
      <c r="A74" s="1">
        <v>82</v>
      </c>
      <c r="B74" s="2" t="s">
        <v>2093</v>
      </c>
      <c r="C74" s="3">
        <v>38562</v>
      </c>
      <c r="D74" s="4">
        <f>YEAR(Table1[[#This Row],[Date]])</f>
        <v>2005</v>
      </c>
      <c r="E74" s="2" t="s">
        <v>2085</v>
      </c>
      <c r="F74" s="4">
        <v>67</v>
      </c>
      <c r="G74" s="5">
        <v>203.01428430380912</v>
      </c>
      <c r="H74" s="6" t="s">
        <v>2086</v>
      </c>
    </row>
    <row r="75" spans="1:8">
      <c r="A75" s="1">
        <v>83</v>
      </c>
      <c r="B75" s="2" t="s">
        <v>2100</v>
      </c>
      <c r="C75" s="3">
        <v>38298</v>
      </c>
      <c r="D75" s="4">
        <f>YEAR(Table1[[#This Row],[Date]])</f>
        <v>2004</v>
      </c>
      <c r="E75" s="2" t="s">
        <v>2085</v>
      </c>
      <c r="F75" s="4">
        <v>82</v>
      </c>
      <c r="G75" s="5">
        <v>248.09860782564255</v>
      </c>
      <c r="H75" s="6" t="s">
        <v>2090</v>
      </c>
    </row>
    <row r="76" spans="1:8">
      <c r="A76" s="1">
        <v>84</v>
      </c>
      <c r="B76" s="2" t="s">
        <v>2087</v>
      </c>
      <c r="C76" s="3">
        <v>38991</v>
      </c>
      <c r="D76" s="4">
        <f>YEAR(Table1[[#This Row],[Date]])</f>
        <v>2006</v>
      </c>
      <c r="E76" s="2" t="s">
        <v>2094</v>
      </c>
      <c r="F76" s="4">
        <v>73</v>
      </c>
      <c r="G76" s="5">
        <v>221.4762294351379</v>
      </c>
      <c r="H76" s="6" t="s">
        <v>2090</v>
      </c>
    </row>
    <row r="77" spans="1:8">
      <c r="A77" s="1">
        <v>85</v>
      </c>
      <c r="B77" s="2" t="s">
        <v>2100</v>
      </c>
      <c r="C77" s="3">
        <v>38034</v>
      </c>
      <c r="D77" s="4">
        <f>YEAR(Table1[[#This Row],[Date]])</f>
        <v>2004</v>
      </c>
      <c r="E77" s="2" t="s">
        <v>2085</v>
      </c>
      <c r="F77" s="4">
        <v>80</v>
      </c>
      <c r="G77" s="5">
        <v>241.26239073863908</v>
      </c>
      <c r="H77" s="6" t="s">
        <v>2082</v>
      </c>
    </row>
    <row r="78" spans="1:8">
      <c r="A78" s="1">
        <v>86</v>
      </c>
      <c r="B78" s="2" t="s">
        <v>2099</v>
      </c>
      <c r="C78" s="3">
        <v>38573</v>
      </c>
      <c r="D78" s="4">
        <f>YEAR(Table1[[#This Row],[Date]])</f>
        <v>2005</v>
      </c>
      <c r="E78" s="2" t="s">
        <v>2094</v>
      </c>
      <c r="F78" s="4">
        <v>2</v>
      </c>
      <c r="G78" s="5">
        <v>4.2379405606125751</v>
      </c>
      <c r="H78" s="6" t="s">
        <v>2096</v>
      </c>
    </row>
    <row r="79" spans="1:8">
      <c r="A79" s="1">
        <v>87</v>
      </c>
      <c r="B79" s="2" t="s">
        <v>2098</v>
      </c>
      <c r="C79" s="3">
        <v>38595</v>
      </c>
      <c r="D79" s="4">
        <f>YEAR(Table1[[#This Row],[Date]])</f>
        <v>2005</v>
      </c>
      <c r="E79" s="2" t="s">
        <v>2094</v>
      </c>
      <c r="F79" s="4">
        <v>5</v>
      </c>
      <c r="G79" s="5">
        <v>17.026058044096466</v>
      </c>
      <c r="H79" s="6" t="s">
        <v>2096</v>
      </c>
    </row>
    <row r="80" spans="1:8">
      <c r="A80" s="1">
        <v>88</v>
      </c>
      <c r="B80" s="2" t="s">
        <v>2091</v>
      </c>
      <c r="C80" s="3">
        <v>38705</v>
      </c>
      <c r="D80" s="4">
        <f>YEAR(Table1[[#This Row],[Date]])</f>
        <v>2005</v>
      </c>
      <c r="E80" s="2" t="s">
        <v>2094</v>
      </c>
      <c r="F80" s="4">
        <v>26</v>
      </c>
      <c r="G80" s="5">
        <v>80.296764498097943</v>
      </c>
      <c r="H80" s="6" t="s">
        <v>2082</v>
      </c>
    </row>
    <row r="81" spans="1:8">
      <c r="A81" s="1">
        <v>89</v>
      </c>
      <c r="B81" s="2" t="s">
        <v>2100</v>
      </c>
      <c r="C81" s="3">
        <v>38430</v>
      </c>
      <c r="D81" s="4">
        <f>YEAR(Table1[[#This Row],[Date]])</f>
        <v>2005</v>
      </c>
      <c r="E81" s="2" t="s">
        <v>2085</v>
      </c>
      <c r="F81" s="4">
        <v>1</v>
      </c>
      <c r="G81" s="5">
        <v>5.0101440126936883</v>
      </c>
      <c r="H81" s="6" t="s">
        <v>2086</v>
      </c>
    </row>
    <row r="82" spans="1:8">
      <c r="A82" s="1">
        <v>90</v>
      </c>
      <c r="B82" s="2" t="s">
        <v>2100</v>
      </c>
      <c r="C82" s="3">
        <v>38881</v>
      </c>
      <c r="D82" s="4">
        <f>YEAR(Table1[[#This Row],[Date]])</f>
        <v>2006</v>
      </c>
      <c r="E82" s="2" t="s">
        <v>2088</v>
      </c>
      <c r="F82" s="4">
        <v>3</v>
      </c>
      <c r="G82" s="5">
        <v>7.6150918857367635</v>
      </c>
      <c r="H82" s="6" t="s">
        <v>2082</v>
      </c>
    </row>
    <row r="83" spans="1:8">
      <c r="A83" s="1">
        <v>91</v>
      </c>
      <c r="B83" s="2" t="s">
        <v>2080</v>
      </c>
      <c r="C83" s="3">
        <v>38947</v>
      </c>
      <c r="D83" s="4">
        <f>YEAR(Table1[[#This Row],[Date]])</f>
        <v>2006</v>
      </c>
      <c r="E83" s="2" t="s">
        <v>2094</v>
      </c>
      <c r="F83" s="4">
        <v>83</v>
      </c>
      <c r="G83" s="5">
        <v>251.18350564763173</v>
      </c>
      <c r="H83" s="6" t="s">
        <v>2082</v>
      </c>
    </row>
    <row r="84" spans="1:8">
      <c r="A84" s="1">
        <v>92</v>
      </c>
      <c r="B84" s="2" t="s">
        <v>2099</v>
      </c>
      <c r="C84" s="3">
        <v>38133</v>
      </c>
      <c r="D84" s="4">
        <f>YEAR(Table1[[#This Row],[Date]])</f>
        <v>2004</v>
      </c>
      <c r="E84" s="2" t="s">
        <v>2097</v>
      </c>
      <c r="F84" s="4">
        <v>33</v>
      </c>
      <c r="G84" s="5">
        <v>100.32795234701418</v>
      </c>
      <c r="H84" s="6" t="s">
        <v>2086</v>
      </c>
    </row>
    <row r="85" spans="1:8">
      <c r="A85" s="1">
        <v>93</v>
      </c>
      <c r="B85" s="2" t="s">
        <v>2091</v>
      </c>
      <c r="C85" s="3">
        <v>38089</v>
      </c>
      <c r="D85" s="4">
        <f>YEAR(Table1[[#This Row],[Date]])</f>
        <v>2004</v>
      </c>
      <c r="E85" s="2" t="s">
        <v>2085</v>
      </c>
      <c r="F85" s="4">
        <v>62</v>
      </c>
      <c r="G85" s="5">
        <v>188.06461550204614</v>
      </c>
      <c r="H85" s="6" t="s">
        <v>2090</v>
      </c>
    </row>
    <row r="86" spans="1:8">
      <c r="A86" s="1">
        <v>94</v>
      </c>
      <c r="B86" s="2" t="s">
        <v>2093</v>
      </c>
      <c r="C86" s="3">
        <v>38848</v>
      </c>
      <c r="D86" s="4">
        <f>YEAR(Table1[[#This Row],[Date]])</f>
        <v>2006</v>
      </c>
      <c r="E86" s="2" t="s">
        <v>2094</v>
      </c>
      <c r="F86" s="4">
        <v>58</v>
      </c>
      <c r="G86" s="5">
        <v>176.47069512712616</v>
      </c>
      <c r="H86" s="6" t="s">
        <v>2086</v>
      </c>
    </row>
    <row r="87" spans="1:8">
      <c r="A87" s="1">
        <v>95</v>
      </c>
      <c r="B87" s="2" t="s">
        <v>2098</v>
      </c>
      <c r="C87" s="3">
        <v>38584</v>
      </c>
      <c r="D87" s="4">
        <f>YEAR(Table1[[#This Row],[Date]])</f>
        <v>2005</v>
      </c>
      <c r="E87" s="2" t="s">
        <v>2085</v>
      </c>
      <c r="F87" s="4">
        <v>28</v>
      </c>
      <c r="G87" s="5">
        <v>85.544260264222203</v>
      </c>
      <c r="H87" s="6" t="s">
        <v>2082</v>
      </c>
    </row>
    <row r="88" spans="1:8">
      <c r="A88" s="1">
        <v>96</v>
      </c>
      <c r="B88" s="2" t="s">
        <v>2099</v>
      </c>
      <c r="C88" s="3">
        <v>39068</v>
      </c>
      <c r="D88" s="4">
        <f>YEAR(Table1[[#This Row],[Date]])</f>
        <v>2006</v>
      </c>
      <c r="E88" s="2" t="s">
        <v>2081</v>
      </c>
      <c r="F88" s="4">
        <v>33</v>
      </c>
      <c r="G88" s="5">
        <v>100.68612237181482</v>
      </c>
      <c r="H88" s="6" t="s">
        <v>2090</v>
      </c>
    </row>
    <row r="89" spans="1:8">
      <c r="A89" s="1">
        <v>97</v>
      </c>
      <c r="B89" s="2" t="s">
        <v>2095</v>
      </c>
      <c r="C89" s="3">
        <v>39046</v>
      </c>
      <c r="D89" s="4">
        <f>YEAR(Table1[[#This Row],[Date]])</f>
        <v>2006</v>
      </c>
      <c r="E89" s="2" t="s">
        <v>2085</v>
      </c>
      <c r="F89" s="4">
        <v>92</v>
      </c>
      <c r="G89" s="5">
        <v>278.15933854048899</v>
      </c>
      <c r="H89" s="6" t="s">
        <v>2082</v>
      </c>
    </row>
    <row r="90" spans="1:8">
      <c r="A90" s="1">
        <v>98</v>
      </c>
      <c r="B90" s="2" t="s">
        <v>2099</v>
      </c>
      <c r="C90" s="3">
        <v>38089</v>
      </c>
      <c r="D90" s="4">
        <f>YEAR(Table1[[#This Row],[Date]])</f>
        <v>2004</v>
      </c>
      <c r="E90" s="2" t="s">
        <v>2081</v>
      </c>
      <c r="F90" s="4">
        <v>92</v>
      </c>
      <c r="G90" s="5">
        <v>277.53974563422275</v>
      </c>
      <c r="H90" s="6" t="s">
        <v>2096</v>
      </c>
    </row>
    <row r="91" spans="1:8">
      <c r="A91" s="1">
        <v>99</v>
      </c>
      <c r="B91" s="2" t="s">
        <v>2093</v>
      </c>
      <c r="C91" s="3">
        <v>38738</v>
      </c>
      <c r="D91" s="4">
        <f>YEAR(Table1[[#This Row],[Date]])</f>
        <v>2006</v>
      </c>
      <c r="E91" s="2" t="s">
        <v>2081</v>
      </c>
      <c r="F91" s="4">
        <v>75</v>
      </c>
      <c r="G91" s="5">
        <v>226.73977333901354</v>
      </c>
      <c r="H91" s="6" t="s">
        <v>2082</v>
      </c>
    </row>
    <row r="92" spans="1:8">
      <c r="A92" s="1">
        <v>100</v>
      </c>
      <c r="B92" s="2" t="s">
        <v>2080</v>
      </c>
      <c r="C92" s="3">
        <v>38628</v>
      </c>
      <c r="D92" s="4">
        <f>YEAR(Table1[[#This Row],[Date]])</f>
        <v>2005</v>
      </c>
      <c r="E92" s="2" t="s">
        <v>2094</v>
      </c>
      <c r="F92" s="4">
        <v>74</v>
      </c>
      <c r="G92" s="5">
        <v>224.23346975523705</v>
      </c>
      <c r="H92" s="6" t="s">
        <v>2090</v>
      </c>
    </row>
    <row r="93" spans="1:8">
      <c r="A93" s="1">
        <v>101</v>
      </c>
      <c r="B93" s="2" t="s">
        <v>2091</v>
      </c>
      <c r="C93" s="3">
        <v>38001</v>
      </c>
      <c r="D93" s="4">
        <f>YEAR(Table1[[#This Row],[Date]])</f>
        <v>2004</v>
      </c>
      <c r="E93" s="2" t="s">
        <v>2085</v>
      </c>
      <c r="F93" s="4">
        <v>67</v>
      </c>
      <c r="G93" s="5">
        <v>202.45009266432331</v>
      </c>
      <c r="H93" s="6" t="s">
        <v>2090</v>
      </c>
    </row>
    <row r="94" spans="1:8">
      <c r="A94" s="1">
        <v>102</v>
      </c>
      <c r="B94" s="2" t="s">
        <v>2095</v>
      </c>
      <c r="C94" s="3">
        <v>38210</v>
      </c>
      <c r="D94" s="4">
        <f>YEAR(Table1[[#This Row],[Date]])</f>
        <v>2004</v>
      </c>
      <c r="E94" s="2" t="s">
        <v>2085</v>
      </c>
      <c r="F94" s="4">
        <v>16</v>
      </c>
      <c r="G94" s="5">
        <v>49.450018506623742</v>
      </c>
      <c r="H94" s="6" t="s">
        <v>2082</v>
      </c>
    </row>
    <row r="95" spans="1:8">
      <c r="A95" s="1">
        <v>103</v>
      </c>
      <c r="B95" s="2" t="s">
        <v>2084</v>
      </c>
      <c r="C95" s="3">
        <v>38485</v>
      </c>
      <c r="D95" s="4">
        <f>YEAR(Table1[[#This Row],[Date]])</f>
        <v>2005</v>
      </c>
      <c r="E95" s="2" t="s">
        <v>2085</v>
      </c>
      <c r="F95" s="4">
        <v>90</v>
      </c>
      <c r="G95" s="5">
        <v>272.33991590998778</v>
      </c>
      <c r="H95" s="6" t="s">
        <v>2090</v>
      </c>
    </row>
    <row r="96" spans="1:8">
      <c r="A96" s="1">
        <v>104</v>
      </c>
      <c r="B96" s="2" t="s">
        <v>2099</v>
      </c>
      <c r="C96" s="3">
        <v>38793</v>
      </c>
      <c r="D96" s="4">
        <f>YEAR(Table1[[#This Row],[Date]])</f>
        <v>2006</v>
      </c>
      <c r="E96" s="2" t="s">
        <v>2088</v>
      </c>
      <c r="F96" s="4">
        <v>8</v>
      </c>
      <c r="G96" s="5">
        <v>22.10755433572842</v>
      </c>
      <c r="H96" s="6" t="s">
        <v>2090</v>
      </c>
    </row>
    <row r="97" spans="1:8">
      <c r="A97" s="1">
        <v>105</v>
      </c>
      <c r="B97" s="2" t="s">
        <v>2095</v>
      </c>
      <c r="C97" s="3">
        <v>38243</v>
      </c>
      <c r="D97" s="4">
        <f>YEAR(Table1[[#This Row],[Date]])</f>
        <v>2004</v>
      </c>
      <c r="E97" s="2" t="s">
        <v>2088</v>
      </c>
      <c r="F97" s="4">
        <v>51</v>
      </c>
      <c r="G97" s="5">
        <v>155.29818889700317</v>
      </c>
      <c r="H97" s="6" t="s">
        <v>2086</v>
      </c>
    </row>
    <row r="98" spans="1:8">
      <c r="A98" s="1">
        <v>106</v>
      </c>
      <c r="B98" s="2" t="s">
        <v>2099</v>
      </c>
      <c r="C98" s="3">
        <v>38441</v>
      </c>
      <c r="D98" s="4">
        <f>YEAR(Table1[[#This Row],[Date]])</f>
        <v>2005</v>
      </c>
      <c r="E98" s="2" t="s">
        <v>2085</v>
      </c>
      <c r="F98" s="4">
        <v>7</v>
      </c>
      <c r="G98" s="5">
        <v>19.532896832828285</v>
      </c>
      <c r="H98" s="6" t="s">
        <v>2082</v>
      </c>
    </row>
    <row r="99" spans="1:8">
      <c r="A99" s="1">
        <v>107</v>
      </c>
      <c r="B99" s="2" t="s">
        <v>2098</v>
      </c>
      <c r="C99" s="3">
        <v>38067</v>
      </c>
      <c r="D99" s="4">
        <f>YEAR(Table1[[#This Row],[Date]])</f>
        <v>2004</v>
      </c>
      <c r="E99" s="2" t="s">
        <v>2081</v>
      </c>
      <c r="F99" s="4">
        <v>9</v>
      </c>
      <c r="G99" s="5">
        <v>29.277821643264524</v>
      </c>
      <c r="H99" s="6" t="s">
        <v>2086</v>
      </c>
    </row>
    <row r="100" spans="1:8">
      <c r="A100" s="1">
        <v>108</v>
      </c>
      <c r="B100" s="2" t="s">
        <v>2100</v>
      </c>
      <c r="C100" s="3">
        <v>38595</v>
      </c>
      <c r="D100" s="4">
        <f>YEAR(Table1[[#This Row],[Date]])</f>
        <v>2005</v>
      </c>
      <c r="E100" s="2" t="s">
        <v>2081</v>
      </c>
      <c r="F100" s="4">
        <v>10</v>
      </c>
      <c r="G100" s="5">
        <v>28.406748282006184</v>
      </c>
      <c r="H100" s="6" t="s">
        <v>2096</v>
      </c>
    </row>
    <row r="101" spans="1:8">
      <c r="A101" s="1">
        <v>109</v>
      </c>
      <c r="B101" s="2" t="s">
        <v>2087</v>
      </c>
      <c r="C101" s="3">
        <v>38914</v>
      </c>
      <c r="D101" s="4">
        <f>YEAR(Table1[[#This Row],[Date]])</f>
        <v>2006</v>
      </c>
      <c r="E101" s="2" t="s">
        <v>2085</v>
      </c>
      <c r="F101" s="4">
        <v>10</v>
      </c>
      <c r="G101" s="5">
        <v>32.113204788074981</v>
      </c>
      <c r="H101" s="6" t="s">
        <v>2082</v>
      </c>
    </row>
    <row r="102" spans="1:8">
      <c r="A102" s="1">
        <v>110</v>
      </c>
      <c r="B102" s="2" t="s">
        <v>2087</v>
      </c>
      <c r="C102" s="3">
        <v>38419</v>
      </c>
      <c r="D102" s="4">
        <f>YEAR(Table1[[#This Row],[Date]])</f>
        <v>2005</v>
      </c>
      <c r="E102" s="2" t="s">
        <v>2097</v>
      </c>
      <c r="F102" s="4">
        <v>35</v>
      </c>
      <c r="G102" s="5">
        <v>107.58710427119863</v>
      </c>
      <c r="H102" s="6" t="s">
        <v>2086</v>
      </c>
    </row>
    <row r="103" spans="1:8">
      <c r="A103" s="1">
        <v>111</v>
      </c>
      <c r="B103" s="2" t="s">
        <v>2100</v>
      </c>
      <c r="C103" s="3">
        <v>38265</v>
      </c>
      <c r="D103" s="4">
        <f>YEAR(Table1[[#This Row],[Date]])</f>
        <v>2004</v>
      </c>
      <c r="E103" s="2" t="s">
        <v>2097</v>
      </c>
      <c r="F103" s="4">
        <v>81</v>
      </c>
      <c r="G103" s="5">
        <v>244.46099351680689</v>
      </c>
      <c r="H103" s="6" t="s">
        <v>2090</v>
      </c>
    </row>
    <row r="104" spans="1:8">
      <c r="A104" s="1">
        <v>112</v>
      </c>
      <c r="B104" s="2" t="s">
        <v>2100</v>
      </c>
      <c r="C104" s="3">
        <v>38309</v>
      </c>
      <c r="D104" s="4">
        <f>YEAR(Table1[[#This Row],[Date]])</f>
        <v>2004</v>
      </c>
      <c r="E104" s="2" t="s">
        <v>2097</v>
      </c>
      <c r="F104" s="4">
        <v>38</v>
      </c>
      <c r="G104" s="5">
        <v>115.86487308982943</v>
      </c>
      <c r="H104" s="6" t="s">
        <v>2082</v>
      </c>
    </row>
    <row r="105" spans="1:8">
      <c r="A105" s="1">
        <v>113</v>
      </c>
      <c r="B105" s="2" t="s">
        <v>2098</v>
      </c>
      <c r="C105" s="3">
        <v>39057</v>
      </c>
      <c r="D105" s="4">
        <f>YEAR(Table1[[#This Row],[Date]])</f>
        <v>2006</v>
      </c>
      <c r="E105" s="2" t="s">
        <v>2097</v>
      </c>
      <c r="F105" s="4">
        <v>26</v>
      </c>
      <c r="G105" s="5">
        <v>80.488645084091601</v>
      </c>
      <c r="H105" s="6" t="s">
        <v>2090</v>
      </c>
    </row>
    <row r="106" spans="1:8">
      <c r="A106" s="1">
        <v>114</v>
      </c>
      <c r="B106" s="2" t="s">
        <v>2080</v>
      </c>
      <c r="C106" s="3">
        <v>38617</v>
      </c>
      <c r="D106" s="4">
        <f>YEAR(Table1[[#This Row],[Date]])</f>
        <v>2005</v>
      </c>
      <c r="E106" s="2" t="s">
        <v>2088</v>
      </c>
      <c r="F106" s="4">
        <v>77</v>
      </c>
      <c r="G106" s="5">
        <v>233.33103169462888</v>
      </c>
      <c r="H106" s="6" t="s">
        <v>2096</v>
      </c>
    </row>
    <row r="107" spans="1:8">
      <c r="A107" s="1">
        <v>115</v>
      </c>
      <c r="B107" s="2" t="s">
        <v>2098</v>
      </c>
      <c r="C107" s="3">
        <v>38738</v>
      </c>
      <c r="D107" s="4">
        <f>YEAR(Table1[[#This Row],[Date]])</f>
        <v>2006</v>
      </c>
      <c r="E107" s="2" t="s">
        <v>2085</v>
      </c>
      <c r="F107" s="4">
        <v>39</v>
      </c>
      <c r="G107" s="5">
        <v>118.62706142640471</v>
      </c>
      <c r="H107" s="6" t="s">
        <v>2082</v>
      </c>
    </row>
    <row r="108" spans="1:8">
      <c r="A108" s="1">
        <v>116</v>
      </c>
      <c r="B108" s="2" t="s">
        <v>2091</v>
      </c>
      <c r="C108" s="3">
        <v>38892</v>
      </c>
      <c r="D108" s="4">
        <f>YEAR(Table1[[#This Row],[Date]])</f>
        <v>2006</v>
      </c>
      <c r="E108" s="2" t="s">
        <v>2094</v>
      </c>
      <c r="F108" s="4">
        <v>22</v>
      </c>
      <c r="G108" s="5">
        <v>68.07066358826728</v>
      </c>
      <c r="H108" s="6" t="s">
        <v>2096</v>
      </c>
    </row>
    <row r="109" spans="1:8">
      <c r="A109" s="1">
        <v>117</v>
      </c>
      <c r="B109" s="2" t="s">
        <v>2091</v>
      </c>
      <c r="C109" s="3">
        <v>38870</v>
      </c>
      <c r="D109" s="4">
        <f>YEAR(Table1[[#This Row],[Date]])</f>
        <v>2006</v>
      </c>
      <c r="E109" s="2" t="s">
        <v>2085</v>
      </c>
      <c r="F109" s="4">
        <v>68</v>
      </c>
      <c r="G109" s="5">
        <v>205.76676002797973</v>
      </c>
      <c r="H109" s="6" t="s">
        <v>2086</v>
      </c>
    </row>
    <row r="110" spans="1:8">
      <c r="A110" s="1">
        <v>118</v>
      </c>
      <c r="B110" s="2" t="s">
        <v>2100</v>
      </c>
      <c r="C110" s="3">
        <v>38496</v>
      </c>
      <c r="D110" s="4">
        <f>YEAR(Table1[[#This Row],[Date]])</f>
        <v>2005</v>
      </c>
      <c r="E110" s="2" t="s">
        <v>2085</v>
      </c>
      <c r="F110" s="4">
        <v>59</v>
      </c>
      <c r="G110" s="5">
        <v>178.71308198822226</v>
      </c>
      <c r="H110" s="6" t="s">
        <v>2086</v>
      </c>
    </row>
    <row r="111" spans="1:8">
      <c r="A111" s="1">
        <v>119</v>
      </c>
      <c r="B111" s="2" t="s">
        <v>2093</v>
      </c>
      <c r="C111" s="3">
        <v>38859</v>
      </c>
      <c r="D111" s="4">
        <f>YEAR(Table1[[#This Row],[Date]])</f>
        <v>2006</v>
      </c>
      <c r="E111" s="2" t="s">
        <v>2094</v>
      </c>
      <c r="F111" s="4">
        <v>20</v>
      </c>
      <c r="G111" s="5">
        <v>62.366566165716954</v>
      </c>
      <c r="H111" s="6" t="s">
        <v>2096</v>
      </c>
    </row>
    <row r="112" spans="1:8">
      <c r="A112" s="1">
        <v>120</v>
      </c>
      <c r="B112" s="2" t="s">
        <v>2084</v>
      </c>
      <c r="C112" s="3">
        <v>38650</v>
      </c>
      <c r="D112" s="4">
        <f>YEAR(Table1[[#This Row],[Date]])</f>
        <v>2005</v>
      </c>
      <c r="E112" s="2" t="s">
        <v>2097</v>
      </c>
      <c r="F112" s="4">
        <v>61</v>
      </c>
      <c r="G112" s="5">
        <v>184.56247310465258</v>
      </c>
      <c r="H112" s="6" t="s">
        <v>2082</v>
      </c>
    </row>
    <row r="113" spans="1:8">
      <c r="A113" s="1">
        <v>121</v>
      </c>
      <c r="B113" s="2" t="s">
        <v>2091</v>
      </c>
      <c r="C113" s="3">
        <v>38782</v>
      </c>
      <c r="D113" s="4">
        <f>YEAR(Table1[[#This Row],[Date]])</f>
        <v>2006</v>
      </c>
      <c r="E113" s="2" t="s">
        <v>2085</v>
      </c>
      <c r="F113" s="4">
        <v>30</v>
      </c>
      <c r="G113" s="5">
        <v>92.434422469644105</v>
      </c>
      <c r="H113" s="6" t="s">
        <v>2082</v>
      </c>
    </row>
    <row r="114" spans="1:8">
      <c r="A114" s="1">
        <v>122</v>
      </c>
      <c r="B114" s="2" t="s">
        <v>2099</v>
      </c>
      <c r="C114" s="3">
        <v>38925</v>
      </c>
      <c r="D114" s="4">
        <f>YEAR(Table1[[#This Row],[Date]])</f>
        <v>2006</v>
      </c>
      <c r="E114" s="2" t="s">
        <v>2097</v>
      </c>
      <c r="F114" s="4">
        <v>10</v>
      </c>
      <c r="G114" s="5">
        <v>32.298727574185413</v>
      </c>
      <c r="H114" s="6" t="s">
        <v>2090</v>
      </c>
    </row>
    <row r="115" spans="1:8">
      <c r="A115" s="1">
        <v>123</v>
      </c>
      <c r="B115" s="2" t="s">
        <v>2091</v>
      </c>
      <c r="C115" s="3">
        <v>38837</v>
      </c>
      <c r="D115" s="4">
        <f>YEAR(Table1[[#This Row],[Date]])</f>
        <v>2006</v>
      </c>
      <c r="E115" s="2" t="s">
        <v>2094</v>
      </c>
      <c r="F115" s="4">
        <v>72</v>
      </c>
      <c r="G115" s="5">
        <v>217.45289850686984</v>
      </c>
      <c r="H115" s="6" t="s">
        <v>2082</v>
      </c>
    </row>
    <row r="116" spans="1:8">
      <c r="A116" s="1">
        <v>124</v>
      </c>
      <c r="B116" s="2" t="s">
        <v>2087</v>
      </c>
      <c r="C116" s="3">
        <v>38727</v>
      </c>
      <c r="D116" s="4">
        <f>YEAR(Table1[[#This Row],[Date]])</f>
        <v>2006</v>
      </c>
      <c r="E116" s="2" t="s">
        <v>2094</v>
      </c>
      <c r="F116" s="4">
        <v>57</v>
      </c>
      <c r="G116" s="5">
        <v>173.36376703616165</v>
      </c>
      <c r="H116" s="6" t="s">
        <v>2090</v>
      </c>
    </row>
    <row r="117" spans="1:8">
      <c r="A117" s="1">
        <v>125</v>
      </c>
      <c r="B117" s="2" t="s">
        <v>2084</v>
      </c>
      <c r="C117" s="3">
        <v>38672</v>
      </c>
      <c r="D117" s="4">
        <f>YEAR(Table1[[#This Row],[Date]])</f>
        <v>2005</v>
      </c>
      <c r="E117" s="2" t="s">
        <v>2081</v>
      </c>
      <c r="F117" s="4">
        <v>41</v>
      </c>
      <c r="G117" s="5">
        <v>124.3880808412182</v>
      </c>
      <c r="H117" s="6" t="s">
        <v>2086</v>
      </c>
    </row>
    <row r="118" spans="1:8">
      <c r="A118" s="1">
        <v>126</v>
      </c>
      <c r="B118" s="2" t="s">
        <v>2091</v>
      </c>
      <c r="C118" s="3">
        <v>38100</v>
      </c>
      <c r="D118" s="4">
        <f>YEAR(Table1[[#This Row],[Date]])</f>
        <v>2004</v>
      </c>
      <c r="E118" s="2" t="s">
        <v>2094</v>
      </c>
      <c r="F118" s="4">
        <v>54</v>
      </c>
      <c r="G118" s="5">
        <v>163.7455521062605</v>
      </c>
      <c r="H118" s="6" t="s">
        <v>2090</v>
      </c>
    </row>
    <row r="119" spans="1:8">
      <c r="A119" s="1">
        <v>127</v>
      </c>
      <c r="B119" s="2" t="s">
        <v>2098</v>
      </c>
      <c r="C119" s="3">
        <v>38540</v>
      </c>
      <c r="D119" s="4">
        <f>YEAR(Table1[[#This Row],[Date]])</f>
        <v>2005</v>
      </c>
      <c r="E119" s="2" t="s">
        <v>2088</v>
      </c>
      <c r="F119" s="4">
        <v>9</v>
      </c>
      <c r="G119" s="5">
        <v>29.259949674062039</v>
      </c>
      <c r="H119" s="6" t="s">
        <v>2086</v>
      </c>
    </row>
    <row r="120" spans="1:8">
      <c r="A120" s="1">
        <v>128</v>
      </c>
      <c r="B120" s="2" t="s">
        <v>2100</v>
      </c>
      <c r="C120" s="3">
        <v>38485</v>
      </c>
      <c r="D120" s="4">
        <f>YEAR(Table1[[#This Row],[Date]])</f>
        <v>2005</v>
      </c>
      <c r="E120" s="2" t="s">
        <v>2081</v>
      </c>
      <c r="F120" s="4">
        <v>1</v>
      </c>
      <c r="G120" s="5">
        <v>5.0062586848309145</v>
      </c>
      <c r="H120" s="6" t="s">
        <v>2082</v>
      </c>
    </row>
    <row r="121" spans="1:8">
      <c r="A121" s="1">
        <v>129</v>
      </c>
      <c r="B121" s="2" t="s">
        <v>2091</v>
      </c>
      <c r="C121" s="3">
        <v>38760</v>
      </c>
      <c r="D121" s="4">
        <f>YEAR(Table1[[#This Row],[Date]])</f>
        <v>2006</v>
      </c>
      <c r="E121" s="2" t="s">
        <v>2097</v>
      </c>
      <c r="F121" s="4">
        <v>10</v>
      </c>
      <c r="G121" s="5">
        <v>28.888600496770302</v>
      </c>
      <c r="H121" s="6" t="s">
        <v>2090</v>
      </c>
    </row>
    <row r="122" spans="1:8">
      <c r="A122" s="1">
        <v>130</v>
      </c>
      <c r="B122" s="2" t="s">
        <v>2087</v>
      </c>
      <c r="C122" s="3">
        <v>39035</v>
      </c>
      <c r="D122" s="4">
        <f>YEAR(Table1[[#This Row],[Date]])</f>
        <v>2006</v>
      </c>
      <c r="E122" s="2" t="s">
        <v>2085</v>
      </c>
      <c r="F122" s="4">
        <v>9</v>
      </c>
      <c r="G122" s="5">
        <v>25.059711277411697</v>
      </c>
      <c r="H122" s="6" t="s">
        <v>2090</v>
      </c>
    </row>
    <row r="123" spans="1:8">
      <c r="A123" s="1">
        <v>131</v>
      </c>
      <c r="B123" s="2" t="s">
        <v>2099</v>
      </c>
      <c r="C123" s="3">
        <v>38320</v>
      </c>
      <c r="D123" s="4">
        <f>YEAR(Table1[[#This Row],[Date]])</f>
        <v>2004</v>
      </c>
      <c r="E123" s="2" t="s">
        <v>2097</v>
      </c>
      <c r="F123" s="4">
        <v>56</v>
      </c>
      <c r="G123" s="5">
        <v>168.8685012955201</v>
      </c>
      <c r="H123" s="6" t="s">
        <v>2096</v>
      </c>
    </row>
    <row r="124" spans="1:8">
      <c r="A124" s="1">
        <v>132</v>
      </c>
      <c r="B124" s="2" t="s">
        <v>2100</v>
      </c>
      <c r="C124" s="3">
        <v>38067</v>
      </c>
      <c r="D124" s="4">
        <f>YEAR(Table1[[#This Row],[Date]])</f>
        <v>2004</v>
      </c>
      <c r="E124" s="2" t="s">
        <v>2088</v>
      </c>
      <c r="F124" s="4">
        <v>28</v>
      </c>
      <c r="G124" s="5">
        <v>85.600623651403808</v>
      </c>
      <c r="H124" s="6" t="s">
        <v>2086</v>
      </c>
    </row>
    <row r="125" spans="1:8">
      <c r="A125" s="1">
        <v>133</v>
      </c>
      <c r="B125" s="2" t="s">
        <v>2080</v>
      </c>
      <c r="C125" s="3">
        <v>38177</v>
      </c>
      <c r="D125" s="4">
        <f>YEAR(Table1[[#This Row],[Date]])</f>
        <v>2004</v>
      </c>
      <c r="E125" s="2" t="s">
        <v>2097</v>
      </c>
      <c r="F125" s="4">
        <v>11</v>
      </c>
      <c r="G125" s="5">
        <v>34.417378586902672</v>
      </c>
      <c r="H125" s="6" t="s">
        <v>2096</v>
      </c>
    </row>
    <row r="126" spans="1:8">
      <c r="A126" s="1">
        <v>134</v>
      </c>
      <c r="B126" s="2" t="s">
        <v>2095</v>
      </c>
      <c r="C126" s="3">
        <v>39068</v>
      </c>
      <c r="D126" s="4">
        <f>YEAR(Table1[[#This Row],[Date]])</f>
        <v>2006</v>
      </c>
      <c r="E126" s="2" t="s">
        <v>2081</v>
      </c>
      <c r="F126" s="4">
        <v>11</v>
      </c>
      <c r="G126" s="5">
        <v>34.910086692815099</v>
      </c>
      <c r="H126" s="6" t="s">
        <v>2082</v>
      </c>
    </row>
    <row r="127" spans="1:8">
      <c r="A127" s="1">
        <v>135</v>
      </c>
      <c r="B127" s="2" t="s">
        <v>2095</v>
      </c>
      <c r="C127" s="3">
        <v>38397</v>
      </c>
      <c r="D127" s="4">
        <f>YEAR(Table1[[#This Row],[Date]])</f>
        <v>2005</v>
      </c>
      <c r="E127" s="2" t="s">
        <v>2094</v>
      </c>
      <c r="F127" s="4">
        <v>67</v>
      </c>
      <c r="G127" s="5">
        <v>202.86608183653496</v>
      </c>
      <c r="H127" s="6" t="s">
        <v>2090</v>
      </c>
    </row>
    <row r="128" spans="1:8">
      <c r="A128" s="1">
        <v>136</v>
      </c>
      <c r="B128" s="2" t="s">
        <v>2093</v>
      </c>
      <c r="C128" s="3">
        <v>38441</v>
      </c>
      <c r="D128" s="4">
        <f>YEAR(Table1[[#This Row],[Date]])</f>
        <v>2005</v>
      </c>
      <c r="E128" s="2" t="s">
        <v>2081</v>
      </c>
      <c r="F128" s="4">
        <v>10</v>
      </c>
      <c r="G128" s="5">
        <v>31.43203475838104</v>
      </c>
      <c r="H128" s="6" t="s">
        <v>2090</v>
      </c>
    </row>
    <row r="129" spans="1:8">
      <c r="A129" s="1">
        <v>137</v>
      </c>
      <c r="B129" s="2" t="s">
        <v>2098</v>
      </c>
      <c r="C129" s="3">
        <v>38287</v>
      </c>
      <c r="D129" s="4">
        <f>YEAR(Table1[[#This Row],[Date]])</f>
        <v>2004</v>
      </c>
      <c r="E129" s="2" t="s">
        <v>2085</v>
      </c>
      <c r="F129" s="4">
        <v>40</v>
      </c>
      <c r="G129" s="5">
        <v>121.94725640981379</v>
      </c>
      <c r="H129" s="6" t="s">
        <v>2090</v>
      </c>
    </row>
    <row r="130" spans="1:8">
      <c r="A130" s="1">
        <v>138</v>
      </c>
      <c r="B130" s="2" t="s">
        <v>2093</v>
      </c>
      <c r="C130" s="3">
        <v>38540</v>
      </c>
      <c r="D130" s="4">
        <f>YEAR(Table1[[#This Row],[Date]])</f>
        <v>2005</v>
      </c>
      <c r="E130" s="2" t="s">
        <v>2097</v>
      </c>
      <c r="F130" s="4">
        <v>77</v>
      </c>
      <c r="G130" s="5">
        <v>233.07983567827679</v>
      </c>
      <c r="H130" s="6" t="s">
        <v>2090</v>
      </c>
    </row>
    <row r="131" spans="1:8">
      <c r="A131" s="1">
        <v>139</v>
      </c>
      <c r="B131" s="2" t="s">
        <v>2080</v>
      </c>
      <c r="C131" s="3">
        <v>38496</v>
      </c>
      <c r="D131" s="4">
        <f>YEAR(Table1[[#This Row],[Date]])</f>
        <v>2005</v>
      </c>
      <c r="E131" s="2" t="s">
        <v>2088</v>
      </c>
      <c r="F131" s="4">
        <v>50</v>
      </c>
      <c r="G131" s="5">
        <v>152.04318524136269</v>
      </c>
      <c r="H131" s="6" t="s">
        <v>2082</v>
      </c>
    </row>
    <row r="132" spans="1:8">
      <c r="A132" s="1">
        <v>140</v>
      </c>
      <c r="B132" s="2" t="s">
        <v>2099</v>
      </c>
      <c r="C132" s="3">
        <v>38166</v>
      </c>
      <c r="D132" s="4">
        <f>YEAR(Table1[[#This Row],[Date]])</f>
        <v>2004</v>
      </c>
      <c r="E132" s="2" t="s">
        <v>2094</v>
      </c>
      <c r="F132" s="4">
        <v>80</v>
      </c>
      <c r="G132" s="5">
        <v>242.49550041476004</v>
      </c>
      <c r="H132" s="6" t="s">
        <v>2096</v>
      </c>
    </row>
    <row r="133" spans="1:8">
      <c r="A133" s="1">
        <v>141</v>
      </c>
      <c r="B133" s="2" t="s">
        <v>2099</v>
      </c>
      <c r="C133" s="3">
        <v>39079</v>
      </c>
      <c r="D133" s="4">
        <f>YEAR(Table1[[#This Row],[Date]])</f>
        <v>2006</v>
      </c>
      <c r="E133" s="2" t="s">
        <v>2094</v>
      </c>
      <c r="F133" s="4">
        <v>83</v>
      </c>
      <c r="G133" s="5">
        <v>250.79460647762514</v>
      </c>
      <c r="H133" s="6" t="s">
        <v>2082</v>
      </c>
    </row>
    <row r="134" spans="1:8">
      <c r="A134" s="1">
        <v>142</v>
      </c>
      <c r="B134" s="2" t="s">
        <v>2080</v>
      </c>
      <c r="C134" s="3">
        <v>38749</v>
      </c>
      <c r="D134" s="4">
        <f>YEAR(Table1[[#This Row],[Date]])</f>
        <v>2006</v>
      </c>
      <c r="E134" s="2" t="s">
        <v>2081</v>
      </c>
      <c r="F134" s="4">
        <v>4</v>
      </c>
      <c r="G134" s="5">
        <v>9.4996327629453567</v>
      </c>
      <c r="H134" s="6" t="s">
        <v>2090</v>
      </c>
    </row>
    <row r="135" spans="1:8">
      <c r="A135" s="1">
        <v>143</v>
      </c>
      <c r="B135" s="2" t="s">
        <v>2093</v>
      </c>
      <c r="C135" s="3">
        <v>38386</v>
      </c>
      <c r="D135" s="4">
        <f>YEAR(Table1[[#This Row],[Date]])</f>
        <v>2005</v>
      </c>
      <c r="E135" s="2" t="s">
        <v>2085</v>
      </c>
      <c r="F135" s="4">
        <v>46</v>
      </c>
      <c r="G135" s="5">
        <v>139.75509706516939</v>
      </c>
      <c r="H135" s="6" t="s">
        <v>2082</v>
      </c>
    </row>
    <row r="136" spans="1:8">
      <c r="A136" s="1">
        <v>144</v>
      </c>
      <c r="B136" s="2" t="s">
        <v>2087</v>
      </c>
      <c r="C136" s="3">
        <v>39013</v>
      </c>
      <c r="D136" s="4">
        <f>YEAR(Table1[[#This Row],[Date]])</f>
        <v>2006</v>
      </c>
      <c r="E136" s="2" t="s">
        <v>2097</v>
      </c>
      <c r="F136" s="4">
        <v>55</v>
      </c>
      <c r="G136" s="5">
        <v>167.19317791229159</v>
      </c>
      <c r="H136" s="6" t="s">
        <v>2082</v>
      </c>
    </row>
    <row r="137" spans="1:8">
      <c r="A137" s="1">
        <v>145</v>
      </c>
      <c r="B137" s="2" t="s">
        <v>2100</v>
      </c>
      <c r="C137" s="3">
        <v>38254</v>
      </c>
      <c r="D137" s="4">
        <f>YEAR(Table1[[#This Row],[Date]])</f>
        <v>2004</v>
      </c>
      <c r="E137" s="2" t="s">
        <v>2097</v>
      </c>
      <c r="F137" s="4">
        <v>89</v>
      </c>
      <c r="G137" s="5">
        <v>269.40466549843933</v>
      </c>
      <c r="H137" s="6" t="s">
        <v>2096</v>
      </c>
    </row>
    <row r="138" spans="1:8">
      <c r="A138" s="1">
        <v>146</v>
      </c>
      <c r="B138" s="2" t="s">
        <v>2098</v>
      </c>
      <c r="C138" s="3">
        <v>38540</v>
      </c>
      <c r="D138" s="4">
        <f>YEAR(Table1[[#This Row],[Date]])</f>
        <v>2005</v>
      </c>
      <c r="E138" s="2" t="s">
        <v>2094</v>
      </c>
      <c r="F138" s="4">
        <v>59</v>
      </c>
      <c r="G138" s="5">
        <v>179.11590007622482</v>
      </c>
      <c r="H138" s="6" t="s">
        <v>2090</v>
      </c>
    </row>
    <row r="139" spans="1:8">
      <c r="A139" s="1">
        <v>147</v>
      </c>
      <c r="B139" s="2" t="s">
        <v>2098</v>
      </c>
      <c r="C139" s="3">
        <v>38419</v>
      </c>
      <c r="D139" s="4">
        <f>YEAR(Table1[[#This Row],[Date]])</f>
        <v>2005</v>
      </c>
      <c r="E139" s="2" t="s">
        <v>2088</v>
      </c>
      <c r="F139" s="4">
        <v>90</v>
      </c>
      <c r="G139" s="5">
        <v>271.75315679180818</v>
      </c>
      <c r="H139" s="6" t="s">
        <v>2096</v>
      </c>
    </row>
    <row r="140" spans="1:8">
      <c r="A140" s="1">
        <v>148</v>
      </c>
      <c r="B140" s="2" t="s">
        <v>2087</v>
      </c>
      <c r="C140" s="3">
        <v>39024</v>
      </c>
      <c r="D140" s="4">
        <f>YEAR(Table1[[#This Row],[Date]])</f>
        <v>2006</v>
      </c>
      <c r="E140" s="2" t="s">
        <v>2088</v>
      </c>
      <c r="F140" s="4">
        <v>17</v>
      </c>
      <c r="G140" s="5">
        <v>53.665884026524566</v>
      </c>
      <c r="H140" s="6" t="s">
        <v>2086</v>
      </c>
    </row>
    <row r="141" spans="1:8">
      <c r="A141" s="1">
        <v>149</v>
      </c>
      <c r="B141" s="2" t="s">
        <v>2100</v>
      </c>
      <c r="C141" s="3">
        <v>38419</v>
      </c>
      <c r="D141" s="4">
        <f>YEAR(Table1[[#This Row],[Date]])</f>
        <v>2005</v>
      </c>
      <c r="E141" s="2" t="s">
        <v>2088</v>
      </c>
      <c r="F141" s="4">
        <v>37</v>
      </c>
      <c r="G141" s="5">
        <v>113.6496958349757</v>
      </c>
      <c r="H141" s="6" t="s">
        <v>2096</v>
      </c>
    </row>
    <row r="142" spans="1:8">
      <c r="A142" s="1">
        <v>150</v>
      </c>
      <c r="B142" s="2" t="s">
        <v>2095</v>
      </c>
      <c r="C142" s="3">
        <v>38793</v>
      </c>
      <c r="D142" s="4">
        <f>YEAR(Table1[[#This Row],[Date]])</f>
        <v>2006</v>
      </c>
      <c r="E142" s="2" t="s">
        <v>2085</v>
      </c>
      <c r="F142" s="4">
        <v>4</v>
      </c>
      <c r="G142" s="5">
        <v>9.4240327280666669</v>
      </c>
      <c r="H142" s="6" t="s">
        <v>2082</v>
      </c>
    </row>
    <row r="143" spans="1:8">
      <c r="A143" s="1">
        <v>151</v>
      </c>
      <c r="B143" s="2" t="s">
        <v>2098</v>
      </c>
      <c r="C143" s="3">
        <v>38540</v>
      </c>
      <c r="D143" s="4">
        <f>YEAR(Table1[[#This Row],[Date]])</f>
        <v>2005</v>
      </c>
      <c r="E143" s="2" t="s">
        <v>2081</v>
      </c>
      <c r="F143" s="4">
        <v>8</v>
      </c>
      <c r="G143" s="5">
        <v>22.376386657781136</v>
      </c>
      <c r="H143" s="6" t="s">
        <v>2090</v>
      </c>
    </row>
    <row r="144" spans="1:8">
      <c r="A144" s="1">
        <v>152</v>
      </c>
      <c r="B144" s="2" t="s">
        <v>2091</v>
      </c>
      <c r="C144" s="3">
        <v>38232</v>
      </c>
      <c r="D144" s="4">
        <f>YEAR(Table1[[#This Row],[Date]])</f>
        <v>2004</v>
      </c>
      <c r="E144" s="2" t="s">
        <v>2088</v>
      </c>
      <c r="F144" s="4">
        <v>6</v>
      </c>
      <c r="G144" s="5">
        <v>20.32160187847996</v>
      </c>
      <c r="H144" s="6" t="s">
        <v>2086</v>
      </c>
    </row>
    <row r="145" spans="1:8">
      <c r="A145" s="1">
        <v>153</v>
      </c>
      <c r="B145" s="2" t="s">
        <v>2100</v>
      </c>
      <c r="C145" s="3">
        <v>38276</v>
      </c>
      <c r="D145" s="4">
        <f>YEAR(Table1[[#This Row],[Date]])</f>
        <v>2004</v>
      </c>
      <c r="E145" s="2" t="s">
        <v>2088</v>
      </c>
      <c r="F145" s="4">
        <v>63</v>
      </c>
      <c r="G145" s="5">
        <v>191.67996095772898</v>
      </c>
      <c r="H145" s="6" t="s">
        <v>2090</v>
      </c>
    </row>
    <row r="146" spans="1:8">
      <c r="A146" s="1">
        <v>154</v>
      </c>
      <c r="B146" s="2" t="s">
        <v>2099</v>
      </c>
      <c r="C146" s="3">
        <v>38210</v>
      </c>
      <c r="D146" s="4">
        <f>YEAR(Table1[[#This Row],[Date]])</f>
        <v>2004</v>
      </c>
      <c r="E146" s="2" t="s">
        <v>2088</v>
      </c>
      <c r="F146" s="4">
        <v>16</v>
      </c>
      <c r="G146" s="5">
        <v>49.943726296074821</v>
      </c>
      <c r="H146" s="6" t="s">
        <v>2082</v>
      </c>
    </row>
    <row r="147" spans="1:8">
      <c r="A147" s="1">
        <v>155</v>
      </c>
      <c r="B147" s="2" t="s">
        <v>2080</v>
      </c>
      <c r="C147" s="3">
        <v>38386</v>
      </c>
      <c r="D147" s="4">
        <f>YEAR(Table1[[#This Row],[Date]])</f>
        <v>2005</v>
      </c>
      <c r="E147" s="2" t="s">
        <v>2097</v>
      </c>
      <c r="F147" s="4">
        <v>22</v>
      </c>
      <c r="G147" s="5">
        <v>67.814347194557499</v>
      </c>
      <c r="H147" s="6" t="s">
        <v>2082</v>
      </c>
    </row>
    <row r="148" spans="1:8">
      <c r="A148" s="1">
        <v>156</v>
      </c>
      <c r="B148" s="2" t="s">
        <v>2098</v>
      </c>
      <c r="C148" s="3">
        <v>38716</v>
      </c>
      <c r="D148" s="4">
        <f>YEAR(Table1[[#This Row],[Date]])</f>
        <v>2005</v>
      </c>
      <c r="E148" s="2" t="s">
        <v>2085</v>
      </c>
      <c r="F148" s="4">
        <v>81</v>
      </c>
      <c r="G148" s="5">
        <v>244.96866878935498</v>
      </c>
      <c r="H148" s="6" t="s">
        <v>2090</v>
      </c>
    </row>
    <row r="149" spans="1:8">
      <c r="A149" s="1">
        <v>157</v>
      </c>
      <c r="B149" s="2" t="s">
        <v>2098</v>
      </c>
      <c r="C149" s="3">
        <v>38606</v>
      </c>
      <c r="D149" s="4">
        <f>YEAR(Table1[[#This Row],[Date]])</f>
        <v>2005</v>
      </c>
      <c r="E149" s="2" t="s">
        <v>2081</v>
      </c>
      <c r="F149" s="4">
        <v>85</v>
      </c>
      <c r="G149" s="5">
        <v>256.55696414737832</v>
      </c>
      <c r="H149" s="6" t="s">
        <v>2082</v>
      </c>
    </row>
    <row r="150" spans="1:8">
      <c r="A150" s="1">
        <v>158</v>
      </c>
      <c r="B150" s="2" t="s">
        <v>2099</v>
      </c>
      <c r="C150" s="3">
        <v>38122</v>
      </c>
      <c r="D150" s="4">
        <f>YEAR(Table1[[#This Row],[Date]])</f>
        <v>2004</v>
      </c>
      <c r="E150" s="2" t="s">
        <v>2085</v>
      </c>
      <c r="F150" s="4">
        <v>3</v>
      </c>
      <c r="G150" s="5">
        <v>7.083148189481113</v>
      </c>
      <c r="H150" s="6" t="s">
        <v>2086</v>
      </c>
    </row>
    <row r="151" spans="1:8">
      <c r="A151" s="1">
        <v>159</v>
      </c>
      <c r="B151" s="2" t="s">
        <v>2098</v>
      </c>
      <c r="C151" s="3">
        <v>38375</v>
      </c>
      <c r="D151" s="4">
        <f>YEAR(Table1[[#This Row],[Date]])</f>
        <v>2005</v>
      </c>
      <c r="E151" s="2" t="s">
        <v>2081</v>
      </c>
      <c r="F151" s="4">
        <v>51</v>
      </c>
      <c r="G151" s="5">
        <v>154.48755641985605</v>
      </c>
      <c r="H151" s="6" t="s">
        <v>2082</v>
      </c>
    </row>
    <row r="152" spans="1:8">
      <c r="A152" s="1">
        <v>160</v>
      </c>
      <c r="B152" s="2" t="s">
        <v>2100</v>
      </c>
      <c r="C152" s="3">
        <v>38353</v>
      </c>
      <c r="D152" s="4">
        <f>YEAR(Table1[[#This Row],[Date]])</f>
        <v>2005</v>
      </c>
      <c r="E152" s="2" t="s">
        <v>2081</v>
      </c>
      <c r="F152" s="4">
        <v>72</v>
      </c>
      <c r="G152" s="5">
        <v>217.42437258205749</v>
      </c>
      <c r="H152" s="6" t="s">
        <v>2082</v>
      </c>
    </row>
    <row r="153" spans="1:8">
      <c r="A153" s="1">
        <v>161</v>
      </c>
      <c r="B153" s="2" t="s">
        <v>2095</v>
      </c>
      <c r="C153" s="3">
        <v>38034</v>
      </c>
      <c r="D153" s="4">
        <f>YEAR(Table1[[#This Row],[Date]])</f>
        <v>2004</v>
      </c>
      <c r="E153" s="2" t="s">
        <v>2081</v>
      </c>
      <c r="F153" s="4">
        <v>46</v>
      </c>
      <c r="G153" s="5">
        <v>139.92999594688814</v>
      </c>
      <c r="H153" s="6" t="s">
        <v>2086</v>
      </c>
    </row>
    <row r="154" spans="1:8">
      <c r="A154" s="1">
        <v>162</v>
      </c>
      <c r="B154" s="2" t="s">
        <v>2084</v>
      </c>
      <c r="C154" s="3">
        <v>38408</v>
      </c>
      <c r="D154" s="4">
        <f>YEAR(Table1[[#This Row],[Date]])</f>
        <v>2005</v>
      </c>
      <c r="E154" s="2" t="s">
        <v>2097</v>
      </c>
      <c r="F154" s="4">
        <v>10</v>
      </c>
      <c r="G154" s="5">
        <v>27.996195351956981</v>
      </c>
      <c r="H154" s="6" t="s">
        <v>2082</v>
      </c>
    </row>
    <row r="155" spans="1:8">
      <c r="A155" s="1">
        <v>163</v>
      </c>
      <c r="B155" s="2" t="s">
        <v>2100</v>
      </c>
      <c r="C155" s="3">
        <v>38573</v>
      </c>
      <c r="D155" s="4">
        <f>YEAR(Table1[[#This Row],[Date]])</f>
        <v>2005</v>
      </c>
      <c r="E155" s="2" t="s">
        <v>2085</v>
      </c>
      <c r="F155" s="4">
        <v>5</v>
      </c>
      <c r="G155" s="5">
        <v>12.197238533968166</v>
      </c>
      <c r="H155" s="6" t="s">
        <v>2082</v>
      </c>
    </row>
    <row r="156" spans="1:8">
      <c r="A156" s="1">
        <v>164</v>
      </c>
      <c r="B156" s="2" t="s">
        <v>2084</v>
      </c>
      <c r="C156" s="3">
        <v>39002</v>
      </c>
      <c r="D156" s="4">
        <f>YEAR(Table1[[#This Row],[Date]])</f>
        <v>2006</v>
      </c>
      <c r="E156" s="2" t="s">
        <v>2094</v>
      </c>
      <c r="F156" s="4">
        <v>16</v>
      </c>
      <c r="G156" s="5">
        <v>49.917622272183785</v>
      </c>
      <c r="H156" s="6" t="s">
        <v>2096</v>
      </c>
    </row>
    <row r="157" spans="1:8">
      <c r="A157" s="1">
        <v>165</v>
      </c>
      <c r="B157" s="2" t="s">
        <v>2084</v>
      </c>
      <c r="C157" s="3">
        <v>38705</v>
      </c>
      <c r="D157" s="4">
        <f>YEAR(Table1[[#This Row],[Date]])</f>
        <v>2005</v>
      </c>
      <c r="E157" s="2" t="s">
        <v>2085</v>
      </c>
      <c r="F157" s="4">
        <v>25</v>
      </c>
      <c r="G157" s="5">
        <v>76.986898914774684</v>
      </c>
      <c r="H157" s="6" t="s">
        <v>2096</v>
      </c>
    </row>
    <row r="158" spans="1:8">
      <c r="A158" s="1">
        <v>166</v>
      </c>
      <c r="B158" s="2" t="s">
        <v>2098</v>
      </c>
      <c r="C158" s="3">
        <v>38441</v>
      </c>
      <c r="D158" s="4">
        <f>YEAR(Table1[[#This Row],[Date]])</f>
        <v>2005</v>
      </c>
      <c r="E158" s="2" t="s">
        <v>2094</v>
      </c>
      <c r="F158" s="4">
        <v>49</v>
      </c>
      <c r="G158" s="5">
        <v>148.90711866414762</v>
      </c>
      <c r="H158" s="6" t="s">
        <v>2086</v>
      </c>
    </row>
    <row r="159" spans="1:8">
      <c r="A159" s="1">
        <v>167</v>
      </c>
      <c r="B159" s="2" t="s">
        <v>2080</v>
      </c>
      <c r="C159" s="3">
        <v>38067</v>
      </c>
      <c r="D159" s="4">
        <f>YEAR(Table1[[#This Row],[Date]])</f>
        <v>2004</v>
      </c>
      <c r="E159" s="2" t="s">
        <v>2081</v>
      </c>
      <c r="F159" s="4">
        <v>21</v>
      </c>
      <c r="G159" s="5">
        <v>64.326659101878747</v>
      </c>
      <c r="H159" s="6" t="s">
        <v>2090</v>
      </c>
    </row>
    <row r="160" spans="1:8">
      <c r="A160" s="1">
        <v>168</v>
      </c>
      <c r="B160" s="2" t="s">
        <v>2095</v>
      </c>
      <c r="C160" s="3">
        <v>38859</v>
      </c>
      <c r="D160" s="4">
        <f>YEAR(Table1[[#This Row],[Date]])</f>
        <v>2006</v>
      </c>
      <c r="E160" s="2" t="s">
        <v>2081</v>
      </c>
      <c r="F160" s="4">
        <v>29</v>
      </c>
      <c r="G160" s="5">
        <v>88.984161458299795</v>
      </c>
      <c r="H160" s="6" t="s">
        <v>2082</v>
      </c>
    </row>
    <row r="161" spans="1:8">
      <c r="A161" s="1">
        <v>169</v>
      </c>
      <c r="B161" s="2" t="s">
        <v>2087</v>
      </c>
      <c r="C161" s="3">
        <v>38034</v>
      </c>
      <c r="D161" s="4">
        <f>YEAR(Table1[[#This Row],[Date]])</f>
        <v>2004</v>
      </c>
      <c r="E161" s="2" t="s">
        <v>2081</v>
      </c>
      <c r="F161" s="4">
        <v>63</v>
      </c>
      <c r="G161" s="5">
        <v>191.11407977738014</v>
      </c>
      <c r="H161" s="6" t="s">
        <v>2096</v>
      </c>
    </row>
    <row r="162" spans="1:8">
      <c r="A162" s="1">
        <v>170</v>
      </c>
      <c r="B162" s="2" t="s">
        <v>2099</v>
      </c>
      <c r="C162" s="3">
        <v>38881</v>
      </c>
      <c r="D162" s="4">
        <f>YEAR(Table1[[#This Row],[Date]])</f>
        <v>2006</v>
      </c>
      <c r="E162" s="2" t="s">
        <v>2081</v>
      </c>
      <c r="F162" s="4">
        <v>21</v>
      </c>
      <c r="G162" s="5">
        <v>64.602960723055489</v>
      </c>
      <c r="H162" s="6" t="s">
        <v>2082</v>
      </c>
    </row>
    <row r="163" spans="1:8">
      <c r="A163" s="1">
        <v>171</v>
      </c>
      <c r="B163" s="2" t="s">
        <v>2080</v>
      </c>
      <c r="C163" s="3">
        <v>38639</v>
      </c>
      <c r="D163" s="4">
        <f>YEAR(Table1[[#This Row],[Date]])</f>
        <v>2005</v>
      </c>
      <c r="E163" s="2" t="s">
        <v>2085</v>
      </c>
      <c r="F163" s="4">
        <v>93</v>
      </c>
      <c r="G163" s="5">
        <v>280.17276926587908</v>
      </c>
      <c r="H163" s="6" t="s">
        <v>2090</v>
      </c>
    </row>
    <row r="164" spans="1:8">
      <c r="A164" s="1">
        <v>172</v>
      </c>
      <c r="B164" s="2" t="s">
        <v>2093</v>
      </c>
      <c r="C164" s="3">
        <v>38045</v>
      </c>
      <c r="D164" s="4">
        <f>YEAR(Table1[[#This Row],[Date]])</f>
        <v>2004</v>
      </c>
      <c r="E164" s="2" t="s">
        <v>2085</v>
      </c>
      <c r="F164" s="4">
        <v>55</v>
      </c>
      <c r="G164" s="5">
        <v>167.55415680156585</v>
      </c>
      <c r="H164" s="6" t="s">
        <v>2082</v>
      </c>
    </row>
    <row r="165" spans="1:8">
      <c r="A165" s="1">
        <v>173</v>
      </c>
      <c r="B165" s="2" t="s">
        <v>2098</v>
      </c>
      <c r="C165" s="3">
        <v>38914</v>
      </c>
      <c r="D165" s="4">
        <f>YEAR(Table1[[#This Row],[Date]])</f>
        <v>2006</v>
      </c>
      <c r="E165" s="2" t="s">
        <v>2085</v>
      </c>
      <c r="F165" s="4">
        <v>14</v>
      </c>
      <c r="G165" s="5">
        <v>43.897196992459193</v>
      </c>
      <c r="H165" s="6" t="s">
        <v>2082</v>
      </c>
    </row>
    <row r="166" spans="1:8">
      <c r="A166" s="1">
        <v>174</v>
      </c>
      <c r="B166" s="2" t="s">
        <v>2099</v>
      </c>
      <c r="C166" s="3">
        <v>38056</v>
      </c>
      <c r="D166" s="4">
        <f>YEAR(Table1[[#This Row],[Date]])</f>
        <v>2004</v>
      </c>
      <c r="E166" s="2" t="s">
        <v>2088</v>
      </c>
      <c r="F166" s="4">
        <v>91</v>
      </c>
      <c r="G166" s="5">
        <v>275.24479602731037</v>
      </c>
      <c r="H166" s="6" t="s">
        <v>2082</v>
      </c>
    </row>
    <row r="167" spans="1:8">
      <c r="A167" s="1">
        <v>175</v>
      </c>
      <c r="B167" s="2" t="s">
        <v>2098</v>
      </c>
      <c r="C167" s="3">
        <v>38100</v>
      </c>
      <c r="D167" s="4">
        <f>YEAR(Table1[[#This Row],[Date]])</f>
        <v>2004</v>
      </c>
      <c r="E167" s="2" t="s">
        <v>2094</v>
      </c>
      <c r="F167" s="4">
        <v>80</v>
      </c>
      <c r="G167" s="5">
        <v>242.44859600981886</v>
      </c>
      <c r="H167" s="6" t="s">
        <v>2082</v>
      </c>
    </row>
    <row r="168" spans="1:8">
      <c r="A168" s="1">
        <v>176</v>
      </c>
      <c r="B168" s="2" t="s">
        <v>2080</v>
      </c>
      <c r="C168" s="3">
        <v>38683</v>
      </c>
      <c r="D168" s="4">
        <f>YEAR(Table1[[#This Row],[Date]])</f>
        <v>2005</v>
      </c>
      <c r="E168" s="2" t="s">
        <v>2094</v>
      </c>
      <c r="F168" s="4">
        <v>70</v>
      </c>
      <c r="G168" s="5">
        <v>211.755231476809</v>
      </c>
      <c r="H168" s="6" t="s">
        <v>2082</v>
      </c>
    </row>
    <row r="169" spans="1:8">
      <c r="A169" s="1">
        <v>177</v>
      </c>
      <c r="B169" s="2" t="s">
        <v>2100</v>
      </c>
      <c r="C169" s="3">
        <v>38188</v>
      </c>
      <c r="D169" s="4">
        <f>YEAR(Table1[[#This Row],[Date]])</f>
        <v>2004</v>
      </c>
      <c r="E169" s="2" t="s">
        <v>2097</v>
      </c>
      <c r="F169" s="4">
        <v>54</v>
      </c>
      <c r="G169" s="5">
        <v>164.30496670412208</v>
      </c>
      <c r="H169" s="6" t="s">
        <v>2090</v>
      </c>
    </row>
    <row r="170" spans="1:8">
      <c r="A170" s="1">
        <v>178</v>
      </c>
      <c r="B170" s="2" t="s">
        <v>2087</v>
      </c>
      <c r="C170" s="3">
        <v>38705</v>
      </c>
      <c r="D170" s="4">
        <f>YEAR(Table1[[#This Row],[Date]])</f>
        <v>2005</v>
      </c>
      <c r="E170" s="2" t="s">
        <v>2097</v>
      </c>
      <c r="F170" s="4">
        <v>19</v>
      </c>
      <c r="G170" s="5">
        <v>58.362898336492826</v>
      </c>
      <c r="H170" s="6" t="s">
        <v>2096</v>
      </c>
    </row>
    <row r="171" spans="1:8">
      <c r="A171" s="1">
        <v>179</v>
      </c>
      <c r="B171" s="2" t="s">
        <v>2084</v>
      </c>
      <c r="C171" s="3">
        <v>38617</v>
      </c>
      <c r="D171" s="4">
        <f>YEAR(Table1[[#This Row],[Date]])</f>
        <v>2005</v>
      </c>
      <c r="E171" s="2" t="s">
        <v>2085</v>
      </c>
      <c r="F171" s="4">
        <v>38</v>
      </c>
      <c r="G171" s="5">
        <v>115.82878872794043</v>
      </c>
      <c r="H171" s="6" t="s">
        <v>2082</v>
      </c>
    </row>
    <row r="172" spans="1:8">
      <c r="A172" s="1">
        <v>180</v>
      </c>
      <c r="B172" s="2" t="s">
        <v>2093</v>
      </c>
      <c r="C172" s="3">
        <v>38133</v>
      </c>
      <c r="D172" s="4">
        <f>YEAR(Table1[[#This Row],[Date]])</f>
        <v>2004</v>
      </c>
      <c r="E172" s="2" t="s">
        <v>2088</v>
      </c>
      <c r="F172" s="4">
        <v>60</v>
      </c>
      <c r="G172" s="5">
        <v>182.02229380076153</v>
      </c>
      <c r="H172" s="6" t="s">
        <v>2096</v>
      </c>
    </row>
    <row r="173" spans="1:8">
      <c r="A173" s="1">
        <v>181</v>
      </c>
      <c r="B173" s="2" t="s">
        <v>2084</v>
      </c>
      <c r="C173" s="3">
        <v>38639</v>
      </c>
      <c r="D173" s="4">
        <f>YEAR(Table1[[#This Row],[Date]])</f>
        <v>2005</v>
      </c>
      <c r="E173" s="2" t="s">
        <v>2088</v>
      </c>
      <c r="F173" s="4">
        <v>51</v>
      </c>
      <c r="G173" s="5">
        <v>155.73788458275871</v>
      </c>
      <c r="H173" s="6" t="s">
        <v>2086</v>
      </c>
    </row>
    <row r="174" spans="1:8">
      <c r="A174" s="1">
        <v>182</v>
      </c>
      <c r="B174" s="2" t="s">
        <v>2087</v>
      </c>
      <c r="C174" s="3">
        <v>38111</v>
      </c>
      <c r="D174" s="4">
        <f>YEAR(Table1[[#This Row],[Date]])</f>
        <v>2004</v>
      </c>
      <c r="E174" s="2" t="s">
        <v>2081</v>
      </c>
      <c r="F174" s="4">
        <v>78</v>
      </c>
      <c r="G174" s="5">
        <v>236.14223463826744</v>
      </c>
      <c r="H174" s="6" t="s">
        <v>2086</v>
      </c>
    </row>
    <row r="175" spans="1:8">
      <c r="A175" s="1">
        <v>183</v>
      </c>
      <c r="B175" s="2" t="s">
        <v>2084</v>
      </c>
      <c r="C175" s="3">
        <v>38320</v>
      </c>
      <c r="D175" s="4">
        <f>YEAR(Table1[[#This Row],[Date]])</f>
        <v>2004</v>
      </c>
      <c r="E175" s="2" t="s">
        <v>2085</v>
      </c>
      <c r="F175" s="4">
        <v>17</v>
      </c>
      <c r="G175" s="5">
        <v>52.469218210599529</v>
      </c>
      <c r="H175" s="6" t="s">
        <v>2090</v>
      </c>
    </row>
    <row r="176" spans="1:8">
      <c r="A176" s="1">
        <v>184</v>
      </c>
      <c r="B176" s="2" t="s">
        <v>2099</v>
      </c>
      <c r="C176" s="3">
        <v>38221</v>
      </c>
      <c r="D176" s="4">
        <f>YEAR(Table1[[#This Row],[Date]])</f>
        <v>2004</v>
      </c>
      <c r="E176" s="2" t="s">
        <v>2094</v>
      </c>
      <c r="F176" s="4">
        <v>13</v>
      </c>
      <c r="G176" s="5">
        <v>40.808192712139302</v>
      </c>
      <c r="H176" s="6" t="s">
        <v>2086</v>
      </c>
    </row>
    <row r="177" spans="1:8">
      <c r="A177" s="1">
        <v>185</v>
      </c>
      <c r="B177" s="2" t="s">
        <v>2098</v>
      </c>
      <c r="C177" s="3">
        <v>38540</v>
      </c>
      <c r="D177" s="4">
        <f>YEAR(Table1[[#This Row],[Date]])</f>
        <v>2005</v>
      </c>
      <c r="E177" s="2" t="s">
        <v>2097</v>
      </c>
      <c r="F177" s="4">
        <v>2</v>
      </c>
      <c r="G177" s="5">
        <v>8.0360535540736908</v>
      </c>
      <c r="H177" s="6" t="s">
        <v>2082</v>
      </c>
    </row>
    <row r="178" spans="1:8">
      <c r="A178" s="1">
        <v>186</v>
      </c>
      <c r="B178" s="2" t="s">
        <v>2080</v>
      </c>
      <c r="C178" s="3">
        <v>39046</v>
      </c>
      <c r="D178" s="4">
        <f>YEAR(Table1[[#This Row],[Date]])</f>
        <v>2006</v>
      </c>
      <c r="E178" s="2" t="s">
        <v>2097</v>
      </c>
      <c r="F178" s="4">
        <v>74</v>
      </c>
      <c r="G178" s="5">
        <v>223.87783259743091</v>
      </c>
      <c r="H178" s="6" t="s">
        <v>2096</v>
      </c>
    </row>
    <row r="179" spans="1:8">
      <c r="A179" s="1">
        <v>187</v>
      </c>
      <c r="B179" s="2" t="s">
        <v>2093</v>
      </c>
      <c r="C179" s="3">
        <v>38793</v>
      </c>
      <c r="D179" s="4">
        <f>YEAR(Table1[[#This Row],[Date]])</f>
        <v>2006</v>
      </c>
      <c r="E179" s="2" t="s">
        <v>2085</v>
      </c>
      <c r="F179" s="4">
        <v>57</v>
      </c>
      <c r="G179" s="5">
        <v>172.92421427081234</v>
      </c>
      <c r="H179" s="6" t="s">
        <v>2082</v>
      </c>
    </row>
    <row r="180" spans="1:8">
      <c r="A180" s="1">
        <v>188</v>
      </c>
      <c r="B180" s="2" t="s">
        <v>2099</v>
      </c>
      <c r="C180" s="3">
        <v>38111</v>
      </c>
      <c r="D180" s="4">
        <f>YEAR(Table1[[#This Row],[Date]])</f>
        <v>2004</v>
      </c>
      <c r="E180" s="2" t="s">
        <v>2097</v>
      </c>
      <c r="F180" s="4">
        <v>79</v>
      </c>
      <c r="G180" s="5">
        <v>239.34428625432886</v>
      </c>
      <c r="H180" s="6" t="s">
        <v>2090</v>
      </c>
    </row>
    <row r="181" spans="1:8">
      <c r="A181" s="1">
        <v>189</v>
      </c>
      <c r="B181" s="2" t="s">
        <v>2093</v>
      </c>
      <c r="C181" s="3">
        <v>38518</v>
      </c>
      <c r="D181" s="4">
        <f>YEAR(Table1[[#This Row],[Date]])</f>
        <v>2005</v>
      </c>
      <c r="E181" s="2" t="s">
        <v>2085</v>
      </c>
      <c r="F181" s="4">
        <v>82</v>
      </c>
      <c r="G181" s="5">
        <v>247.46177448016923</v>
      </c>
      <c r="H181" s="6" t="s">
        <v>2090</v>
      </c>
    </row>
    <row r="182" spans="1:8">
      <c r="A182" s="1">
        <v>190</v>
      </c>
      <c r="B182" s="2" t="s">
        <v>2100</v>
      </c>
      <c r="C182" s="3">
        <v>38991</v>
      </c>
      <c r="D182" s="4">
        <f>YEAR(Table1[[#This Row],[Date]])</f>
        <v>2006</v>
      </c>
      <c r="E182" s="2" t="s">
        <v>2081</v>
      </c>
      <c r="F182" s="4">
        <v>28</v>
      </c>
      <c r="G182" s="5">
        <v>85.957225474601458</v>
      </c>
      <c r="H182" s="6" t="s">
        <v>2082</v>
      </c>
    </row>
    <row r="183" spans="1:8">
      <c r="A183" s="1">
        <v>191</v>
      </c>
      <c r="B183" s="2" t="s">
        <v>2099</v>
      </c>
      <c r="C183" s="3">
        <v>38023</v>
      </c>
      <c r="D183" s="4">
        <f>YEAR(Table1[[#This Row],[Date]])</f>
        <v>2004</v>
      </c>
      <c r="E183" s="2" t="s">
        <v>2097</v>
      </c>
      <c r="F183" s="4">
        <v>63</v>
      </c>
      <c r="G183" s="5">
        <v>191.0302935038041</v>
      </c>
      <c r="H183" s="6" t="s">
        <v>2086</v>
      </c>
    </row>
    <row r="184" spans="1:8">
      <c r="A184" s="1">
        <v>192</v>
      </c>
      <c r="B184" s="2" t="s">
        <v>2095</v>
      </c>
      <c r="C184" s="3">
        <v>38628</v>
      </c>
      <c r="D184" s="4">
        <f>YEAR(Table1[[#This Row],[Date]])</f>
        <v>2005</v>
      </c>
      <c r="E184" s="2" t="s">
        <v>2085</v>
      </c>
      <c r="F184" s="4">
        <v>72</v>
      </c>
      <c r="G184" s="5">
        <v>217.59287860664901</v>
      </c>
      <c r="H184" s="6" t="s">
        <v>2090</v>
      </c>
    </row>
    <row r="185" spans="1:8">
      <c r="A185" s="1">
        <v>193</v>
      </c>
      <c r="B185" s="2" t="s">
        <v>2095</v>
      </c>
      <c r="C185" s="3">
        <v>38727</v>
      </c>
      <c r="D185" s="4">
        <f>YEAR(Table1[[#This Row],[Date]])</f>
        <v>2006</v>
      </c>
      <c r="E185" s="2" t="s">
        <v>2088</v>
      </c>
      <c r="F185" s="4">
        <v>68</v>
      </c>
      <c r="G185" s="5">
        <v>205.93270340856287</v>
      </c>
      <c r="H185" s="6" t="s">
        <v>2086</v>
      </c>
    </row>
    <row r="186" spans="1:8">
      <c r="A186" s="1">
        <v>194</v>
      </c>
      <c r="B186" s="2" t="s">
        <v>2098</v>
      </c>
      <c r="C186" s="3">
        <v>38738</v>
      </c>
      <c r="D186" s="4">
        <f>YEAR(Table1[[#This Row],[Date]])</f>
        <v>2006</v>
      </c>
      <c r="E186" s="2" t="s">
        <v>2094</v>
      </c>
      <c r="F186" s="4">
        <v>8</v>
      </c>
      <c r="G186" s="5">
        <v>26.138739127477177</v>
      </c>
      <c r="H186" s="6" t="s">
        <v>2090</v>
      </c>
    </row>
    <row r="187" spans="1:8">
      <c r="A187" s="1">
        <v>195</v>
      </c>
      <c r="B187" s="2" t="s">
        <v>2084</v>
      </c>
      <c r="C187" s="3">
        <v>38331</v>
      </c>
      <c r="D187" s="4">
        <f>YEAR(Table1[[#This Row],[Date]])</f>
        <v>2004</v>
      </c>
      <c r="E187" s="2" t="s">
        <v>2088</v>
      </c>
      <c r="F187" s="4">
        <v>62</v>
      </c>
      <c r="G187" s="5">
        <v>188.51634230729906</v>
      </c>
      <c r="H187" s="6" t="s">
        <v>2086</v>
      </c>
    </row>
    <row r="188" spans="1:8">
      <c r="A188" s="1">
        <v>196</v>
      </c>
      <c r="B188" s="2" t="s">
        <v>2099</v>
      </c>
      <c r="C188" s="3">
        <v>38430</v>
      </c>
      <c r="D188" s="4">
        <f>YEAR(Table1[[#This Row],[Date]])</f>
        <v>2005</v>
      </c>
      <c r="E188" s="2" t="s">
        <v>2094</v>
      </c>
      <c r="F188" s="4">
        <v>5</v>
      </c>
      <c r="G188" s="5">
        <v>16.348427234046856</v>
      </c>
      <c r="H188" s="6" t="s">
        <v>2096</v>
      </c>
    </row>
    <row r="189" spans="1:8">
      <c r="A189" s="1">
        <v>197</v>
      </c>
      <c r="B189" s="2" t="s">
        <v>2093</v>
      </c>
      <c r="C189" s="3">
        <v>38023</v>
      </c>
      <c r="D189" s="4">
        <f>YEAR(Table1[[#This Row],[Date]])</f>
        <v>2004</v>
      </c>
      <c r="E189" s="2" t="s">
        <v>2097</v>
      </c>
      <c r="F189" s="4">
        <v>5</v>
      </c>
      <c r="G189" s="5">
        <v>12.898061088841523</v>
      </c>
      <c r="H189" s="6" t="s">
        <v>2096</v>
      </c>
    </row>
    <row r="190" spans="1:8">
      <c r="A190" s="1">
        <v>198</v>
      </c>
      <c r="B190" s="2" t="s">
        <v>2093</v>
      </c>
      <c r="C190" s="3">
        <v>38859</v>
      </c>
      <c r="D190" s="4">
        <f>YEAR(Table1[[#This Row],[Date]])</f>
        <v>2006</v>
      </c>
      <c r="E190" s="2" t="s">
        <v>2097</v>
      </c>
      <c r="F190" s="4">
        <v>4</v>
      </c>
      <c r="G190" s="5">
        <v>9.998213253386103</v>
      </c>
      <c r="H190" s="6" t="s">
        <v>2090</v>
      </c>
    </row>
    <row r="191" spans="1:8">
      <c r="A191" s="1">
        <v>199</v>
      </c>
      <c r="B191" s="2" t="s">
        <v>2095</v>
      </c>
      <c r="C191" s="3">
        <v>39046</v>
      </c>
      <c r="D191" s="4">
        <f>YEAR(Table1[[#This Row],[Date]])</f>
        <v>2006</v>
      </c>
      <c r="E191" s="2" t="s">
        <v>2097</v>
      </c>
      <c r="F191" s="4">
        <v>81</v>
      </c>
      <c r="G191" s="5">
        <v>244.68104192003952</v>
      </c>
      <c r="H191" s="6" t="s">
        <v>2090</v>
      </c>
    </row>
    <row r="192" spans="1:8">
      <c r="A192" s="1">
        <v>200</v>
      </c>
      <c r="B192" s="2" t="s">
        <v>2095</v>
      </c>
      <c r="C192" s="3">
        <v>38793</v>
      </c>
      <c r="D192" s="4">
        <f>YEAR(Table1[[#This Row],[Date]])</f>
        <v>2006</v>
      </c>
      <c r="E192" s="2" t="s">
        <v>2094</v>
      </c>
      <c r="F192" s="4">
        <v>21</v>
      </c>
      <c r="G192" s="5">
        <v>64.744003374094902</v>
      </c>
      <c r="H192" s="6" t="s">
        <v>2082</v>
      </c>
    </row>
    <row r="193" spans="1:8">
      <c r="A193" s="1">
        <v>201</v>
      </c>
      <c r="B193" s="2" t="s">
        <v>2100</v>
      </c>
      <c r="C193" s="3">
        <v>38529</v>
      </c>
      <c r="D193" s="4">
        <f>YEAR(Table1[[#This Row],[Date]])</f>
        <v>2005</v>
      </c>
      <c r="E193" s="2" t="s">
        <v>2094</v>
      </c>
      <c r="F193" s="4">
        <v>21</v>
      </c>
      <c r="G193" s="5">
        <v>64.863192319117914</v>
      </c>
      <c r="H193" s="6" t="s">
        <v>2096</v>
      </c>
    </row>
    <row r="194" spans="1:8">
      <c r="A194" s="1">
        <v>202</v>
      </c>
      <c r="B194" s="2" t="s">
        <v>2084</v>
      </c>
      <c r="C194" s="3">
        <v>38716</v>
      </c>
      <c r="D194" s="4">
        <f>YEAR(Table1[[#This Row],[Date]])</f>
        <v>2005</v>
      </c>
      <c r="E194" s="2" t="s">
        <v>2085</v>
      </c>
      <c r="F194" s="4">
        <v>3</v>
      </c>
      <c r="G194" s="5">
        <v>7.154085897104931</v>
      </c>
      <c r="H194" s="6" t="s">
        <v>2082</v>
      </c>
    </row>
    <row r="195" spans="1:8">
      <c r="A195" s="1">
        <v>203</v>
      </c>
      <c r="B195" s="2" t="s">
        <v>2100</v>
      </c>
      <c r="C195" s="3">
        <v>39079</v>
      </c>
      <c r="D195" s="4">
        <f>YEAR(Table1[[#This Row],[Date]])</f>
        <v>2006</v>
      </c>
      <c r="E195" s="2" t="s">
        <v>2081</v>
      </c>
      <c r="F195" s="4">
        <v>57</v>
      </c>
      <c r="G195" s="5">
        <v>173.64445114790863</v>
      </c>
      <c r="H195" s="6" t="s">
        <v>2090</v>
      </c>
    </row>
    <row r="196" spans="1:8">
      <c r="A196" s="1">
        <v>204</v>
      </c>
      <c r="B196" s="2" t="s">
        <v>2100</v>
      </c>
      <c r="C196" s="3">
        <v>38947</v>
      </c>
      <c r="D196" s="4">
        <f>YEAR(Table1[[#This Row],[Date]])</f>
        <v>2006</v>
      </c>
      <c r="E196" s="2" t="s">
        <v>2081</v>
      </c>
      <c r="F196" s="4">
        <v>86</v>
      </c>
      <c r="G196" s="5">
        <v>259.30970727563493</v>
      </c>
      <c r="H196" s="6" t="s">
        <v>2090</v>
      </c>
    </row>
    <row r="197" spans="1:8">
      <c r="A197" s="1">
        <v>205</v>
      </c>
      <c r="B197" s="2" t="s">
        <v>2099</v>
      </c>
      <c r="C197" s="3">
        <v>38826</v>
      </c>
      <c r="D197" s="4">
        <f>YEAR(Table1[[#This Row],[Date]])</f>
        <v>2006</v>
      </c>
      <c r="E197" s="2" t="s">
        <v>2085</v>
      </c>
      <c r="F197" s="4">
        <v>14</v>
      </c>
      <c r="G197" s="5">
        <v>44.139016120906668</v>
      </c>
      <c r="H197" s="6" t="s">
        <v>2090</v>
      </c>
    </row>
    <row r="198" spans="1:8">
      <c r="A198" s="1">
        <v>206</v>
      </c>
      <c r="B198" s="2" t="s">
        <v>2084</v>
      </c>
      <c r="C198" s="3">
        <v>39057</v>
      </c>
      <c r="D198" s="4">
        <f>YEAR(Table1[[#This Row],[Date]])</f>
        <v>2006</v>
      </c>
      <c r="E198" s="2" t="s">
        <v>2088</v>
      </c>
      <c r="F198" s="4">
        <v>20</v>
      </c>
      <c r="G198" s="5">
        <v>61.955881135465603</v>
      </c>
      <c r="H198" s="6" t="s">
        <v>2086</v>
      </c>
    </row>
    <row r="199" spans="1:8">
      <c r="A199" s="1">
        <v>207</v>
      </c>
      <c r="B199" s="2" t="s">
        <v>2093</v>
      </c>
      <c r="C199" s="3">
        <v>38023</v>
      </c>
      <c r="D199" s="4">
        <f>YEAR(Table1[[#This Row],[Date]])</f>
        <v>2004</v>
      </c>
      <c r="E199" s="2" t="s">
        <v>2097</v>
      </c>
      <c r="F199" s="4">
        <v>60</v>
      </c>
      <c r="G199" s="5">
        <v>181.93942640636905</v>
      </c>
      <c r="H199" s="6" t="s">
        <v>2096</v>
      </c>
    </row>
    <row r="200" spans="1:8">
      <c r="A200" s="1">
        <v>208</v>
      </c>
      <c r="B200" s="2" t="s">
        <v>2099</v>
      </c>
      <c r="C200" s="3">
        <v>38903</v>
      </c>
      <c r="D200" s="4">
        <f>YEAR(Table1[[#This Row],[Date]])</f>
        <v>2006</v>
      </c>
      <c r="E200" s="2" t="s">
        <v>2094</v>
      </c>
      <c r="F200" s="4">
        <v>45</v>
      </c>
      <c r="G200" s="5">
        <v>137.15507832075065</v>
      </c>
      <c r="H200" s="6" t="s">
        <v>2090</v>
      </c>
    </row>
    <row r="201" spans="1:8">
      <c r="A201" s="1">
        <v>209</v>
      </c>
      <c r="B201" s="2" t="s">
        <v>2099</v>
      </c>
      <c r="C201" s="3">
        <v>38078</v>
      </c>
      <c r="D201" s="4">
        <f>YEAR(Table1[[#This Row],[Date]])</f>
        <v>2004</v>
      </c>
      <c r="E201" s="2" t="s">
        <v>2094</v>
      </c>
      <c r="F201" s="4">
        <v>7</v>
      </c>
      <c r="G201" s="5">
        <v>22.99759982335349</v>
      </c>
      <c r="H201" s="6" t="s">
        <v>2086</v>
      </c>
    </row>
    <row r="202" spans="1:8">
      <c r="A202" s="1">
        <v>210</v>
      </c>
      <c r="B202" s="2" t="s">
        <v>2080</v>
      </c>
      <c r="C202" s="3">
        <v>38782</v>
      </c>
      <c r="D202" s="4">
        <f>YEAR(Table1[[#This Row],[Date]])</f>
        <v>2006</v>
      </c>
      <c r="E202" s="2" t="s">
        <v>2081</v>
      </c>
      <c r="F202" s="4">
        <v>6</v>
      </c>
      <c r="G202" s="5">
        <v>16.334472666280842</v>
      </c>
      <c r="H202" s="6" t="s">
        <v>2086</v>
      </c>
    </row>
    <row r="203" spans="1:8">
      <c r="A203" s="1">
        <v>211</v>
      </c>
      <c r="B203" s="2" t="s">
        <v>2099</v>
      </c>
      <c r="C203" s="3">
        <v>38837</v>
      </c>
      <c r="D203" s="4">
        <f>YEAR(Table1[[#This Row],[Date]])</f>
        <v>2006</v>
      </c>
      <c r="E203" s="2" t="s">
        <v>2081</v>
      </c>
      <c r="F203" s="4">
        <v>35</v>
      </c>
      <c r="G203" s="5">
        <v>106.89982221762149</v>
      </c>
      <c r="H203" s="6" t="s">
        <v>2082</v>
      </c>
    </row>
    <row r="204" spans="1:8">
      <c r="A204" s="1">
        <v>212</v>
      </c>
      <c r="B204" s="2" t="s">
        <v>2093</v>
      </c>
      <c r="C204" s="3">
        <v>38848</v>
      </c>
      <c r="D204" s="4">
        <f>YEAR(Table1[[#This Row],[Date]])</f>
        <v>2006</v>
      </c>
      <c r="E204" s="2" t="s">
        <v>2085</v>
      </c>
      <c r="F204" s="4">
        <v>31</v>
      </c>
      <c r="G204" s="5">
        <v>95.13200096066403</v>
      </c>
      <c r="H204" s="6" t="s">
        <v>2096</v>
      </c>
    </row>
    <row r="205" spans="1:8">
      <c r="A205" s="1">
        <v>213</v>
      </c>
      <c r="B205" s="2" t="s">
        <v>2099</v>
      </c>
      <c r="C205" s="3">
        <v>38672</v>
      </c>
      <c r="D205" s="4">
        <f>YEAR(Table1[[#This Row],[Date]])</f>
        <v>2005</v>
      </c>
      <c r="E205" s="2" t="s">
        <v>2081</v>
      </c>
      <c r="F205" s="4">
        <v>19</v>
      </c>
      <c r="G205" s="5">
        <v>59.075740928551383</v>
      </c>
      <c r="H205" s="6" t="s">
        <v>2090</v>
      </c>
    </row>
    <row r="206" spans="1:8">
      <c r="A206" s="1">
        <v>214</v>
      </c>
      <c r="B206" s="2" t="s">
        <v>2091</v>
      </c>
      <c r="C206" s="3">
        <v>38760</v>
      </c>
      <c r="D206" s="4">
        <f>YEAR(Table1[[#This Row],[Date]])</f>
        <v>2006</v>
      </c>
      <c r="E206" s="2" t="s">
        <v>2094</v>
      </c>
      <c r="F206" s="4">
        <v>35</v>
      </c>
      <c r="G206" s="5">
        <v>106.64339916643026</v>
      </c>
      <c r="H206" s="6" t="s">
        <v>2090</v>
      </c>
    </row>
    <row r="207" spans="1:8">
      <c r="A207" s="1">
        <v>215</v>
      </c>
      <c r="B207" s="2" t="s">
        <v>2080</v>
      </c>
      <c r="C207" s="3">
        <v>38353</v>
      </c>
      <c r="D207" s="4">
        <f>YEAR(Table1[[#This Row],[Date]])</f>
        <v>2005</v>
      </c>
      <c r="E207" s="2" t="s">
        <v>2088</v>
      </c>
      <c r="F207" s="4">
        <v>51</v>
      </c>
      <c r="G207" s="5">
        <v>154.59771582934854</v>
      </c>
      <c r="H207" s="6" t="s">
        <v>2096</v>
      </c>
    </row>
    <row r="208" spans="1:8">
      <c r="A208" s="1">
        <v>216</v>
      </c>
      <c r="B208" s="2" t="s">
        <v>2084</v>
      </c>
      <c r="C208" s="3">
        <v>38771</v>
      </c>
      <c r="D208" s="4">
        <f>YEAR(Table1[[#This Row],[Date]])</f>
        <v>2006</v>
      </c>
      <c r="E208" s="2" t="s">
        <v>2097</v>
      </c>
      <c r="F208" s="4">
        <v>1</v>
      </c>
      <c r="G208" s="5">
        <v>5.3867139626812968</v>
      </c>
      <c r="H208" s="6" t="s">
        <v>2096</v>
      </c>
    </row>
    <row r="209" spans="1:8">
      <c r="A209" s="1">
        <v>217</v>
      </c>
      <c r="B209" s="2" t="s">
        <v>2100</v>
      </c>
      <c r="C209" s="3">
        <v>38254</v>
      </c>
      <c r="D209" s="4">
        <f>YEAR(Table1[[#This Row],[Date]])</f>
        <v>2004</v>
      </c>
      <c r="E209" s="2" t="s">
        <v>2085</v>
      </c>
      <c r="F209" s="4">
        <v>67</v>
      </c>
      <c r="G209" s="5">
        <v>203.35912709646638</v>
      </c>
      <c r="H209" s="6" t="s">
        <v>2086</v>
      </c>
    </row>
    <row r="210" spans="1:8">
      <c r="A210" s="1">
        <v>218</v>
      </c>
      <c r="B210" s="2" t="s">
        <v>2100</v>
      </c>
      <c r="C210" s="3">
        <v>38441</v>
      </c>
      <c r="D210" s="4">
        <f>YEAR(Table1[[#This Row],[Date]])</f>
        <v>2005</v>
      </c>
      <c r="E210" s="2" t="s">
        <v>2097</v>
      </c>
      <c r="F210" s="4">
        <v>23</v>
      </c>
      <c r="G210" s="5">
        <v>71.412597536524615</v>
      </c>
      <c r="H210" s="6" t="s">
        <v>2086</v>
      </c>
    </row>
    <row r="211" spans="1:8">
      <c r="A211" s="1">
        <v>219</v>
      </c>
      <c r="B211" s="2" t="s">
        <v>2093</v>
      </c>
      <c r="C211" s="3">
        <v>38386</v>
      </c>
      <c r="D211" s="4">
        <f>YEAR(Table1[[#This Row],[Date]])</f>
        <v>2005</v>
      </c>
      <c r="E211" s="2" t="s">
        <v>2085</v>
      </c>
      <c r="F211" s="4">
        <v>41</v>
      </c>
      <c r="G211" s="5">
        <v>125.23475441561757</v>
      </c>
      <c r="H211" s="6" t="s">
        <v>2096</v>
      </c>
    </row>
    <row r="212" spans="1:8">
      <c r="A212" s="1">
        <v>220</v>
      </c>
      <c r="B212" s="2" t="s">
        <v>2087</v>
      </c>
      <c r="C212" s="3">
        <v>38001</v>
      </c>
      <c r="D212" s="4">
        <f>YEAR(Table1[[#This Row],[Date]])</f>
        <v>2004</v>
      </c>
      <c r="E212" s="2" t="s">
        <v>2097</v>
      </c>
      <c r="F212" s="4">
        <v>27</v>
      </c>
      <c r="G212" s="5">
        <v>83.195110350521588</v>
      </c>
      <c r="H212" s="6" t="s">
        <v>2090</v>
      </c>
    </row>
    <row r="213" spans="1:8">
      <c r="A213" s="1">
        <v>221</v>
      </c>
      <c r="B213" s="2" t="s">
        <v>2095</v>
      </c>
      <c r="C213" s="3">
        <v>38980</v>
      </c>
      <c r="D213" s="4">
        <f>YEAR(Table1[[#This Row],[Date]])</f>
        <v>2006</v>
      </c>
      <c r="E213" s="2" t="s">
        <v>2085</v>
      </c>
      <c r="F213" s="4">
        <v>56</v>
      </c>
      <c r="G213" s="5">
        <v>170.17512557022724</v>
      </c>
      <c r="H213" s="6" t="s">
        <v>2086</v>
      </c>
    </row>
    <row r="214" spans="1:8">
      <c r="A214" s="1">
        <v>222</v>
      </c>
      <c r="B214" s="2" t="s">
        <v>2087</v>
      </c>
      <c r="C214" s="3">
        <v>38188</v>
      </c>
      <c r="D214" s="4">
        <f>YEAR(Table1[[#This Row],[Date]])</f>
        <v>2004</v>
      </c>
      <c r="E214" s="2" t="s">
        <v>2097</v>
      </c>
      <c r="F214" s="4">
        <v>67</v>
      </c>
      <c r="G214" s="5">
        <v>203.35311949602652</v>
      </c>
      <c r="H214" s="6" t="s">
        <v>2090</v>
      </c>
    </row>
    <row r="215" spans="1:8">
      <c r="A215" s="1">
        <v>223</v>
      </c>
      <c r="B215" s="2" t="s">
        <v>2080</v>
      </c>
      <c r="C215" s="3">
        <v>38243</v>
      </c>
      <c r="D215" s="4">
        <f>YEAR(Table1[[#This Row],[Date]])</f>
        <v>2004</v>
      </c>
      <c r="E215" s="2" t="s">
        <v>2085</v>
      </c>
      <c r="F215" s="4">
        <v>94</v>
      </c>
      <c r="G215" s="5">
        <v>283.74141758000144</v>
      </c>
      <c r="H215" s="6" t="s">
        <v>2090</v>
      </c>
    </row>
    <row r="216" spans="1:8">
      <c r="A216" s="1">
        <v>224</v>
      </c>
      <c r="B216" s="2" t="s">
        <v>2095</v>
      </c>
      <c r="C216" s="3">
        <v>38265</v>
      </c>
      <c r="D216" s="4">
        <f>YEAR(Table1[[#This Row],[Date]])</f>
        <v>2004</v>
      </c>
      <c r="E216" s="2" t="s">
        <v>2094</v>
      </c>
      <c r="F216" s="4">
        <v>52</v>
      </c>
      <c r="G216" s="5">
        <v>158.2973319694853</v>
      </c>
      <c r="H216" s="6" t="s">
        <v>2090</v>
      </c>
    </row>
    <row r="217" spans="1:8">
      <c r="A217" s="1">
        <v>225</v>
      </c>
      <c r="B217" s="2" t="s">
        <v>2091</v>
      </c>
      <c r="C217" s="3">
        <v>38023</v>
      </c>
      <c r="D217" s="4">
        <f>YEAR(Table1[[#This Row],[Date]])</f>
        <v>2004</v>
      </c>
      <c r="E217" s="2" t="s">
        <v>2088</v>
      </c>
      <c r="F217" s="4">
        <v>24</v>
      </c>
      <c r="G217" s="5">
        <v>74.243899422562194</v>
      </c>
      <c r="H217" s="6" t="s">
        <v>2090</v>
      </c>
    </row>
    <row r="218" spans="1:8">
      <c r="A218" s="1">
        <v>226</v>
      </c>
      <c r="B218" s="2" t="s">
        <v>2099</v>
      </c>
      <c r="C218" s="3">
        <v>38144</v>
      </c>
      <c r="D218" s="4">
        <f>YEAR(Table1[[#This Row],[Date]])</f>
        <v>2004</v>
      </c>
      <c r="E218" s="2" t="s">
        <v>2081</v>
      </c>
      <c r="F218" s="4">
        <v>1</v>
      </c>
      <c r="G218" s="5">
        <v>0.91770776800017373</v>
      </c>
      <c r="H218" s="6" t="s">
        <v>2082</v>
      </c>
    </row>
    <row r="219" spans="1:8">
      <c r="A219" s="1">
        <v>227</v>
      </c>
      <c r="B219" s="2" t="s">
        <v>2084</v>
      </c>
      <c r="C219" s="3">
        <v>38738</v>
      </c>
      <c r="D219" s="4">
        <f>YEAR(Table1[[#This Row],[Date]])</f>
        <v>2006</v>
      </c>
      <c r="E219" s="2" t="s">
        <v>2094</v>
      </c>
      <c r="F219" s="4">
        <v>37</v>
      </c>
      <c r="G219" s="5">
        <v>112.52158206006119</v>
      </c>
      <c r="H219" s="6" t="s">
        <v>2082</v>
      </c>
    </row>
    <row r="220" spans="1:8">
      <c r="A220" s="1">
        <v>228</v>
      </c>
      <c r="B220" s="2" t="s">
        <v>2080</v>
      </c>
      <c r="C220" s="3">
        <v>38771</v>
      </c>
      <c r="D220" s="4">
        <f>YEAR(Table1[[#This Row],[Date]])</f>
        <v>2006</v>
      </c>
      <c r="E220" s="2" t="s">
        <v>2085</v>
      </c>
      <c r="F220" s="4">
        <v>63</v>
      </c>
      <c r="G220" s="5">
        <v>191.4542393048981</v>
      </c>
      <c r="H220" s="6" t="s">
        <v>2082</v>
      </c>
    </row>
    <row r="221" spans="1:8">
      <c r="A221" s="1">
        <v>229</v>
      </c>
      <c r="B221" s="2" t="s">
        <v>2100</v>
      </c>
      <c r="C221" s="3">
        <v>38089</v>
      </c>
      <c r="D221" s="4">
        <f>YEAR(Table1[[#This Row],[Date]])</f>
        <v>2004</v>
      </c>
      <c r="E221" s="2" t="s">
        <v>2081</v>
      </c>
      <c r="F221" s="4">
        <v>13</v>
      </c>
      <c r="G221" s="5">
        <v>41.010346846521706</v>
      </c>
      <c r="H221" s="6" t="s">
        <v>2090</v>
      </c>
    </row>
    <row r="222" spans="1:8">
      <c r="A222" s="1">
        <v>230</v>
      </c>
      <c r="B222" s="2" t="s">
        <v>2084</v>
      </c>
      <c r="C222" s="3">
        <v>39046</v>
      </c>
      <c r="D222" s="4">
        <f>YEAR(Table1[[#This Row],[Date]])</f>
        <v>2006</v>
      </c>
      <c r="E222" s="2" t="s">
        <v>2081</v>
      </c>
      <c r="F222" s="4">
        <v>7</v>
      </c>
      <c r="G222" s="5">
        <v>22.334877359058812</v>
      </c>
      <c r="H222" s="6" t="s">
        <v>2090</v>
      </c>
    </row>
    <row r="223" spans="1:8">
      <c r="A223" s="1">
        <v>231</v>
      </c>
      <c r="B223" s="2" t="s">
        <v>2091</v>
      </c>
      <c r="C223" s="3">
        <v>38067</v>
      </c>
      <c r="D223" s="4">
        <f>YEAR(Table1[[#This Row],[Date]])</f>
        <v>2004</v>
      </c>
      <c r="E223" s="2" t="s">
        <v>2081</v>
      </c>
      <c r="F223" s="4">
        <v>64</v>
      </c>
      <c r="G223" s="5">
        <v>193.83879299726061</v>
      </c>
      <c r="H223" s="6" t="s">
        <v>2090</v>
      </c>
    </row>
    <row r="224" spans="1:8">
      <c r="A224" s="1">
        <v>232</v>
      </c>
      <c r="B224" s="2" t="s">
        <v>2087</v>
      </c>
      <c r="C224" s="3">
        <v>38144</v>
      </c>
      <c r="D224" s="4">
        <f>YEAR(Table1[[#This Row],[Date]])</f>
        <v>2004</v>
      </c>
      <c r="E224" s="2" t="s">
        <v>2081</v>
      </c>
      <c r="F224" s="4">
        <v>63</v>
      </c>
      <c r="G224" s="5">
        <v>190.90668689411601</v>
      </c>
      <c r="H224" s="6" t="s">
        <v>2086</v>
      </c>
    </row>
    <row r="225" spans="1:8">
      <c r="A225" s="1">
        <v>233</v>
      </c>
      <c r="B225" s="2" t="s">
        <v>2098</v>
      </c>
      <c r="C225" s="3">
        <v>38210</v>
      </c>
      <c r="D225" s="4">
        <f>YEAR(Table1[[#This Row],[Date]])</f>
        <v>2004</v>
      </c>
      <c r="E225" s="2" t="s">
        <v>2097</v>
      </c>
      <c r="F225" s="4">
        <v>57</v>
      </c>
      <c r="G225" s="5">
        <v>173.59022125804509</v>
      </c>
      <c r="H225" s="6" t="s">
        <v>2086</v>
      </c>
    </row>
    <row r="226" spans="1:8">
      <c r="A226" s="1">
        <v>234</v>
      </c>
      <c r="B226" s="2" t="s">
        <v>2098</v>
      </c>
      <c r="C226" s="3">
        <v>38298</v>
      </c>
      <c r="D226" s="4">
        <f>YEAR(Table1[[#This Row],[Date]])</f>
        <v>2004</v>
      </c>
      <c r="E226" s="2" t="s">
        <v>2097</v>
      </c>
      <c r="F226" s="4">
        <v>59</v>
      </c>
      <c r="G226" s="5">
        <v>178.9266502635322</v>
      </c>
      <c r="H226" s="6" t="s">
        <v>2096</v>
      </c>
    </row>
    <row r="227" spans="1:8">
      <c r="A227" s="1">
        <v>235</v>
      </c>
      <c r="B227" s="2" t="s">
        <v>2099</v>
      </c>
      <c r="C227" s="3">
        <v>38342</v>
      </c>
      <c r="D227" s="4">
        <f>YEAR(Table1[[#This Row],[Date]])</f>
        <v>2004</v>
      </c>
      <c r="E227" s="2" t="s">
        <v>2085</v>
      </c>
      <c r="F227" s="4">
        <v>3</v>
      </c>
      <c r="G227" s="5">
        <v>7.2637597489178187</v>
      </c>
      <c r="H227" s="6" t="s">
        <v>2086</v>
      </c>
    </row>
    <row r="228" spans="1:8">
      <c r="A228" s="1">
        <v>236</v>
      </c>
      <c r="B228" s="2" t="s">
        <v>2100</v>
      </c>
      <c r="C228" s="3">
        <v>38991</v>
      </c>
      <c r="D228" s="4">
        <f>YEAR(Table1[[#This Row],[Date]])</f>
        <v>2006</v>
      </c>
      <c r="E228" s="2" t="s">
        <v>2081</v>
      </c>
      <c r="F228" s="4">
        <v>86</v>
      </c>
      <c r="G228" s="5">
        <v>260.32907018535167</v>
      </c>
      <c r="H228" s="6" t="s">
        <v>2082</v>
      </c>
    </row>
    <row r="229" spans="1:8">
      <c r="A229" s="1">
        <v>237</v>
      </c>
      <c r="B229" s="2" t="s">
        <v>2095</v>
      </c>
      <c r="C229" s="3">
        <v>38254</v>
      </c>
      <c r="D229" s="4">
        <f>YEAR(Table1[[#This Row],[Date]])</f>
        <v>2004</v>
      </c>
      <c r="E229" s="2" t="s">
        <v>2094</v>
      </c>
      <c r="F229" s="4">
        <v>4</v>
      </c>
      <c r="G229" s="5">
        <v>9.9939520680829617</v>
      </c>
      <c r="H229" s="6" t="s">
        <v>2096</v>
      </c>
    </row>
    <row r="230" spans="1:8">
      <c r="A230" s="1">
        <v>238</v>
      </c>
      <c r="B230" s="2" t="s">
        <v>2087</v>
      </c>
      <c r="C230" s="3">
        <v>38353</v>
      </c>
      <c r="D230" s="4">
        <f>YEAR(Table1[[#This Row],[Date]])</f>
        <v>2005</v>
      </c>
      <c r="E230" s="2" t="s">
        <v>2081</v>
      </c>
      <c r="F230" s="4">
        <v>7</v>
      </c>
      <c r="G230" s="5">
        <v>23.654332569914828</v>
      </c>
      <c r="H230" s="6" t="s">
        <v>2090</v>
      </c>
    </row>
    <row r="231" spans="1:8">
      <c r="A231" s="1">
        <v>239</v>
      </c>
      <c r="B231" s="2" t="s">
        <v>2100</v>
      </c>
      <c r="C231" s="3">
        <v>38991</v>
      </c>
      <c r="D231" s="4">
        <f>YEAR(Table1[[#This Row],[Date]])</f>
        <v>2006</v>
      </c>
      <c r="E231" s="2" t="s">
        <v>2081</v>
      </c>
      <c r="F231" s="4">
        <v>43</v>
      </c>
      <c r="G231" s="5">
        <v>131.67769291502447</v>
      </c>
      <c r="H231" s="6" t="s">
        <v>2096</v>
      </c>
    </row>
    <row r="232" spans="1:8">
      <c r="A232" s="1">
        <v>240</v>
      </c>
      <c r="B232" s="2" t="s">
        <v>2098</v>
      </c>
      <c r="C232" s="3">
        <v>38661</v>
      </c>
      <c r="D232" s="4">
        <f>YEAR(Table1[[#This Row],[Date]])</f>
        <v>2005</v>
      </c>
      <c r="E232" s="2" t="s">
        <v>2081</v>
      </c>
      <c r="F232" s="4">
        <v>2</v>
      </c>
      <c r="G232" s="5">
        <v>7.6348447793459382</v>
      </c>
      <c r="H232" s="6" t="s">
        <v>2082</v>
      </c>
    </row>
    <row r="233" spans="1:8">
      <c r="A233" s="1">
        <v>241</v>
      </c>
      <c r="B233" s="2" t="s">
        <v>2098</v>
      </c>
      <c r="C233" s="3">
        <v>38474</v>
      </c>
      <c r="D233" s="4">
        <f>YEAR(Table1[[#This Row],[Date]])</f>
        <v>2005</v>
      </c>
      <c r="E233" s="2" t="s">
        <v>2097</v>
      </c>
      <c r="F233" s="4">
        <v>85</v>
      </c>
      <c r="G233" s="5">
        <v>256.87957020946436</v>
      </c>
      <c r="H233" s="6" t="s">
        <v>2086</v>
      </c>
    </row>
    <row r="234" spans="1:8">
      <c r="A234" s="1">
        <v>242</v>
      </c>
      <c r="B234" s="2" t="s">
        <v>2098</v>
      </c>
      <c r="C234" s="3">
        <v>38463</v>
      </c>
      <c r="D234" s="4">
        <f>YEAR(Table1[[#This Row],[Date]])</f>
        <v>2005</v>
      </c>
      <c r="E234" s="2" t="s">
        <v>2094</v>
      </c>
      <c r="F234" s="4">
        <v>52</v>
      </c>
      <c r="G234" s="5">
        <v>158.18704198984506</v>
      </c>
      <c r="H234" s="6" t="s">
        <v>2086</v>
      </c>
    </row>
    <row r="235" spans="1:8">
      <c r="A235" s="1">
        <v>243</v>
      </c>
      <c r="B235" s="2" t="s">
        <v>2093</v>
      </c>
      <c r="C235" s="3">
        <v>38177</v>
      </c>
      <c r="D235" s="4">
        <f>YEAR(Table1[[#This Row],[Date]])</f>
        <v>2004</v>
      </c>
      <c r="E235" s="2" t="s">
        <v>2088</v>
      </c>
      <c r="F235" s="4">
        <v>3</v>
      </c>
      <c r="G235" s="5">
        <v>7.3950210500886264</v>
      </c>
      <c r="H235" s="6" t="s">
        <v>2082</v>
      </c>
    </row>
    <row r="236" spans="1:8">
      <c r="A236" s="1">
        <v>244</v>
      </c>
      <c r="B236" s="2" t="s">
        <v>2095</v>
      </c>
      <c r="C236" s="3">
        <v>38408</v>
      </c>
      <c r="D236" s="4">
        <f>YEAR(Table1[[#This Row],[Date]])</f>
        <v>2005</v>
      </c>
      <c r="E236" s="2" t="s">
        <v>2094</v>
      </c>
      <c r="F236" s="4">
        <v>8</v>
      </c>
      <c r="G236" s="5">
        <v>25.546689047987762</v>
      </c>
      <c r="H236" s="6" t="s">
        <v>2096</v>
      </c>
    </row>
    <row r="237" spans="1:8">
      <c r="A237" s="1">
        <v>245</v>
      </c>
      <c r="B237" s="2" t="s">
        <v>2100</v>
      </c>
      <c r="C237" s="3">
        <v>38177</v>
      </c>
      <c r="D237" s="4">
        <f>YEAR(Table1[[#This Row],[Date]])</f>
        <v>2004</v>
      </c>
      <c r="E237" s="2" t="s">
        <v>2097</v>
      </c>
      <c r="F237" s="4">
        <v>5</v>
      </c>
      <c r="G237" s="5">
        <v>17.198905576452098</v>
      </c>
      <c r="H237" s="6" t="s">
        <v>2096</v>
      </c>
    </row>
    <row r="238" spans="1:8">
      <c r="A238" s="1">
        <v>246</v>
      </c>
      <c r="B238" s="2" t="s">
        <v>2084</v>
      </c>
      <c r="C238" s="3">
        <v>38958</v>
      </c>
      <c r="D238" s="4">
        <f>YEAR(Table1[[#This Row],[Date]])</f>
        <v>2006</v>
      </c>
      <c r="E238" s="2" t="s">
        <v>2097</v>
      </c>
      <c r="F238" s="4">
        <v>90</v>
      </c>
      <c r="G238" s="5">
        <v>272.09870438545738</v>
      </c>
      <c r="H238" s="6" t="s">
        <v>2082</v>
      </c>
    </row>
    <row r="239" spans="1:8">
      <c r="A239" s="1">
        <v>247</v>
      </c>
      <c r="B239" s="2" t="s">
        <v>2080</v>
      </c>
      <c r="C239" s="3">
        <v>39035</v>
      </c>
      <c r="D239" s="4">
        <f>YEAR(Table1[[#This Row],[Date]])</f>
        <v>2006</v>
      </c>
      <c r="E239" s="2" t="s">
        <v>2097</v>
      </c>
      <c r="F239" s="4">
        <v>36</v>
      </c>
      <c r="G239" s="5">
        <v>110.33744975059108</v>
      </c>
      <c r="H239" s="6" t="s">
        <v>2096</v>
      </c>
    </row>
    <row r="240" spans="1:8">
      <c r="A240" s="1">
        <v>248</v>
      </c>
      <c r="B240" s="2" t="s">
        <v>2091</v>
      </c>
      <c r="C240" s="3">
        <v>38584</v>
      </c>
      <c r="D240" s="4">
        <f>YEAR(Table1[[#This Row],[Date]])</f>
        <v>2005</v>
      </c>
      <c r="E240" s="2" t="s">
        <v>2097</v>
      </c>
      <c r="F240" s="4">
        <v>25</v>
      </c>
      <c r="G240" s="5">
        <v>77.014900645073141</v>
      </c>
      <c r="H240" s="6" t="s">
        <v>2090</v>
      </c>
    </row>
    <row r="241" spans="1:8">
      <c r="A241" s="1">
        <v>249</v>
      </c>
      <c r="B241" s="2" t="s">
        <v>2080</v>
      </c>
      <c r="C241" s="3">
        <v>38430</v>
      </c>
      <c r="D241" s="4">
        <f>YEAR(Table1[[#This Row],[Date]])</f>
        <v>2005</v>
      </c>
      <c r="E241" s="2" t="s">
        <v>2097</v>
      </c>
      <c r="F241" s="4">
        <v>7</v>
      </c>
      <c r="G241" s="5">
        <v>23.133204884254319</v>
      </c>
      <c r="H241" s="6" t="s">
        <v>2096</v>
      </c>
    </row>
    <row r="242" spans="1:8">
      <c r="A242" s="1">
        <v>250</v>
      </c>
      <c r="B242" s="2" t="s">
        <v>2093</v>
      </c>
      <c r="C242" s="3">
        <v>39024</v>
      </c>
      <c r="D242" s="4">
        <f>YEAR(Table1[[#This Row],[Date]])</f>
        <v>2006</v>
      </c>
      <c r="E242" s="2" t="s">
        <v>2097</v>
      </c>
      <c r="F242" s="4">
        <v>64</v>
      </c>
      <c r="G242" s="5">
        <v>194.25372471684716</v>
      </c>
      <c r="H242" s="6" t="s">
        <v>2096</v>
      </c>
    </row>
    <row r="243" spans="1:8">
      <c r="A243" s="1">
        <v>251</v>
      </c>
      <c r="B243" s="2" t="s">
        <v>2093</v>
      </c>
      <c r="C243" s="3">
        <v>38111</v>
      </c>
      <c r="D243" s="4">
        <f>YEAR(Table1[[#This Row],[Date]])</f>
        <v>2004</v>
      </c>
      <c r="E243" s="2" t="s">
        <v>2097</v>
      </c>
      <c r="F243" s="4">
        <v>71</v>
      </c>
      <c r="G243" s="5">
        <v>215.49309366005642</v>
      </c>
      <c r="H243" s="6" t="s">
        <v>2090</v>
      </c>
    </row>
    <row r="244" spans="1:8">
      <c r="A244" s="1">
        <v>252</v>
      </c>
      <c r="B244" s="2" t="s">
        <v>2087</v>
      </c>
      <c r="C244" s="3">
        <v>38452</v>
      </c>
      <c r="D244" s="4">
        <f>YEAR(Table1[[#This Row],[Date]])</f>
        <v>2005</v>
      </c>
      <c r="E244" s="2" t="s">
        <v>2094</v>
      </c>
      <c r="F244" s="4">
        <v>41</v>
      </c>
      <c r="G244" s="5">
        <v>124.81042324173134</v>
      </c>
      <c r="H244" s="6" t="s">
        <v>2096</v>
      </c>
    </row>
    <row r="245" spans="1:8">
      <c r="A245" s="1">
        <v>253</v>
      </c>
      <c r="B245" s="2" t="s">
        <v>2087</v>
      </c>
      <c r="C245" s="3">
        <v>38254</v>
      </c>
      <c r="D245" s="4">
        <f>YEAR(Table1[[#This Row],[Date]])</f>
        <v>2004</v>
      </c>
      <c r="E245" s="2" t="s">
        <v>2085</v>
      </c>
      <c r="F245" s="4">
        <v>84</v>
      </c>
      <c r="G245" s="5">
        <v>253.28617965312779</v>
      </c>
      <c r="H245" s="6" t="s">
        <v>2096</v>
      </c>
    </row>
    <row r="246" spans="1:8">
      <c r="A246" s="1">
        <v>254</v>
      </c>
      <c r="B246" s="2" t="s">
        <v>2098</v>
      </c>
      <c r="C246" s="3">
        <v>38441</v>
      </c>
      <c r="D246" s="4">
        <f>YEAR(Table1[[#This Row],[Date]])</f>
        <v>2005</v>
      </c>
      <c r="E246" s="2" t="s">
        <v>2094</v>
      </c>
      <c r="F246" s="4">
        <v>3</v>
      </c>
      <c r="G246" s="5">
        <v>10.703015398687583</v>
      </c>
      <c r="H246" s="6" t="s">
        <v>2096</v>
      </c>
    </row>
    <row r="247" spans="1:8">
      <c r="A247" s="1">
        <v>255</v>
      </c>
      <c r="B247" s="2" t="s">
        <v>2087</v>
      </c>
      <c r="C247" s="3">
        <v>38078</v>
      </c>
      <c r="D247" s="4">
        <f>YEAR(Table1[[#This Row],[Date]])</f>
        <v>2004</v>
      </c>
      <c r="E247" s="2" t="s">
        <v>2085</v>
      </c>
      <c r="F247" s="4">
        <v>15</v>
      </c>
      <c r="G247" s="5">
        <v>46.761676481443232</v>
      </c>
      <c r="H247" s="6" t="s">
        <v>2090</v>
      </c>
    </row>
    <row r="248" spans="1:8">
      <c r="A248" s="1">
        <v>256</v>
      </c>
      <c r="B248" s="2" t="s">
        <v>2084</v>
      </c>
      <c r="C248" s="3">
        <v>38023</v>
      </c>
      <c r="D248" s="4">
        <f>YEAR(Table1[[#This Row],[Date]])</f>
        <v>2004</v>
      </c>
      <c r="E248" s="2" t="s">
        <v>2094</v>
      </c>
      <c r="F248" s="4">
        <v>1</v>
      </c>
      <c r="G248" s="5">
        <v>4.8820462029427096</v>
      </c>
      <c r="H248" s="6" t="s">
        <v>2082</v>
      </c>
    </row>
    <row r="249" spans="1:8">
      <c r="A249" s="1">
        <v>257</v>
      </c>
      <c r="B249" s="2" t="s">
        <v>2084</v>
      </c>
      <c r="C249" s="3">
        <v>38540</v>
      </c>
      <c r="D249" s="4">
        <f>YEAR(Table1[[#This Row],[Date]])</f>
        <v>2005</v>
      </c>
      <c r="E249" s="2" t="s">
        <v>2097</v>
      </c>
      <c r="F249" s="4">
        <v>10</v>
      </c>
      <c r="G249" s="5">
        <v>32.468400196905996</v>
      </c>
      <c r="H249" s="6" t="s">
        <v>2096</v>
      </c>
    </row>
    <row r="250" spans="1:8">
      <c r="A250" s="1">
        <v>258</v>
      </c>
      <c r="B250" s="2" t="s">
        <v>2098</v>
      </c>
      <c r="C250" s="3">
        <v>38364</v>
      </c>
      <c r="D250" s="4">
        <f>YEAR(Table1[[#This Row],[Date]])</f>
        <v>2005</v>
      </c>
      <c r="E250" s="2" t="s">
        <v>2094</v>
      </c>
      <c r="F250" s="4">
        <v>77</v>
      </c>
      <c r="G250" s="5">
        <v>233.3993347830984</v>
      </c>
      <c r="H250" s="6" t="s">
        <v>2090</v>
      </c>
    </row>
    <row r="251" spans="1:8">
      <c r="A251" s="1">
        <v>259</v>
      </c>
      <c r="B251" s="2" t="s">
        <v>2093</v>
      </c>
      <c r="C251" s="3">
        <v>38397</v>
      </c>
      <c r="D251" s="4">
        <f>YEAR(Table1[[#This Row],[Date]])</f>
        <v>2005</v>
      </c>
      <c r="E251" s="2" t="s">
        <v>2088</v>
      </c>
      <c r="F251" s="4">
        <v>65</v>
      </c>
      <c r="G251" s="5">
        <v>196.49346597044766</v>
      </c>
      <c r="H251" s="6" t="s">
        <v>2082</v>
      </c>
    </row>
    <row r="252" spans="1:8">
      <c r="A252" s="1">
        <v>260</v>
      </c>
      <c r="B252" s="2" t="s">
        <v>2091</v>
      </c>
      <c r="C252" s="3">
        <v>38001</v>
      </c>
      <c r="D252" s="4">
        <f>YEAR(Table1[[#This Row],[Date]])</f>
        <v>2004</v>
      </c>
      <c r="E252" s="2" t="s">
        <v>2094</v>
      </c>
      <c r="F252" s="4">
        <v>25</v>
      </c>
      <c r="G252" s="5">
        <v>77.329572231774151</v>
      </c>
      <c r="H252" s="6" t="s">
        <v>2086</v>
      </c>
    </row>
    <row r="253" spans="1:8">
      <c r="A253" s="1">
        <v>261</v>
      </c>
      <c r="B253" s="2" t="s">
        <v>2100</v>
      </c>
      <c r="C253" s="3">
        <v>38914</v>
      </c>
      <c r="D253" s="4">
        <f>YEAR(Table1[[#This Row],[Date]])</f>
        <v>2006</v>
      </c>
      <c r="E253" s="2" t="s">
        <v>2097</v>
      </c>
      <c r="F253" s="4">
        <v>1</v>
      </c>
      <c r="G253" s="5">
        <v>1.930462865623249</v>
      </c>
      <c r="H253" s="6" t="s">
        <v>2082</v>
      </c>
    </row>
    <row r="254" spans="1:8">
      <c r="A254" s="1">
        <v>262</v>
      </c>
      <c r="B254" s="2" t="s">
        <v>2099</v>
      </c>
      <c r="C254" s="3">
        <v>38958</v>
      </c>
      <c r="D254" s="4">
        <f>YEAR(Table1[[#This Row],[Date]])</f>
        <v>2006</v>
      </c>
      <c r="E254" s="2" t="s">
        <v>2085</v>
      </c>
      <c r="F254" s="4">
        <v>2</v>
      </c>
      <c r="G254" s="5">
        <v>7.9709250117717731</v>
      </c>
      <c r="H254" s="6" t="s">
        <v>2086</v>
      </c>
    </row>
    <row r="255" spans="1:8">
      <c r="A255" s="1">
        <v>263</v>
      </c>
      <c r="B255" s="2" t="s">
        <v>2091</v>
      </c>
      <c r="C255" s="3">
        <v>39024</v>
      </c>
      <c r="D255" s="4">
        <f>YEAR(Table1[[#This Row],[Date]])</f>
        <v>2006</v>
      </c>
      <c r="E255" s="2" t="s">
        <v>2081</v>
      </c>
      <c r="F255" s="4">
        <v>62</v>
      </c>
      <c r="G255" s="5">
        <v>187.61965072290988</v>
      </c>
      <c r="H255" s="6" t="s">
        <v>2086</v>
      </c>
    </row>
    <row r="256" spans="1:8">
      <c r="A256" s="1">
        <v>264</v>
      </c>
      <c r="B256" s="2" t="s">
        <v>2093</v>
      </c>
      <c r="C256" s="3">
        <v>38485</v>
      </c>
      <c r="D256" s="4">
        <f>YEAR(Table1[[#This Row],[Date]])</f>
        <v>2005</v>
      </c>
      <c r="E256" s="2" t="s">
        <v>2085</v>
      </c>
      <c r="F256" s="4">
        <v>28</v>
      </c>
      <c r="G256" s="5">
        <v>86.788113277044275</v>
      </c>
      <c r="H256" s="6" t="s">
        <v>2090</v>
      </c>
    </row>
    <row r="257" spans="1:8">
      <c r="A257" s="1">
        <v>265</v>
      </c>
      <c r="B257" s="2" t="s">
        <v>2084</v>
      </c>
      <c r="C257" s="3">
        <v>38551</v>
      </c>
      <c r="D257" s="4">
        <f>YEAR(Table1[[#This Row],[Date]])</f>
        <v>2005</v>
      </c>
      <c r="E257" s="2" t="s">
        <v>2094</v>
      </c>
      <c r="F257" s="4">
        <v>55</v>
      </c>
      <c r="G257" s="5">
        <v>167.05079786120268</v>
      </c>
      <c r="H257" s="6" t="s">
        <v>2082</v>
      </c>
    </row>
    <row r="258" spans="1:8">
      <c r="A258" s="1">
        <v>266</v>
      </c>
      <c r="B258" s="2" t="s">
        <v>2093</v>
      </c>
      <c r="C258" s="3">
        <v>38518</v>
      </c>
      <c r="D258" s="4">
        <f>YEAR(Table1[[#This Row],[Date]])</f>
        <v>2005</v>
      </c>
      <c r="E258" s="2" t="s">
        <v>2081</v>
      </c>
      <c r="F258" s="4">
        <v>28</v>
      </c>
      <c r="G258" s="5">
        <v>86.636057383669893</v>
      </c>
      <c r="H258" s="6" t="s">
        <v>2082</v>
      </c>
    </row>
    <row r="259" spans="1:8">
      <c r="A259" s="1">
        <v>267</v>
      </c>
      <c r="B259" s="2" t="s">
        <v>2095</v>
      </c>
      <c r="C259" s="3">
        <v>38562</v>
      </c>
      <c r="D259" s="4">
        <f>YEAR(Table1[[#This Row],[Date]])</f>
        <v>2005</v>
      </c>
      <c r="E259" s="2" t="s">
        <v>2085</v>
      </c>
      <c r="F259" s="4">
        <v>5</v>
      </c>
      <c r="G259" s="5">
        <v>16.670839286326668</v>
      </c>
      <c r="H259" s="6" t="s">
        <v>2082</v>
      </c>
    </row>
    <row r="260" spans="1:8">
      <c r="A260" s="1">
        <v>268</v>
      </c>
      <c r="B260" s="2" t="s">
        <v>2095</v>
      </c>
      <c r="C260" s="3">
        <v>38298</v>
      </c>
      <c r="D260" s="4">
        <f>YEAR(Table1[[#This Row],[Date]])</f>
        <v>2004</v>
      </c>
      <c r="E260" s="2" t="s">
        <v>2094</v>
      </c>
      <c r="F260" s="4">
        <v>1</v>
      </c>
      <c r="G260" s="5">
        <v>4.7722172541512009</v>
      </c>
      <c r="H260" s="6" t="s">
        <v>2096</v>
      </c>
    </row>
    <row r="261" spans="1:8">
      <c r="A261" s="1">
        <v>269</v>
      </c>
      <c r="B261" s="2" t="s">
        <v>2095</v>
      </c>
      <c r="C261" s="3">
        <v>38518</v>
      </c>
      <c r="D261" s="4">
        <f>YEAR(Table1[[#This Row],[Date]])</f>
        <v>2005</v>
      </c>
      <c r="E261" s="2" t="s">
        <v>2085</v>
      </c>
      <c r="F261" s="4">
        <v>26</v>
      </c>
      <c r="G261" s="5">
        <v>80.012011803068276</v>
      </c>
      <c r="H261" s="6" t="s">
        <v>2096</v>
      </c>
    </row>
    <row r="262" spans="1:8">
      <c r="A262" s="1">
        <v>270</v>
      </c>
      <c r="B262" s="2" t="s">
        <v>2091</v>
      </c>
      <c r="C262" s="3">
        <v>38144</v>
      </c>
      <c r="D262" s="4">
        <f>YEAR(Table1[[#This Row],[Date]])</f>
        <v>2004</v>
      </c>
      <c r="E262" s="2" t="s">
        <v>2085</v>
      </c>
      <c r="F262" s="4">
        <v>47</v>
      </c>
      <c r="G262" s="5">
        <v>142.84602668228962</v>
      </c>
      <c r="H262" s="6" t="s">
        <v>2082</v>
      </c>
    </row>
    <row r="263" spans="1:8">
      <c r="A263" s="1">
        <v>271</v>
      </c>
      <c r="B263" s="2" t="s">
        <v>2084</v>
      </c>
      <c r="C263" s="3">
        <v>38474</v>
      </c>
      <c r="D263" s="4">
        <f>YEAR(Table1[[#This Row],[Date]])</f>
        <v>2005</v>
      </c>
      <c r="E263" s="2" t="s">
        <v>2094</v>
      </c>
      <c r="F263" s="4">
        <v>74</v>
      </c>
      <c r="G263" s="5">
        <v>224.75435048565893</v>
      </c>
      <c r="H263" s="6" t="s">
        <v>2096</v>
      </c>
    </row>
    <row r="264" spans="1:8">
      <c r="A264" s="1">
        <v>272</v>
      </c>
      <c r="B264" s="2" t="s">
        <v>2100</v>
      </c>
      <c r="C264" s="3">
        <v>38848</v>
      </c>
      <c r="D264" s="4">
        <f>YEAR(Table1[[#This Row],[Date]])</f>
        <v>2006</v>
      </c>
      <c r="E264" s="2" t="s">
        <v>2081</v>
      </c>
      <c r="F264" s="4">
        <v>22</v>
      </c>
      <c r="G264" s="5">
        <v>68.710607050620922</v>
      </c>
      <c r="H264" s="6" t="s">
        <v>2086</v>
      </c>
    </row>
    <row r="265" spans="1:8">
      <c r="A265" s="1">
        <v>273</v>
      </c>
      <c r="B265" s="2" t="s">
        <v>2087</v>
      </c>
      <c r="C265" s="3">
        <v>38892</v>
      </c>
      <c r="D265" s="4">
        <f>YEAR(Table1[[#This Row],[Date]])</f>
        <v>2006</v>
      </c>
      <c r="E265" s="2" t="s">
        <v>2088</v>
      </c>
      <c r="F265" s="4">
        <v>70</v>
      </c>
      <c r="G265" s="5">
        <v>212.26238499892682</v>
      </c>
      <c r="H265" s="6" t="s">
        <v>2082</v>
      </c>
    </row>
    <row r="266" spans="1:8">
      <c r="A266" s="1">
        <v>274</v>
      </c>
      <c r="B266" s="2" t="s">
        <v>2100</v>
      </c>
      <c r="C266" s="3">
        <v>38683</v>
      </c>
      <c r="D266" s="4">
        <f>YEAR(Table1[[#This Row],[Date]])</f>
        <v>2005</v>
      </c>
      <c r="E266" s="2" t="s">
        <v>2085</v>
      </c>
      <c r="F266" s="4">
        <v>83</v>
      </c>
      <c r="G266" s="5">
        <v>251.31042576912338</v>
      </c>
      <c r="H266" s="6" t="s">
        <v>2086</v>
      </c>
    </row>
    <row r="267" spans="1:8">
      <c r="A267" s="1">
        <v>275</v>
      </c>
      <c r="B267" s="2" t="s">
        <v>2084</v>
      </c>
      <c r="C267" s="3">
        <v>38694</v>
      </c>
      <c r="D267" s="4">
        <f>YEAR(Table1[[#This Row],[Date]])</f>
        <v>2005</v>
      </c>
      <c r="E267" s="2" t="s">
        <v>2094</v>
      </c>
      <c r="F267" s="4">
        <v>59</v>
      </c>
      <c r="G267" s="5">
        <v>179.38546683395009</v>
      </c>
      <c r="H267" s="6" t="s">
        <v>2090</v>
      </c>
    </row>
    <row r="268" spans="1:8">
      <c r="A268" s="1">
        <v>276</v>
      </c>
      <c r="B268" s="2" t="s">
        <v>2100</v>
      </c>
      <c r="C268" s="3">
        <v>38573</v>
      </c>
      <c r="D268" s="4">
        <f>YEAR(Table1[[#This Row],[Date]])</f>
        <v>2005</v>
      </c>
      <c r="E268" s="2" t="s">
        <v>2097</v>
      </c>
      <c r="F268" s="4">
        <v>0</v>
      </c>
      <c r="G268" s="5">
        <v>1.5831115612014064</v>
      </c>
      <c r="H268" s="6" t="s">
        <v>2086</v>
      </c>
    </row>
    <row r="269" spans="1:8">
      <c r="A269" s="1">
        <v>277</v>
      </c>
      <c r="B269" s="2" t="s">
        <v>2084</v>
      </c>
      <c r="C269" s="3">
        <v>38364</v>
      </c>
      <c r="D269" s="4">
        <f>YEAR(Table1[[#This Row],[Date]])</f>
        <v>2005</v>
      </c>
      <c r="E269" s="2" t="s">
        <v>2094</v>
      </c>
      <c r="F269" s="4">
        <v>82</v>
      </c>
      <c r="G269" s="5">
        <v>247.58247918220624</v>
      </c>
      <c r="H269" s="6" t="s">
        <v>2090</v>
      </c>
    </row>
    <row r="270" spans="1:8">
      <c r="A270" s="1">
        <v>278</v>
      </c>
      <c r="B270" s="2" t="s">
        <v>2080</v>
      </c>
      <c r="C270" s="3">
        <v>38419</v>
      </c>
      <c r="D270" s="4">
        <f>YEAR(Table1[[#This Row],[Date]])</f>
        <v>2005</v>
      </c>
      <c r="E270" s="2" t="s">
        <v>2094</v>
      </c>
      <c r="F270" s="4">
        <v>29</v>
      </c>
      <c r="G270" s="5">
        <v>89.053128978062901</v>
      </c>
      <c r="H270" s="6" t="s">
        <v>2090</v>
      </c>
    </row>
    <row r="271" spans="1:8">
      <c r="A271" s="1">
        <v>279</v>
      </c>
      <c r="B271" s="2" t="s">
        <v>2100</v>
      </c>
      <c r="C271" s="3">
        <v>38122</v>
      </c>
      <c r="D271" s="4">
        <f>YEAR(Table1[[#This Row],[Date]])</f>
        <v>2004</v>
      </c>
      <c r="E271" s="2" t="s">
        <v>2085</v>
      </c>
      <c r="F271" s="4">
        <v>63</v>
      </c>
      <c r="G271" s="5">
        <v>191.08641465198994</v>
      </c>
      <c r="H271" s="6" t="s">
        <v>2096</v>
      </c>
    </row>
    <row r="272" spans="1:8">
      <c r="A272" s="1">
        <v>280</v>
      </c>
      <c r="B272" s="2" t="s">
        <v>2099</v>
      </c>
      <c r="C272" s="3">
        <v>38991</v>
      </c>
      <c r="D272" s="4">
        <f>YEAR(Table1[[#This Row],[Date]])</f>
        <v>2006</v>
      </c>
      <c r="E272" s="2" t="s">
        <v>2081</v>
      </c>
      <c r="F272" s="4">
        <v>67</v>
      </c>
      <c r="G272" s="5">
        <v>203.10846928946893</v>
      </c>
      <c r="H272" s="6" t="s">
        <v>2096</v>
      </c>
    </row>
    <row r="273" spans="1:8">
      <c r="A273" s="1">
        <v>281</v>
      </c>
      <c r="B273" s="2" t="s">
        <v>2095</v>
      </c>
      <c r="C273" s="3">
        <v>38562</v>
      </c>
      <c r="D273" s="4">
        <f>YEAR(Table1[[#This Row],[Date]])</f>
        <v>2005</v>
      </c>
      <c r="E273" s="2" t="s">
        <v>2094</v>
      </c>
      <c r="F273" s="4">
        <v>3</v>
      </c>
      <c r="G273" s="5">
        <v>10.780730703026945</v>
      </c>
      <c r="H273" s="6" t="s">
        <v>2096</v>
      </c>
    </row>
    <row r="274" spans="1:8">
      <c r="A274" s="1">
        <v>282</v>
      </c>
      <c r="B274" s="2" t="s">
        <v>2084</v>
      </c>
      <c r="C274" s="3">
        <v>38331</v>
      </c>
      <c r="D274" s="4">
        <f>YEAR(Table1[[#This Row],[Date]])</f>
        <v>2004</v>
      </c>
      <c r="E274" s="2" t="s">
        <v>2094</v>
      </c>
      <c r="F274" s="4">
        <v>65</v>
      </c>
      <c r="G274" s="5">
        <v>197.40778751122588</v>
      </c>
      <c r="H274" s="6" t="s">
        <v>2096</v>
      </c>
    </row>
    <row r="275" spans="1:8">
      <c r="A275" s="1">
        <v>283</v>
      </c>
      <c r="B275" s="2" t="s">
        <v>2098</v>
      </c>
      <c r="C275" s="3">
        <v>38133</v>
      </c>
      <c r="D275" s="4">
        <f>YEAR(Table1[[#This Row],[Date]])</f>
        <v>2004</v>
      </c>
      <c r="E275" s="2" t="s">
        <v>2088</v>
      </c>
      <c r="F275" s="4">
        <v>75</v>
      </c>
      <c r="G275" s="5">
        <v>227.4564792557687</v>
      </c>
      <c r="H275" s="6" t="s">
        <v>2090</v>
      </c>
    </row>
    <row r="276" spans="1:8">
      <c r="A276" s="1">
        <v>284</v>
      </c>
      <c r="B276" s="2" t="s">
        <v>2098</v>
      </c>
      <c r="C276" s="3">
        <v>38221</v>
      </c>
      <c r="D276" s="4">
        <f>YEAR(Table1[[#This Row],[Date]])</f>
        <v>2004</v>
      </c>
      <c r="E276" s="2" t="s">
        <v>2081</v>
      </c>
      <c r="F276" s="4">
        <v>79</v>
      </c>
      <c r="G276" s="5">
        <v>239.89546823670116</v>
      </c>
      <c r="H276" s="6" t="s">
        <v>2090</v>
      </c>
    </row>
    <row r="277" spans="1:8">
      <c r="A277" s="1">
        <v>285</v>
      </c>
      <c r="B277" s="2" t="s">
        <v>2099</v>
      </c>
      <c r="C277" s="3">
        <v>38947</v>
      </c>
      <c r="D277" s="4">
        <f>YEAR(Table1[[#This Row],[Date]])</f>
        <v>2006</v>
      </c>
      <c r="E277" s="2" t="s">
        <v>2097</v>
      </c>
      <c r="F277" s="4">
        <v>5</v>
      </c>
      <c r="G277" s="5">
        <v>12.920960169584891</v>
      </c>
      <c r="H277" s="6" t="s">
        <v>2086</v>
      </c>
    </row>
    <row r="278" spans="1:8">
      <c r="A278" s="1">
        <v>286</v>
      </c>
      <c r="B278" s="2" t="s">
        <v>2099</v>
      </c>
      <c r="C278" s="3">
        <v>38441</v>
      </c>
      <c r="D278" s="4">
        <f>YEAR(Table1[[#This Row],[Date]])</f>
        <v>2005</v>
      </c>
      <c r="E278" s="2" t="s">
        <v>2085</v>
      </c>
      <c r="F278" s="4">
        <v>31</v>
      </c>
      <c r="G278" s="5">
        <v>95.512317695132197</v>
      </c>
      <c r="H278" s="6" t="s">
        <v>2082</v>
      </c>
    </row>
    <row r="279" spans="1:8">
      <c r="A279" s="1">
        <v>287</v>
      </c>
      <c r="B279" s="2" t="s">
        <v>2087</v>
      </c>
      <c r="C279" s="3">
        <v>39068</v>
      </c>
      <c r="D279" s="4">
        <f>YEAR(Table1[[#This Row],[Date]])</f>
        <v>2006</v>
      </c>
      <c r="E279" s="2" t="s">
        <v>2097</v>
      </c>
      <c r="F279" s="4">
        <v>21</v>
      </c>
      <c r="G279" s="5">
        <v>65.343473312315112</v>
      </c>
      <c r="H279" s="6" t="s">
        <v>2082</v>
      </c>
    </row>
    <row r="280" spans="1:8">
      <c r="A280" s="1">
        <v>288</v>
      </c>
      <c r="B280" s="2" t="s">
        <v>2087</v>
      </c>
      <c r="C280" s="3">
        <v>38606</v>
      </c>
      <c r="D280" s="4">
        <f>YEAR(Table1[[#This Row],[Date]])</f>
        <v>2005</v>
      </c>
      <c r="E280" s="2" t="s">
        <v>2088</v>
      </c>
      <c r="F280" s="4">
        <v>8</v>
      </c>
      <c r="G280" s="5">
        <v>21.912545800386049</v>
      </c>
      <c r="H280" s="6" t="s">
        <v>2096</v>
      </c>
    </row>
    <row r="281" spans="1:8">
      <c r="A281" s="1">
        <v>289</v>
      </c>
      <c r="B281" s="2" t="s">
        <v>2099</v>
      </c>
      <c r="C281" s="3">
        <v>38540</v>
      </c>
      <c r="D281" s="4">
        <f>YEAR(Table1[[#This Row],[Date]])</f>
        <v>2005</v>
      </c>
      <c r="E281" s="2" t="s">
        <v>2088</v>
      </c>
      <c r="F281" s="4">
        <v>88</v>
      </c>
      <c r="G281" s="5">
        <v>266.0518691009172</v>
      </c>
      <c r="H281" s="6" t="s">
        <v>2090</v>
      </c>
    </row>
    <row r="282" spans="1:8">
      <c r="A282" s="1">
        <v>290</v>
      </c>
      <c r="B282" s="2" t="s">
        <v>2098</v>
      </c>
      <c r="C282" s="3">
        <v>38672</v>
      </c>
      <c r="D282" s="4">
        <f>YEAR(Table1[[#This Row],[Date]])</f>
        <v>2005</v>
      </c>
      <c r="E282" s="2" t="s">
        <v>2085</v>
      </c>
      <c r="F282" s="4">
        <v>94</v>
      </c>
      <c r="G282" s="5">
        <v>283.84678757282279</v>
      </c>
      <c r="H282" s="6" t="s">
        <v>2086</v>
      </c>
    </row>
    <row r="283" spans="1:8">
      <c r="A283" s="1">
        <v>291</v>
      </c>
      <c r="B283" s="2" t="s">
        <v>2091</v>
      </c>
      <c r="C283" s="3">
        <v>38991</v>
      </c>
      <c r="D283" s="4">
        <f>YEAR(Table1[[#This Row],[Date]])</f>
        <v>2006</v>
      </c>
      <c r="E283" s="2" t="s">
        <v>2097</v>
      </c>
      <c r="F283" s="4">
        <v>83</v>
      </c>
      <c r="G283" s="5">
        <v>251.49840546378712</v>
      </c>
      <c r="H283" s="6" t="s">
        <v>2086</v>
      </c>
    </row>
    <row r="284" spans="1:8">
      <c r="A284" s="1">
        <v>292</v>
      </c>
      <c r="B284" s="2" t="s">
        <v>2087</v>
      </c>
      <c r="C284" s="3">
        <v>38210</v>
      </c>
      <c r="D284" s="4">
        <f>YEAR(Table1[[#This Row],[Date]])</f>
        <v>2004</v>
      </c>
      <c r="E284" s="2" t="s">
        <v>2097</v>
      </c>
      <c r="F284" s="4">
        <v>16</v>
      </c>
      <c r="G284" s="5">
        <v>49.955539493154028</v>
      </c>
      <c r="H284" s="6" t="s">
        <v>2082</v>
      </c>
    </row>
    <row r="285" spans="1:8">
      <c r="A285" s="1">
        <v>293</v>
      </c>
      <c r="B285" s="2" t="s">
        <v>2080</v>
      </c>
      <c r="C285" s="3">
        <v>38936</v>
      </c>
      <c r="D285" s="4">
        <f>YEAR(Table1[[#This Row],[Date]])</f>
        <v>2006</v>
      </c>
      <c r="E285" s="2" t="s">
        <v>2097</v>
      </c>
      <c r="F285" s="4">
        <v>33</v>
      </c>
      <c r="G285" s="5">
        <v>100.51753262027832</v>
      </c>
      <c r="H285" s="6" t="s">
        <v>2086</v>
      </c>
    </row>
    <row r="286" spans="1:8">
      <c r="A286" s="1">
        <v>294</v>
      </c>
      <c r="B286" s="2" t="s">
        <v>2080</v>
      </c>
      <c r="C286" s="3">
        <v>38045</v>
      </c>
      <c r="D286" s="4">
        <f>YEAR(Table1[[#This Row],[Date]])</f>
        <v>2004</v>
      </c>
      <c r="E286" s="2" t="s">
        <v>2094</v>
      </c>
      <c r="F286" s="4">
        <v>1</v>
      </c>
      <c r="G286" s="5">
        <v>0.90814028681463199</v>
      </c>
      <c r="H286" s="6" t="s">
        <v>2086</v>
      </c>
    </row>
    <row r="287" spans="1:8">
      <c r="A287" s="1">
        <v>295</v>
      </c>
      <c r="B287" s="2" t="s">
        <v>2080</v>
      </c>
      <c r="C287" s="3">
        <v>38925</v>
      </c>
      <c r="D287" s="4">
        <f>YEAR(Table1[[#This Row],[Date]])</f>
        <v>2006</v>
      </c>
      <c r="E287" s="2" t="s">
        <v>2097</v>
      </c>
      <c r="F287" s="4">
        <v>94</v>
      </c>
      <c r="G287" s="5">
        <v>284.13590593464426</v>
      </c>
      <c r="H287" s="6" t="s">
        <v>2090</v>
      </c>
    </row>
    <row r="288" spans="1:8">
      <c r="A288" s="1">
        <v>296</v>
      </c>
      <c r="B288" s="2" t="s">
        <v>2099</v>
      </c>
      <c r="C288" s="3">
        <v>38463</v>
      </c>
      <c r="D288" s="4">
        <f>YEAR(Table1[[#This Row],[Date]])</f>
        <v>2005</v>
      </c>
      <c r="E288" s="2" t="s">
        <v>2085</v>
      </c>
      <c r="F288" s="4">
        <v>76</v>
      </c>
      <c r="G288" s="5">
        <v>230.25557022435729</v>
      </c>
      <c r="H288" s="6" t="s">
        <v>2086</v>
      </c>
    </row>
    <row r="289" spans="1:8">
      <c r="A289" s="1">
        <v>297</v>
      </c>
      <c r="B289" s="2" t="s">
        <v>2080</v>
      </c>
      <c r="C289" s="3">
        <v>38782</v>
      </c>
      <c r="D289" s="4">
        <f>YEAR(Table1[[#This Row],[Date]])</f>
        <v>2006</v>
      </c>
      <c r="E289" s="2" t="s">
        <v>2085</v>
      </c>
      <c r="F289" s="4">
        <v>71</v>
      </c>
      <c r="G289" s="5">
        <v>215.15645769752564</v>
      </c>
      <c r="H289" s="6" t="s">
        <v>2096</v>
      </c>
    </row>
    <row r="290" spans="1:8">
      <c r="A290" s="1">
        <v>298</v>
      </c>
      <c r="B290" s="2" t="s">
        <v>2091</v>
      </c>
      <c r="C290" s="3">
        <v>38133</v>
      </c>
      <c r="D290" s="4">
        <f>YEAR(Table1[[#This Row],[Date]])</f>
        <v>2004</v>
      </c>
      <c r="E290" s="2" t="s">
        <v>2088</v>
      </c>
      <c r="F290" s="4">
        <v>56</v>
      </c>
      <c r="G290" s="5">
        <v>169.19487194523822</v>
      </c>
      <c r="H290" s="6" t="s">
        <v>2082</v>
      </c>
    </row>
    <row r="291" spans="1:8">
      <c r="A291" s="1">
        <v>299</v>
      </c>
      <c r="B291" s="2" t="s">
        <v>2084</v>
      </c>
      <c r="C291" s="3">
        <v>38595</v>
      </c>
      <c r="D291" s="4">
        <f>YEAR(Table1[[#This Row],[Date]])</f>
        <v>2005</v>
      </c>
      <c r="E291" s="2" t="s">
        <v>2081</v>
      </c>
      <c r="F291" s="4">
        <v>81</v>
      </c>
      <c r="G291" s="5">
        <v>245.58577912839797</v>
      </c>
      <c r="H291" s="6" t="s">
        <v>2082</v>
      </c>
    </row>
    <row r="292" spans="1:8">
      <c r="A292" s="1">
        <v>300</v>
      </c>
      <c r="B292" s="2" t="s">
        <v>2091</v>
      </c>
      <c r="C292" s="3">
        <v>38166</v>
      </c>
      <c r="D292" s="4">
        <f>YEAR(Table1[[#This Row],[Date]])</f>
        <v>2004</v>
      </c>
      <c r="E292" s="2" t="s">
        <v>2094</v>
      </c>
      <c r="F292" s="4">
        <v>3</v>
      </c>
      <c r="G292" s="5">
        <v>11.162502018809288</v>
      </c>
      <c r="H292" s="6" t="s">
        <v>2082</v>
      </c>
    </row>
    <row r="293" spans="1:8">
      <c r="A293" s="1">
        <v>301</v>
      </c>
      <c r="B293" s="2" t="s">
        <v>2091</v>
      </c>
      <c r="C293" s="3">
        <v>38463</v>
      </c>
      <c r="D293" s="4">
        <f>YEAR(Table1[[#This Row],[Date]])</f>
        <v>2005</v>
      </c>
      <c r="E293" s="2" t="s">
        <v>2081</v>
      </c>
      <c r="F293" s="4">
        <v>60</v>
      </c>
      <c r="G293" s="5">
        <v>182.21269449394873</v>
      </c>
      <c r="H293" s="6" t="s">
        <v>2096</v>
      </c>
    </row>
    <row r="294" spans="1:8">
      <c r="A294" s="1">
        <v>302</v>
      </c>
      <c r="B294" s="2" t="s">
        <v>2099</v>
      </c>
      <c r="C294" s="3">
        <v>39013</v>
      </c>
      <c r="D294" s="4">
        <f>YEAR(Table1[[#This Row],[Date]])</f>
        <v>2006</v>
      </c>
      <c r="E294" s="2" t="s">
        <v>2085</v>
      </c>
      <c r="F294" s="4">
        <v>81</v>
      </c>
      <c r="G294" s="5">
        <v>245.54232115102224</v>
      </c>
      <c r="H294" s="6" t="s">
        <v>2082</v>
      </c>
    </row>
    <row r="295" spans="1:8">
      <c r="A295" s="1">
        <v>303</v>
      </c>
      <c r="B295" s="2" t="s">
        <v>2093</v>
      </c>
      <c r="C295" s="3">
        <v>38111</v>
      </c>
      <c r="D295" s="4">
        <f>YEAR(Table1[[#This Row],[Date]])</f>
        <v>2004</v>
      </c>
      <c r="E295" s="2" t="s">
        <v>2085</v>
      </c>
      <c r="F295" s="4">
        <v>70</v>
      </c>
      <c r="G295" s="5">
        <v>211.43323649343893</v>
      </c>
      <c r="H295" s="6" t="s">
        <v>2086</v>
      </c>
    </row>
    <row r="296" spans="1:8">
      <c r="A296" s="1">
        <v>304</v>
      </c>
      <c r="B296" s="2" t="s">
        <v>2100</v>
      </c>
      <c r="C296" s="3">
        <v>38859</v>
      </c>
      <c r="D296" s="4">
        <f>YEAR(Table1[[#This Row],[Date]])</f>
        <v>2006</v>
      </c>
      <c r="E296" s="2" t="s">
        <v>2097</v>
      </c>
      <c r="F296" s="4">
        <v>18</v>
      </c>
      <c r="G296" s="5">
        <v>56.272584064658759</v>
      </c>
      <c r="H296" s="6" t="s">
        <v>2086</v>
      </c>
    </row>
    <row r="297" spans="1:8">
      <c r="A297" s="1">
        <v>305</v>
      </c>
      <c r="B297" s="2" t="s">
        <v>2084</v>
      </c>
      <c r="C297" s="3">
        <v>38397</v>
      </c>
      <c r="D297" s="4">
        <f>YEAR(Table1[[#This Row],[Date]])</f>
        <v>2005</v>
      </c>
      <c r="E297" s="2" t="s">
        <v>2088</v>
      </c>
      <c r="F297" s="4">
        <v>73</v>
      </c>
      <c r="G297" s="5">
        <v>221.17007144401961</v>
      </c>
      <c r="H297" s="6" t="s">
        <v>2090</v>
      </c>
    </row>
    <row r="298" spans="1:8">
      <c r="A298" s="1">
        <v>306</v>
      </c>
      <c r="B298" s="2" t="s">
        <v>2091</v>
      </c>
      <c r="C298" s="3">
        <v>38408</v>
      </c>
      <c r="D298" s="4">
        <f>YEAR(Table1[[#This Row],[Date]])</f>
        <v>2005</v>
      </c>
      <c r="E298" s="2" t="s">
        <v>2085</v>
      </c>
      <c r="F298" s="4">
        <v>7</v>
      </c>
      <c r="G298" s="5">
        <v>18.782320494671733</v>
      </c>
      <c r="H298" s="6" t="s">
        <v>2096</v>
      </c>
    </row>
    <row r="299" spans="1:8">
      <c r="A299" s="1">
        <v>307</v>
      </c>
      <c r="B299" s="2" t="s">
        <v>2091</v>
      </c>
      <c r="C299" s="3">
        <v>38584</v>
      </c>
      <c r="D299" s="4">
        <f>YEAR(Table1[[#This Row],[Date]])</f>
        <v>2005</v>
      </c>
      <c r="E299" s="2" t="s">
        <v>2085</v>
      </c>
      <c r="F299" s="4">
        <v>55</v>
      </c>
      <c r="G299" s="5">
        <v>166.60609215413587</v>
      </c>
      <c r="H299" s="6" t="s">
        <v>2086</v>
      </c>
    </row>
    <row r="300" spans="1:8">
      <c r="A300" s="1">
        <v>308</v>
      </c>
      <c r="B300" s="2" t="s">
        <v>2100</v>
      </c>
      <c r="C300" s="3">
        <v>38122</v>
      </c>
      <c r="D300" s="4">
        <f>YEAR(Table1[[#This Row],[Date]])</f>
        <v>2004</v>
      </c>
      <c r="E300" s="2" t="s">
        <v>2081</v>
      </c>
      <c r="F300" s="4">
        <v>7</v>
      </c>
      <c r="G300" s="5">
        <v>23.387374937264937</v>
      </c>
      <c r="H300" s="6" t="s">
        <v>2096</v>
      </c>
    </row>
    <row r="301" spans="1:8">
      <c r="A301" s="1">
        <v>309</v>
      </c>
      <c r="B301" s="2" t="s">
        <v>2100</v>
      </c>
      <c r="C301" s="3">
        <v>38309</v>
      </c>
      <c r="D301" s="4">
        <f>YEAR(Table1[[#This Row],[Date]])</f>
        <v>2004</v>
      </c>
      <c r="E301" s="2" t="s">
        <v>2094</v>
      </c>
      <c r="F301" s="4">
        <v>63</v>
      </c>
      <c r="G301" s="5">
        <v>191.44929977621479</v>
      </c>
      <c r="H301" s="6" t="s">
        <v>2086</v>
      </c>
    </row>
    <row r="302" spans="1:8">
      <c r="A302" s="1">
        <v>310</v>
      </c>
      <c r="B302" s="2" t="s">
        <v>2091</v>
      </c>
      <c r="C302" s="3">
        <v>38540</v>
      </c>
      <c r="D302" s="4">
        <f>YEAR(Table1[[#This Row],[Date]])</f>
        <v>2005</v>
      </c>
      <c r="E302" s="2" t="s">
        <v>2081</v>
      </c>
      <c r="F302" s="4">
        <v>83</v>
      </c>
      <c r="G302" s="5">
        <v>251.62937525083981</v>
      </c>
      <c r="H302" s="6" t="s">
        <v>2090</v>
      </c>
    </row>
    <row r="303" spans="1:8">
      <c r="A303" s="1">
        <v>311</v>
      </c>
      <c r="B303" s="2" t="s">
        <v>2080</v>
      </c>
      <c r="C303" s="3">
        <v>38045</v>
      </c>
      <c r="D303" s="4">
        <f>YEAR(Table1[[#This Row],[Date]])</f>
        <v>2004</v>
      </c>
      <c r="E303" s="2" t="s">
        <v>2081</v>
      </c>
      <c r="F303" s="4">
        <v>43</v>
      </c>
      <c r="G303" s="5">
        <v>130.971908096161</v>
      </c>
      <c r="H303" s="6" t="s">
        <v>2096</v>
      </c>
    </row>
    <row r="304" spans="1:8">
      <c r="A304" s="1">
        <v>312</v>
      </c>
      <c r="B304" s="2" t="s">
        <v>2091</v>
      </c>
      <c r="C304" s="3">
        <v>38199</v>
      </c>
      <c r="D304" s="4">
        <f>YEAR(Table1[[#This Row],[Date]])</f>
        <v>2004</v>
      </c>
      <c r="E304" s="2" t="s">
        <v>2094</v>
      </c>
      <c r="F304" s="4">
        <v>67</v>
      </c>
      <c r="G304" s="5">
        <v>203.30298779689218</v>
      </c>
      <c r="H304" s="6" t="s">
        <v>2082</v>
      </c>
    </row>
    <row r="305" spans="1:8">
      <c r="A305" s="1">
        <v>313</v>
      </c>
      <c r="B305" s="2" t="s">
        <v>2093</v>
      </c>
      <c r="C305" s="3">
        <v>38716</v>
      </c>
      <c r="D305" s="4">
        <f>YEAR(Table1[[#This Row],[Date]])</f>
        <v>2005</v>
      </c>
      <c r="E305" s="2" t="s">
        <v>2094</v>
      </c>
      <c r="F305" s="4">
        <v>9</v>
      </c>
      <c r="G305" s="5">
        <v>24.966227969201331</v>
      </c>
      <c r="H305" s="6" t="s">
        <v>2086</v>
      </c>
    </row>
    <row r="306" spans="1:8">
      <c r="A306" s="1">
        <v>314</v>
      </c>
      <c r="B306" s="2" t="s">
        <v>2100</v>
      </c>
      <c r="C306" s="3">
        <v>38166</v>
      </c>
      <c r="D306" s="4">
        <f>YEAR(Table1[[#This Row],[Date]])</f>
        <v>2004</v>
      </c>
      <c r="E306" s="2" t="s">
        <v>2085</v>
      </c>
      <c r="F306" s="4">
        <v>1</v>
      </c>
      <c r="G306" s="5">
        <v>1.475132378251053</v>
      </c>
      <c r="H306" s="6" t="s">
        <v>2086</v>
      </c>
    </row>
    <row r="307" spans="1:8">
      <c r="A307" s="1">
        <v>315</v>
      </c>
      <c r="B307" s="2" t="s">
        <v>2080</v>
      </c>
      <c r="C307" s="3">
        <v>38364</v>
      </c>
      <c r="D307" s="4">
        <f>YEAR(Table1[[#This Row],[Date]])</f>
        <v>2005</v>
      </c>
      <c r="E307" s="2" t="s">
        <v>2085</v>
      </c>
      <c r="F307" s="4">
        <v>21</v>
      </c>
      <c r="G307" s="5">
        <v>65.196598797725159</v>
      </c>
      <c r="H307" s="6" t="s">
        <v>2082</v>
      </c>
    </row>
    <row r="308" spans="1:8">
      <c r="A308" s="1">
        <v>316</v>
      </c>
      <c r="B308" s="2" t="s">
        <v>2095</v>
      </c>
      <c r="C308" s="3">
        <v>38661</v>
      </c>
      <c r="D308" s="4">
        <f>YEAR(Table1[[#This Row],[Date]])</f>
        <v>2005</v>
      </c>
      <c r="E308" s="2" t="s">
        <v>2097</v>
      </c>
      <c r="F308" s="4">
        <v>6</v>
      </c>
      <c r="G308" s="5">
        <v>20.103063549411871</v>
      </c>
      <c r="H308" s="6" t="s">
        <v>2096</v>
      </c>
    </row>
    <row r="309" spans="1:8">
      <c r="A309" s="1">
        <v>317</v>
      </c>
      <c r="B309" s="2" t="s">
        <v>2095</v>
      </c>
      <c r="C309" s="3">
        <v>38001</v>
      </c>
      <c r="D309" s="4">
        <f>YEAR(Table1[[#This Row],[Date]])</f>
        <v>2004</v>
      </c>
      <c r="E309" s="2" t="s">
        <v>2094</v>
      </c>
      <c r="F309" s="4">
        <v>0</v>
      </c>
      <c r="G309" s="5">
        <v>1.6052060341349688</v>
      </c>
      <c r="H309" s="6" t="s">
        <v>2096</v>
      </c>
    </row>
    <row r="310" spans="1:8">
      <c r="A310" s="1">
        <v>318</v>
      </c>
      <c r="B310" s="2" t="s">
        <v>2099</v>
      </c>
      <c r="C310" s="3">
        <v>38276</v>
      </c>
      <c r="D310" s="4">
        <f>YEAR(Table1[[#This Row],[Date]])</f>
        <v>2004</v>
      </c>
      <c r="E310" s="2" t="s">
        <v>2094</v>
      </c>
      <c r="F310" s="4">
        <v>20</v>
      </c>
      <c r="G310" s="5">
        <v>61.994811968474004</v>
      </c>
      <c r="H310" s="6" t="s">
        <v>2096</v>
      </c>
    </row>
    <row r="311" spans="1:8">
      <c r="A311" s="1">
        <v>319</v>
      </c>
      <c r="B311" s="2" t="s">
        <v>2087</v>
      </c>
      <c r="C311" s="3">
        <v>38298</v>
      </c>
      <c r="D311" s="4">
        <f>YEAR(Table1[[#This Row],[Date]])</f>
        <v>2004</v>
      </c>
      <c r="E311" s="2" t="s">
        <v>2085</v>
      </c>
      <c r="F311" s="4">
        <v>70</v>
      </c>
      <c r="G311" s="5">
        <v>212.50263306463722</v>
      </c>
      <c r="H311" s="6" t="s">
        <v>2082</v>
      </c>
    </row>
    <row r="312" spans="1:8">
      <c r="A312" s="1">
        <v>320</v>
      </c>
      <c r="B312" s="2" t="s">
        <v>2099</v>
      </c>
      <c r="C312" s="3">
        <v>38122</v>
      </c>
      <c r="D312" s="4">
        <f>YEAR(Table1[[#This Row],[Date]])</f>
        <v>2004</v>
      </c>
      <c r="E312" s="2" t="s">
        <v>2094</v>
      </c>
      <c r="F312" s="4">
        <v>94</v>
      </c>
      <c r="G312" s="5">
        <v>283.88166832886924</v>
      </c>
      <c r="H312" s="6" t="s">
        <v>2096</v>
      </c>
    </row>
    <row r="313" spans="1:8">
      <c r="A313" s="1">
        <v>321</v>
      </c>
      <c r="B313" s="2" t="s">
        <v>2084</v>
      </c>
      <c r="C313" s="3">
        <v>38276</v>
      </c>
      <c r="D313" s="4">
        <f>YEAR(Table1[[#This Row],[Date]])</f>
        <v>2004</v>
      </c>
      <c r="E313" s="2" t="s">
        <v>2081</v>
      </c>
      <c r="F313" s="4">
        <v>9</v>
      </c>
      <c r="G313" s="5">
        <v>28.830512766101304</v>
      </c>
      <c r="H313" s="6" t="s">
        <v>2090</v>
      </c>
    </row>
    <row r="314" spans="1:8">
      <c r="A314" s="1">
        <v>322</v>
      </c>
      <c r="B314" s="2" t="s">
        <v>2099</v>
      </c>
      <c r="C314" s="3">
        <v>38529</v>
      </c>
      <c r="D314" s="4">
        <f>YEAR(Table1[[#This Row],[Date]])</f>
        <v>2005</v>
      </c>
      <c r="E314" s="2" t="s">
        <v>2097</v>
      </c>
      <c r="F314" s="4">
        <v>27</v>
      </c>
      <c r="G314" s="5">
        <v>83.64015403043436</v>
      </c>
      <c r="H314" s="6" t="s">
        <v>2096</v>
      </c>
    </row>
    <row r="315" spans="1:8">
      <c r="A315" s="1">
        <v>323</v>
      </c>
      <c r="B315" s="2" t="s">
        <v>2093</v>
      </c>
      <c r="C315" s="3">
        <v>38793</v>
      </c>
      <c r="D315" s="4">
        <f>YEAR(Table1[[#This Row],[Date]])</f>
        <v>2006</v>
      </c>
      <c r="E315" s="2" t="s">
        <v>2088</v>
      </c>
      <c r="F315" s="4">
        <v>43</v>
      </c>
      <c r="G315" s="5">
        <v>130.94656180680516</v>
      </c>
      <c r="H315" s="6" t="s">
        <v>2082</v>
      </c>
    </row>
    <row r="316" spans="1:8">
      <c r="A316" s="1">
        <v>324</v>
      </c>
      <c r="B316" s="2" t="s">
        <v>2098</v>
      </c>
      <c r="C316" s="3">
        <v>38980</v>
      </c>
      <c r="D316" s="4">
        <f>YEAR(Table1[[#This Row],[Date]])</f>
        <v>2006</v>
      </c>
      <c r="E316" s="2" t="s">
        <v>2085</v>
      </c>
      <c r="F316" s="4">
        <v>84</v>
      </c>
      <c r="G316" s="5">
        <v>254.38984191598573</v>
      </c>
      <c r="H316" s="6" t="s">
        <v>2096</v>
      </c>
    </row>
    <row r="317" spans="1:8">
      <c r="A317" s="1">
        <v>325</v>
      </c>
      <c r="B317" s="2" t="s">
        <v>2084</v>
      </c>
      <c r="C317" s="3">
        <v>38144</v>
      </c>
      <c r="D317" s="4">
        <f>YEAR(Table1[[#This Row],[Date]])</f>
        <v>2004</v>
      </c>
      <c r="E317" s="2" t="s">
        <v>2094</v>
      </c>
      <c r="F317" s="4">
        <v>83</v>
      </c>
      <c r="G317" s="5">
        <v>251.63175698562648</v>
      </c>
      <c r="H317" s="6" t="s">
        <v>2086</v>
      </c>
    </row>
    <row r="318" spans="1:8">
      <c r="A318" s="1">
        <v>326</v>
      </c>
      <c r="B318" s="2" t="s">
        <v>2084</v>
      </c>
      <c r="C318" s="3">
        <v>38210</v>
      </c>
      <c r="D318" s="4">
        <f>YEAR(Table1[[#This Row],[Date]])</f>
        <v>2004</v>
      </c>
      <c r="E318" s="2" t="s">
        <v>2088</v>
      </c>
      <c r="F318" s="4">
        <v>89</v>
      </c>
      <c r="G318" s="5">
        <v>268.67182931807514</v>
      </c>
      <c r="H318" s="6" t="s">
        <v>2086</v>
      </c>
    </row>
    <row r="319" spans="1:8">
      <c r="A319" s="1">
        <v>327</v>
      </c>
      <c r="B319" s="2" t="s">
        <v>2098</v>
      </c>
      <c r="C319" s="3">
        <v>39002</v>
      </c>
      <c r="D319" s="4">
        <f>YEAR(Table1[[#This Row],[Date]])</f>
        <v>2006</v>
      </c>
      <c r="E319" s="2" t="s">
        <v>2081</v>
      </c>
      <c r="F319" s="4">
        <v>7</v>
      </c>
      <c r="G319" s="5">
        <v>22.668540241379059</v>
      </c>
      <c r="H319" s="6" t="s">
        <v>2082</v>
      </c>
    </row>
    <row r="320" spans="1:8">
      <c r="A320" s="1">
        <v>328</v>
      </c>
      <c r="B320" s="2" t="s">
        <v>2084</v>
      </c>
      <c r="C320" s="3">
        <v>38177</v>
      </c>
      <c r="D320" s="4">
        <f>YEAR(Table1[[#This Row],[Date]])</f>
        <v>2004</v>
      </c>
      <c r="E320" s="2" t="s">
        <v>2085</v>
      </c>
      <c r="F320" s="4">
        <v>68</v>
      </c>
      <c r="G320" s="5">
        <v>205.75644454699685</v>
      </c>
      <c r="H320" s="6" t="s">
        <v>2082</v>
      </c>
    </row>
    <row r="321" spans="1:8">
      <c r="A321" s="1">
        <v>329</v>
      </c>
      <c r="B321" s="2" t="s">
        <v>2098</v>
      </c>
      <c r="C321" s="3">
        <v>38639</v>
      </c>
      <c r="D321" s="4">
        <f>YEAR(Table1[[#This Row],[Date]])</f>
        <v>2005</v>
      </c>
      <c r="E321" s="2" t="s">
        <v>2094</v>
      </c>
      <c r="F321" s="4">
        <v>38</v>
      </c>
      <c r="G321" s="5">
        <v>116.14288251700734</v>
      </c>
      <c r="H321" s="6" t="s">
        <v>2090</v>
      </c>
    </row>
    <row r="322" spans="1:8">
      <c r="A322" s="1">
        <v>330</v>
      </c>
      <c r="B322" s="2" t="s">
        <v>2100</v>
      </c>
      <c r="C322" s="3">
        <v>38012</v>
      </c>
      <c r="D322" s="4">
        <f>YEAR(Table1[[#This Row],[Date]])</f>
        <v>2004</v>
      </c>
      <c r="E322" s="2" t="s">
        <v>2094</v>
      </c>
      <c r="F322" s="4">
        <v>90</v>
      </c>
      <c r="G322" s="5">
        <v>271.3332095451583</v>
      </c>
      <c r="H322" s="6" t="s">
        <v>2086</v>
      </c>
    </row>
    <row r="323" spans="1:8">
      <c r="A323" s="1">
        <v>331</v>
      </c>
      <c r="B323" s="2" t="s">
        <v>2100</v>
      </c>
      <c r="C323" s="3">
        <v>38210</v>
      </c>
      <c r="D323" s="4">
        <f>YEAR(Table1[[#This Row],[Date]])</f>
        <v>2004</v>
      </c>
      <c r="E323" s="2" t="s">
        <v>2094</v>
      </c>
      <c r="F323" s="4">
        <v>10</v>
      </c>
      <c r="G323" s="5">
        <v>31.740063454597557</v>
      </c>
      <c r="H323" s="6" t="s">
        <v>2090</v>
      </c>
    </row>
    <row r="324" spans="1:8">
      <c r="A324" s="1">
        <v>332</v>
      </c>
      <c r="B324" s="2" t="s">
        <v>2095</v>
      </c>
      <c r="C324" s="3">
        <v>39024</v>
      </c>
      <c r="D324" s="4">
        <f>YEAR(Table1[[#This Row],[Date]])</f>
        <v>2006</v>
      </c>
      <c r="E324" s="2" t="s">
        <v>2085</v>
      </c>
      <c r="F324" s="4">
        <v>13</v>
      </c>
      <c r="G324" s="5">
        <v>40.182824201163783</v>
      </c>
      <c r="H324" s="6" t="s">
        <v>2096</v>
      </c>
    </row>
    <row r="325" spans="1:8">
      <c r="A325" s="1">
        <v>333</v>
      </c>
      <c r="B325" s="2" t="s">
        <v>2099</v>
      </c>
      <c r="C325" s="3">
        <v>38155</v>
      </c>
      <c r="D325" s="4">
        <f>YEAR(Table1[[#This Row],[Date]])</f>
        <v>2004</v>
      </c>
      <c r="E325" s="2" t="s">
        <v>2081</v>
      </c>
      <c r="F325" s="4">
        <v>68</v>
      </c>
      <c r="G325" s="5">
        <v>206.37862292228638</v>
      </c>
      <c r="H325" s="6" t="s">
        <v>2090</v>
      </c>
    </row>
    <row r="326" spans="1:8">
      <c r="A326" s="1">
        <v>334</v>
      </c>
      <c r="B326" s="2" t="s">
        <v>2091</v>
      </c>
      <c r="C326" s="3">
        <v>38144</v>
      </c>
      <c r="D326" s="4">
        <f>YEAR(Table1[[#This Row],[Date]])</f>
        <v>2004</v>
      </c>
      <c r="E326" s="2" t="s">
        <v>2085</v>
      </c>
      <c r="F326" s="4">
        <v>40</v>
      </c>
      <c r="G326" s="5">
        <v>122.17079112578179</v>
      </c>
      <c r="H326" s="6" t="s">
        <v>2082</v>
      </c>
    </row>
    <row r="327" spans="1:8">
      <c r="A327" s="1">
        <v>335</v>
      </c>
      <c r="B327" s="2" t="s">
        <v>2099</v>
      </c>
      <c r="C327" s="3">
        <v>38507</v>
      </c>
      <c r="D327" s="4">
        <f>YEAR(Table1[[#This Row],[Date]])</f>
        <v>2005</v>
      </c>
      <c r="E327" s="2" t="s">
        <v>2085</v>
      </c>
      <c r="F327" s="4">
        <v>17</v>
      </c>
      <c r="G327" s="5">
        <v>52.575815801836917</v>
      </c>
      <c r="H327" s="6" t="s">
        <v>2090</v>
      </c>
    </row>
    <row r="328" spans="1:8">
      <c r="A328" s="1">
        <v>336</v>
      </c>
      <c r="B328" s="2" t="s">
        <v>2095</v>
      </c>
      <c r="C328" s="3">
        <v>38320</v>
      </c>
      <c r="D328" s="4">
        <f>YEAR(Table1[[#This Row],[Date]])</f>
        <v>2004</v>
      </c>
      <c r="E328" s="2" t="s">
        <v>2085</v>
      </c>
      <c r="F328" s="4">
        <v>6</v>
      </c>
      <c r="G328" s="5">
        <v>19.233532374060513</v>
      </c>
      <c r="H328" s="6" t="s">
        <v>2090</v>
      </c>
    </row>
    <row r="329" spans="1:8">
      <c r="A329" s="1">
        <v>337</v>
      </c>
      <c r="B329" s="2" t="s">
        <v>2095</v>
      </c>
      <c r="C329" s="3">
        <v>38848</v>
      </c>
      <c r="D329" s="4">
        <f>YEAR(Table1[[#This Row],[Date]])</f>
        <v>2006</v>
      </c>
      <c r="E329" s="2" t="s">
        <v>2085</v>
      </c>
      <c r="F329" s="4">
        <v>27</v>
      </c>
      <c r="G329" s="5">
        <v>83.786086457485794</v>
      </c>
      <c r="H329" s="6" t="s">
        <v>2090</v>
      </c>
    </row>
    <row r="330" spans="1:8">
      <c r="A330" s="1">
        <v>338</v>
      </c>
      <c r="B330" s="2" t="s">
        <v>2091</v>
      </c>
      <c r="C330" s="3">
        <v>38925</v>
      </c>
      <c r="D330" s="4">
        <f>YEAR(Table1[[#This Row],[Date]])</f>
        <v>2006</v>
      </c>
      <c r="E330" s="2" t="s">
        <v>2085</v>
      </c>
      <c r="F330" s="4">
        <v>80</v>
      </c>
      <c r="G330" s="5">
        <v>242.1940649977725</v>
      </c>
      <c r="H330" s="6" t="s">
        <v>2086</v>
      </c>
    </row>
    <row r="331" spans="1:8">
      <c r="A331" s="1">
        <v>339</v>
      </c>
      <c r="B331" s="2" t="s">
        <v>2093</v>
      </c>
      <c r="C331" s="3">
        <v>38210</v>
      </c>
      <c r="D331" s="4">
        <f>YEAR(Table1[[#This Row],[Date]])</f>
        <v>2004</v>
      </c>
      <c r="E331" s="2" t="s">
        <v>2097</v>
      </c>
      <c r="F331" s="4">
        <v>1</v>
      </c>
      <c r="G331" s="5">
        <v>0.92679798413568193</v>
      </c>
      <c r="H331" s="6" t="s">
        <v>2090</v>
      </c>
    </row>
    <row r="332" spans="1:8">
      <c r="A332" s="1">
        <v>340</v>
      </c>
      <c r="B332" s="2" t="s">
        <v>2084</v>
      </c>
      <c r="C332" s="3">
        <v>38804</v>
      </c>
      <c r="D332" s="4">
        <f>YEAR(Table1[[#This Row],[Date]])</f>
        <v>2006</v>
      </c>
      <c r="E332" s="2" t="s">
        <v>2097</v>
      </c>
      <c r="F332" s="4">
        <v>89</v>
      </c>
      <c r="G332" s="5">
        <v>269.26351673512869</v>
      </c>
      <c r="H332" s="6" t="s">
        <v>2082</v>
      </c>
    </row>
    <row r="333" spans="1:8">
      <c r="A333" s="1">
        <v>341</v>
      </c>
      <c r="B333" s="2" t="s">
        <v>2084</v>
      </c>
      <c r="C333" s="3">
        <v>38441</v>
      </c>
      <c r="D333" s="4">
        <f>YEAR(Table1[[#This Row],[Date]])</f>
        <v>2005</v>
      </c>
      <c r="E333" s="2" t="s">
        <v>2094</v>
      </c>
      <c r="F333" s="4">
        <v>21</v>
      </c>
      <c r="G333" s="5">
        <v>65.224154633884041</v>
      </c>
      <c r="H333" s="6" t="s">
        <v>2086</v>
      </c>
    </row>
    <row r="334" spans="1:8">
      <c r="A334" s="1">
        <v>342</v>
      </c>
      <c r="B334" s="2" t="s">
        <v>2095</v>
      </c>
      <c r="C334" s="3">
        <v>39068</v>
      </c>
      <c r="D334" s="4">
        <f>YEAR(Table1[[#This Row],[Date]])</f>
        <v>2006</v>
      </c>
      <c r="E334" s="2" t="s">
        <v>2081</v>
      </c>
      <c r="F334" s="4">
        <v>37</v>
      </c>
      <c r="G334" s="5">
        <v>113.11652988941213</v>
      </c>
      <c r="H334" s="6" t="s">
        <v>2096</v>
      </c>
    </row>
    <row r="335" spans="1:8">
      <c r="A335" s="1">
        <v>343</v>
      </c>
      <c r="B335" s="2" t="s">
        <v>2093</v>
      </c>
      <c r="C335" s="3">
        <v>38397</v>
      </c>
      <c r="D335" s="4">
        <f>YEAR(Table1[[#This Row],[Date]])</f>
        <v>2005</v>
      </c>
      <c r="E335" s="2" t="s">
        <v>2088</v>
      </c>
      <c r="F335" s="4">
        <v>15</v>
      </c>
      <c r="G335" s="5">
        <v>46.637898863261832</v>
      </c>
      <c r="H335" s="6" t="s">
        <v>2096</v>
      </c>
    </row>
    <row r="336" spans="1:8">
      <c r="A336" s="1">
        <v>344</v>
      </c>
      <c r="B336" s="2" t="s">
        <v>2087</v>
      </c>
      <c r="C336" s="3">
        <v>38133</v>
      </c>
      <c r="D336" s="4">
        <f>YEAR(Table1[[#This Row],[Date]])</f>
        <v>2004</v>
      </c>
      <c r="E336" s="2" t="s">
        <v>2097</v>
      </c>
      <c r="F336" s="4">
        <v>94</v>
      </c>
      <c r="G336" s="5">
        <v>283.62009758002927</v>
      </c>
      <c r="H336" s="6" t="s">
        <v>2086</v>
      </c>
    </row>
    <row r="337" spans="1:8">
      <c r="A337" s="1">
        <v>345</v>
      </c>
      <c r="B337" s="2" t="s">
        <v>2100</v>
      </c>
      <c r="C337" s="3">
        <v>38551</v>
      </c>
      <c r="D337" s="4">
        <f>YEAR(Table1[[#This Row],[Date]])</f>
        <v>2005</v>
      </c>
      <c r="E337" s="2" t="s">
        <v>2097</v>
      </c>
      <c r="F337" s="4">
        <v>85</v>
      </c>
      <c r="G337" s="5">
        <v>257.28530472715238</v>
      </c>
      <c r="H337" s="6" t="s">
        <v>2082</v>
      </c>
    </row>
    <row r="338" spans="1:8">
      <c r="A338" s="1">
        <v>346</v>
      </c>
      <c r="B338" s="2" t="s">
        <v>2093</v>
      </c>
      <c r="C338" s="3">
        <v>38309</v>
      </c>
      <c r="D338" s="4">
        <f>YEAR(Table1[[#This Row],[Date]])</f>
        <v>2004</v>
      </c>
      <c r="E338" s="2" t="s">
        <v>2081</v>
      </c>
      <c r="F338" s="4">
        <v>95</v>
      </c>
      <c r="G338" s="5">
        <v>286.86402627293558</v>
      </c>
      <c r="H338" s="6" t="s">
        <v>2090</v>
      </c>
    </row>
    <row r="339" spans="1:8">
      <c r="A339" s="1">
        <v>347</v>
      </c>
      <c r="B339" s="2" t="s">
        <v>2098</v>
      </c>
      <c r="C339" s="3">
        <v>38496</v>
      </c>
      <c r="D339" s="4">
        <f>YEAR(Table1[[#This Row],[Date]])</f>
        <v>2005</v>
      </c>
      <c r="E339" s="2" t="s">
        <v>2088</v>
      </c>
      <c r="F339" s="4">
        <v>25</v>
      </c>
      <c r="G339" s="5">
        <v>76.368933708358369</v>
      </c>
      <c r="H339" s="6" t="s">
        <v>2082</v>
      </c>
    </row>
    <row r="340" spans="1:8">
      <c r="A340" s="1">
        <v>348</v>
      </c>
      <c r="B340" s="2" t="s">
        <v>2084</v>
      </c>
      <c r="C340" s="3">
        <v>38826</v>
      </c>
      <c r="D340" s="4">
        <f>YEAR(Table1[[#This Row],[Date]])</f>
        <v>2006</v>
      </c>
      <c r="E340" s="2" t="s">
        <v>2097</v>
      </c>
      <c r="F340" s="4">
        <v>69</v>
      </c>
      <c r="G340" s="5">
        <v>208.60710544458851</v>
      </c>
      <c r="H340" s="6" t="s">
        <v>2090</v>
      </c>
    </row>
    <row r="341" spans="1:8">
      <c r="A341" s="1">
        <v>349</v>
      </c>
      <c r="B341" s="2" t="s">
        <v>2099</v>
      </c>
      <c r="C341" s="3">
        <v>38595</v>
      </c>
      <c r="D341" s="4">
        <f>YEAR(Table1[[#This Row],[Date]])</f>
        <v>2005</v>
      </c>
      <c r="E341" s="2" t="s">
        <v>2085</v>
      </c>
      <c r="F341" s="4">
        <v>72</v>
      </c>
      <c r="G341" s="5">
        <v>218.66914833137886</v>
      </c>
      <c r="H341" s="6" t="s">
        <v>2086</v>
      </c>
    </row>
    <row r="342" spans="1:8">
      <c r="A342" s="1">
        <v>350</v>
      </c>
      <c r="B342" s="2" t="s">
        <v>2091</v>
      </c>
      <c r="C342" s="3">
        <v>38760</v>
      </c>
      <c r="D342" s="4">
        <f>YEAR(Table1[[#This Row],[Date]])</f>
        <v>2006</v>
      </c>
      <c r="E342" s="2" t="s">
        <v>2088</v>
      </c>
      <c r="F342" s="4">
        <v>4</v>
      </c>
      <c r="G342" s="5">
        <v>9.5040489301123898</v>
      </c>
      <c r="H342" s="6" t="s">
        <v>2090</v>
      </c>
    </row>
    <row r="343" spans="1:8">
      <c r="A343" s="1">
        <v>351</v>
      </c>
      <c r="B343" s="2" t="s">
        <v>2093</v>
      </c>
      <c r="C343" s="3">
        <v>38529</v>
      </c>
      <c r="D343" s="4">
        <f>YEAR(Table1[[#This Row],[Date]])</f>
        <v>2005</v>
      </c>
      <c r="E343" s="2" t="s">
        <v>2088</v>
      </c>
      <c r="F343" s="4">
        <v>21</v>
      </c>
      <c r="G343" s="5">
        <v>64.847838929147329</v>
      </c>
      <c r="H343" s="6" t="s">
        <v>2090</v>
      </c>
    </row>
    <row r="344" spans="1:8">
      <c r="A344" s="1">
        <v>352</v>
      </c>
      <c r="B344" s="2" t="s">
        <v>2093</v>
      </c>
      <c r="C344" s="3">
        <v>38364</v>
      </c>
      <c r="D344" s="4">
        <f>YEAR(Table1[[#This Row],[Date]])</f>
        <v>2005</v>
      </c>
      <c r="E344" s="2" t="s">
        <v>2094</v>
      </c>
      <c r="F344" s="4">
        <v>85</v>
      </c>
      <c r="G344" s="5">
        <v>256.96799909003533</v>
      </c>
      <c r="H344" s="6" t="s">
        <v>2096</v>
      </c>
    </row>
    <row r="345" spans="1:8">
      <c r="A345" s="1">
        <v>353</v>
      </c>
      <c r="B345" s="2" t="s">
        <v>2098</v>
      </c>
      <c r="C345" s="3">
        <v>38606</v>
      </c>
      <c r="D345" s="4">
        <f>YEAR(Table1[[#This Row],[Date]])</f>
        <v>2005</v>
      </c>
      <c r="E345" s="2" t="s">
        <v>2094</v>
      </c>
      <c r="F345" s="4">
        <v>85</v>
      </c>
      <c r="G345" s="5">
        <v>257.09598807037378</v>
      </c>
      <c r="H345" s="6" t="s">
        <v>2082</v>
      </c>
    </row>
    <row r="346" spans="1:8">
      <c r="A346" s="1">
        <v>354</v>
      </c>
      <c r="B346" s="2" t="s">
        <v>2087</v>
      </c>
      <c r="C346" s="3">
        <v>38639</v>
      </c>
      <c r="D346" s="4">
        <f>YEAR(Table1[[#This Row],[Date]])</f>
        <v>2005</v>
      </c>
      <c r="E346" s="2" t="s">
        <v>2081</v>
      </c>
      <c r="F346" s="4">
        <v>79</v>
      </c>
      <c r="G346" s="5">
        <v>239.75589662492749</v>
      </c>
      <c r="H346" s="6" t="s">
        <v>2082</v>
      </c>
    </row>
    <row r="347" spans="1:8">
      <c r="A347" s="1">
        <v>355</v>
      </c>
      <c r="B347" s="2" t="s">
        <v>2099</v>
      </c>
      <c r="C347" s="3">
        <v>38969</v>
      </c>
      <c r="D347" s="4">
        <f>YEAR(Table1[[#This Row],[Date]])</f>
        <v>2006</v>
      </c>
      <c r="E347" s="2" t="s">
        <v>2081</v>
      </c>
      <c r="F347" s="4">
        <v>81</v>
      </c>
      <c r="G347" s="5">
        <v>245.01127594931819</v>
      </c>
      <c r="H347" s="6" t="s">
        <v>2082</v>
      </c>
    </row>
    <row r="348" spans="1:8">
      <c r="A348" s="1">
        <v>356</v>
      </c>
      <c r="B348" s="2" t="s">
        <v>2087</v>
      </c>
      <c r="C348" s="3">
        <v>38958</v>
      </c>
      <c r="D348" s="4">
        <f>YEAR(Table1[[#This Row],[Date]])</f>
        <v>2006</v>
      </c>
      <c r="E348" s="2" t="s">
        <v>2094</v>
      </c>
      <c r="F348" s="4">
        <v>76</v>
      </c>
      <c r="G348" s="5">
        <v>229.57757100656295</v>
      </c>
      <c r="H348" s="6" t="s">
        <v>2096</v>
      </c>
    </row>
    <row r="349" spans="1:8">
      <c r="A349" s="1">
        <v>357</v>
      </c>
      <c r="B349" s="2" t="s">
        <v>2087</v>
      </c>
      <c r="C349" s="3">
        <v>38518</v>
      </c>
      <c r="D349" s="4">
        <f>YEAR(Table1[[#This Row],[Date]])</f>
        <v>2005</v>
      </c>
      <c r="E349" s="2" t="s">
        <v>2081</v>
      </c>
      <c r="F349" s="4">
        <v>31</v>
      </c>
      <c r="G349" s="5">
        <v>95.411837871052697</v>
      </c>
      <c r="H349" s="6" t="s">
        <v>2096</v>
      </c>
    </row>
    <row r="350" spans="1:8">
      <c r="A350" s="1">
        <v>358</v>
      </c>
      <c r="B350" s="2" t="s">
        <v>2091</v>
      </c>
      <c r="C350" s="3">
        <v>38617</v>
      </c>
      <c r="D350" s="4">
        <f>YEAR(Table1[[#This Row],[Date]])</f>
        <v>2005</v>
      </c>
      <c r="E350" s="2" t="s">
        <v>2094</v>
      </c>
      <c r="F350" s="4">
        <v>44</v>
      </c>
      <c r="G350" s="5">
        <v>133.84155746359221</v>
      </c>
      <c r="H350" s="6" t="s">
        <v>2082</v>
      </c>
    </row>
    <row r="351" spans="1:8">
      <c r="A351" s="1">
        <v>359</v>
      </c>
      <c r="B351" s="2" t="s">
        <v>2080</v>
      </c>
      <c r="C351" s="3">
        <v>39068</v>
      </c>
      <c r="D351" s="4">
        <f>YEAR(Table1[[#This Row],[Date]])</f>
        <v>2006</v>
      </c>
      <c r="E351" s="2" t="s">
        <v>2088</v>
      </c>
      <c r="F351" s="4">
        <v>44</v>
      </c>
      <c r="G351" s="5">
        <v>133.90724137081764</v>
      </c>
      <c r="H351" s="6" t="s">
        <v>2090</v>
      </c>
    </row>
    <row r="352" spans="1:8">
      <c r="A352" s="1">
        <v>360</v>
      </c>
      <c r="B352" s="2" t="s">
        <v>2095</v>
      </c>
      <c r="C352" s="3">
        <v>38133</v>
      </c>
      <c r="D352" s="4">
        <f>YEAR(Table1[[#This Row],[Date]])</f>
        <v>2004</v>
      </c>
      <c r="E352" s="2" t="s">
        <v>2097</v>
      </c>
      <c r="F352" s="4">
        <v>70</v>
      </c>
      <c r="G352" s="5">
        <v>211.68588054687572</v>
      </c>
      <c r="H352" s="6" t="s">
        <v>2082</v>
      </c>
    </row>
    <row r="353" spans="1:8">
      <c r="A353" s="1">
        <v>361</v>
      </c>
      <c r="B353" s="2" t="s">
        <v>2095</v>
      </c>
      <c r="C353" s="3">
        <v>38320</v>
      </c>
      <c r="D353" s="4">
        <f>YEAR(Table1[[#This Row],[Date]])</f>
        <v>2004</v>
      </c>
      <c r="E353" s="2" t="s">
        <v>2085</v>
      </c>
      <c r="F353" s="4">
        <v>4</v>
      </c>
      <c r="G353" s="5">
        <v>9.4531080152815825</v>
      </c>
      <c r="H353" s="6" t="s">
        <v>2096</v>
      </c>
    </row>
    <row r="354" spans="1:8">
      <c r="A354" s="1">
        <v>362</v>
      </c>
      <c r="B354" s="2" t="s">
        <v>2099</v>
      </c>
      <c r="C354" s="3">
        <v>38672</v>
      </c>
      <c r="D354" s="4">
        <f>YEAR(Table1[[#This Row],[Date]])</f>
        <v>2005</v>
      </c>
      <c r="E354" s="2" t="s">
        <v>2081</v>
      </c>
      <c r="F354" s="4">
        <v>28</v>
      </c>
      <c r="G354" s="5">
        <v>86.334638190049276</v>
      </c>
      <c r="H354" s="6" t="s">
        <v>2086</v>
      </c>
    </row>
    <row r="355" spans="1:8">
      <c r="A355" s="1">
        <v>363</v>
      </c>
      <c r="B355" s="2" t="s">
        <v>2087</v>
      </c>
      <c r="C355" s="3">
        <v>39002</v>
      </c>
      <c r="D355" s="4">
        <f>YEAR(Table1[[#This Row],[Date]])</f>
        <v>2006</v>
      </c>
      <c r="E355" s="2" t="s">
        <v>2097</v>
      </c>
      <c r="F355" s="4">
        <v>83</v>
      </c>
      <c r="G355" s="5">
        <v>250.60923862889706</v>
      </c>
      <c r="H355" s="6" t="s">
        <v>2082</v>
      </c>
    </row>
    <row r="356" spans="1:8">
      <c r="A356" s="1">
        <v>364</v>
      </c>
      <c r="B356" s="2" t="s">
        <v>2100</v>
      </c>
      <c r="C356" s="3">
        <v>38903</v>
      </c>
      <c r="D356" s="4">
        <f>YEAR(Table1[[#This Row],[Date]])</f>
        <v>2006</v>
      </c>
      <c r="E356" s="2" t="s">
        <v>2081</v>
      </c>
      <c r="F356" s="4">
        <v>46</v>
      </c>
      <c r="G356" s="5">
        <v>140.47993678432567</v>
      </c>
      <c r="H356" s="6" t="s">
        <v>2082</v>
      </c>
    </row>
    <row r="357" spans="1:8">
      <c r="A357" s="1">
        <v>365</v>
      </c>
      <c r="B357" s="2" t="s">
        <v>2099</v>
      </c>
      <c r="C357" s="3">
        <v>38859</v>
      </c>
      <c r="D357" s="4">
        <f>YEAR(Table1[[#This Row],[Date]])</f>
        <v>2006</v>
      </c>
      <c r="E357" s="2" t="s">
        <v>2081</v>
      </c>
      <c r="F357" s="4">
        <v>88</v>
      </c>
      <c r="G357" s="5">
        <v>266.35125676130951</v>
      </c>
      <c r="H357" s="6" t="s">
        <v>2090</v>
      </c>
    </row>
    <row r="358" spans="1:8">
      <c r="A358" s="1">
        <v>366</v>
      </c>
      <c r="B358" s="2" t="s">
        <v>2098</v>
      </c>
      <c r="C358" s="3">
        <v>38639</v>
      </c>
      <c r="D358" s="4">
        <f>YEAR(Table1[[#This Row],[Date]])</f>
        <v>2005</v>
      </c>
      <c r="E358" s="2" t="s">
        <v>2081</v>
      </c>
      <c r="F358" s="4">
        <v>9</v>
      </c>
      <c r="G358" s="5">
        <v>24.537461299444743</v>
      </c>
      <c r="H358" s="6" t="s">
        <v>2096</v>
      </c>
    </row>
    <row r="359" spans="1:8">
      <c r="A359" s="1">
        <v>367</v>
      </c>
      <c r="B359" s="2" t="s">
        <v>2084</v>
      </c>
      <c r="C359" s="3">
        <v>38573</v>
      </c>
      <c r="D359" s="4">
        <f>YEAR(Table1[[#This Row],[Date]])</f>
        <v>2005</v>
      </c>
      <c r="E359" s="2" t="s">
        <v>2085</v>
      </c>
      <c r="F359" s="4">
        <v>8</v>
      </c>
      <c r="G359" s="5">
        <v>21.825357589950652</v>
      </c>
      <c r="H359" s="6" t="s">
        <v>2090</v>
      </c>
    </row>
    <row r="360" spans="1:8">
      <c r="A360" s="1">
        <v>368</v>
      </c>
      <c r="B360" s="2" t="s">
        <v>2093</v>
      </c>
      <c r="C360" s="3">
        <v>38903</v>
      </c>
      <c r="D360" s="4">
        <f>YEAR(Table1[[#This Row],[Date]])</f>
        <v>2006</v>
      </c>
      <c r="E360" s="2" t="s">
        <v>2085</v>
      </c>
      <c r="F360" s="4">
        <v>37</v>
      </c>
      <c r="G360" s="5">
        <v>113.0101592216552</v>
      </c>
      <c r="H360" s="6" t="s">
        <v>2086</v>
      </c>
    </row>
    <row r="361" spans="1:8">
      <c r="A361" s="1">
        <v>369</v>
      </c>
      <c r="B361" s="2" t="s">
        <v>2084</v>
      </c>
      <c r="C361" s="3">
        <v>38045</v>
      </c>
      <c r="D361" s="4">
        <f>YEAR(Table1[[#This Row],[Date]])</f>
        <v>2004</v>
      </c>
      <c r="E361" s="2" t="s">
        <v>2085</v>
      </c>
      <c r="F361" s="4">
        <v>20</v>
      </c>
      <c r="G361" s="5">
        <v>61.67879282842005</v>
      </c>
      <c r="H361" s="6" t="s">
        <v>2096</v>
      </c>
    </row>
    <row r="362" spans="1:8">
      <c r="A362" s="1">
        <v>370</v>
      </c>
      <c r="B362" s="2" t="s">
        <v>2095</v>
      </c>
      <c r="C362" s="3">
        <v>38606</v>
      </c>
      <c r="D362" s="4">
        <f>YEAR(Table1[[#This Row],[Date]])</f>
        <v>2005</v>
      </c>
      <c r="E362" s="2" t="s">
        <v>2081</v>
      </c>
      <c r="F362" s="4">
        <v>2</v>
      </c>
      <c r="G362" s="5">
        <v>7.7509272810830456</v>
      </c>
      <c r="H362" s="6" t="s">
        <v>2090</v>
      </c>
    </row>
    <row r="363" spans="1:8">
      <c r="A363" s="1">
        <v>371</v>
      </c>
      <c r="B363" s="2" t="s">
        <v>2087</v>
      </c>
      <c r="C363" s="3">
        <v>38584</v>
      </c>
      <c r="D363" s="4">
        <f>YEAR(Table1[[#This Row],[Date]])</f>
        <v>2005</v>
      </c>
      <c r="E363" s="2" t="s">
        <v>2094</v>
      </c>
      <c r="F363" s="4">
        <v>36</v>
      </c>
      <c r="G363" s="5">
        <v>110.59418125988078</v>
      </c>
      <c r="H363" s="6" t="s">
        <v>2082</v>
      </c>
    </row>
    <row r="364" spans="1:8">
      <c r="A364" s="1">
        <v>372</v>
      </c>
      <c r="B364" s="2" t="s">
        <v>2087</v>
      </c>
      <c r="C364" s="3">
        <v>38628</v>
      </c>
      <c r="D364" s="4">
        <f>YEAR(Table1[[#This Row],[Date]])</f>
        <v>2005</v>
      </c>
      <c r="E364" s="2" t="s">
        <v>2097</v>
      </c>
      <c r="F364" s="4">
        <v>34</v>
      </c>
      <c r="G364" s="5">
        <v>103.88965096458593</v>
      </c>
      <c r="H364" s="6" t="s">
        <v>2090</v>
      </c>
    </row>
    <row r="365" spans="1:8">
      <c r="A365" s="1">
        <v>373</v>
      </c>
      <c r="B365" s="2" t="s">
        <v>2100</v>
      </c>
      <c r="C365" s="3">
        <v>38837</v>
      </c>
      <c r="D365" s="4">
        <f>YEAR(Table1[[#This Row],[Date]])</f>
        <v>2006</v>
      </c>
      <c r="E365" s="2" t="s">
        <v>2094</v>
      </c>
      <c r="F365" s="4">
        <v>84</v>
      </c>
      <c r="G365" s="5">
        <v>253.89322061575038</v>
      </c>
      <c r="H365" s="6" t="s">
        <v>2086</v>
      </c>
    </row>
    <row r="366" spans="1:8">
      <c r="A366" s="1">
        <v>374</v>
      </c>
      <c r="B366" s="2" t="s">
        <v>2084</v>
      </c>
      <c r="C366" s="3">
        <v>38947</v>
      </c>
      <c r="D366" s="4">
        <f>YEAR(Table1[[#This Row],[Date]])</f>
        <v>2006</v>
      </c>
      <c r="E366" s="2" t="s">
        <v>2097</v>
      </c>
      <c r="F366" s="4">
        <v>89</v>
      </c>
      <c r="G366" s="5">
        <v>268.47594870423103</v>
      </c>
      <c r="H366" s="6" t="s">
        <v>2096</v>
      </c>
    </row>
    <row r="367" spans="1:8">
      <c r="A367" s="1">
        <v>375</v>
      </c>
      <c r="B367" s="2" t="s">
        <v>2091</v>
      </c>
      <c r="C367" s="3">
        <v>38749</v>
      </c>
      <c r="D367" s="4">
        <f>YEAR(Table1[[#This Row],[Date]])</f>
        <v>2006</v>
      </c>
      <c r="E367" s="2" t="s">
        <v>2081</v>
      </c>
      <c r="F367" s="4">
        <v>31</v>
      </c>
      <c r="G367" s="5">
        <v>95.680691267513808</v>
      </c>
      <c r="H367" s="6" t="s">
        <v>2082</v>
      </c>
    </row>
    <row r="368" spans="1:8">
      <c r="A368" s="1">
        <v>376</v>
      </c>
      <c r="B368" s="2" t="s">
        <v>2100</v>
      </c>
      <c r="C368" s="3">
        <v>38067</v>
      </c>
      <c r="D368" s="4">
        <f>YEAR(Table1[[#This Row],[Date]])</f>
        <v>2004</v>
      </c>
      <c r="E368" s="2" t="s">
        <v>2081</v>
      </c>
      <c r="F368" s="4">
        <v>7</v>
      </c>
      <c r="G368" s="5">
        <v>22.545863255239365</v>
      </c>
      <c r="H368" s="6" t="s">
        <v>2090</v>
      </c>
    </row>
    <row r="369" spans="1:8">
      <c r="A369" s="1">
        <v>377</v>
      </c>
      <c r="B369" s="2" t="s">
        <v>2084</v>
      </c>
      <c r="C369" s="3">
        <v>38023</v>
      </c>
      <c r="D369" s="4">
        <f>YEAR(Table1[[#This Row],[Date]])</f>
        <v>2004</v>
      </c>
      <c r="E369" s="2" t="s">
        <v>2081</v>
      </c>
      <c r="F369" s="4">
        <v>7</v>
      </c>
      <c r="G369" s="5">
        <v>22.939193343037168</v>
      </c>
      <c r="H369" s="6" t="s">
        <v>2090</v>
      </c>
    </row>
    <row r="370" spans="1:8">
      <c r="A370" s="1">
        <v>378</v>
      </c>
      <c r="B370" s="2" t="s">
        <v>2098</v>
      </c>
      <c r="C370" s="3">
        <v>38771</v>
      </c>
      <c r="D370" s="4">
        <f>YEAR(Table1[[#This Row],[Date]])</f>
        <v>2006</v>
      </c>
      <c r="E370" s="2" t="s">
        <v>2094</v>
      </c>
      <c r="F370" s="4">
        <v>76</v>
      </c>
      <c r="G370" s="5">
        <v>229.89259006043184</v>
      </c>
      <c r="H370" s="6" t="s">
        <v>2096</v>
      </c>
    </row>
    <row r="371" spans="1:8">
      <c r="A371" s="1">
        <v>379</v>
      </c>
      <c r="B371" s="2" t="s">
        <v>2091</v>
      </c>
      <c r="C371" s="3">
        <v>38199</v>
      </c>
      <c r="D371" s="4">
        <f>YEAR(Table1[[#This Row],[Date]])</f>
        <v>2004</v>
      </c>
      <c r="E371" s="2" t="s">
        <v>2085</v>
      </c>
      <c r="F371" s="4">
        <v>6</v>
      </c>
      <c r="G371" s="5">
        <v>19.561017308486775</v>
      </c>
      <c r="H371" s="6" t="s">
        <v>2090</v>
      </c>
    </row>
    <row r="372" spans="1:8">
      <c r="A372" s="1">
        <v>380</v>
      </c>
      <c r="B372" s="2" t="s">
        <v>2095</v>
      </c>
      <c r="C372" s="3">
        <v>39013</v>
      </c>
      <c r="D372" s="4">
        <f>YEAR(Table1[[#This Row],[Date]])</f>
        <v>2006</v>
      </c>
      <c r="E372" s="2" t="s">
        <v>2081</v>
      </c>
      <c r="F372" s="4">
        <v>43</v>
      </c>
      <c r="G372" s="5">
        <v>130.28590210776713</v>
      </c>
      <c r="H372" s="6" t="s">
        <v>2090</v>
      </c>
    </row>
    <row r="373" spans="1:8">
      <c r="A373" s="1">
        <v>381</v>
      </c>
      <c r="B373" s="2" t="s">
        <v>2100</v>
      </c>
      <c r="C373" s="3">
        <v>38001</v>
      </c>
      <c r="D373" s="4">
        <f>YEAR(Table1[[#This Row],[Date]])</f>
        <v>2004</v>
      </c>
      <c r="E373" s="2" t="s">
        <v>2097</v>
      </c>
      <c r="F373" s="4">
        <v>20</v>
      </c>
      <c r="G373" s="5">
        <v>62.18277208256027</v>
      </c>
      <c r="H373" s="6" t="s">
        <v>2090</v>
      </c>
    </row>
    <row r="374" spans="1:8">
      <c r="A374" s="1">
        <v>382</v>
      </c>
      <c r="B374" s="2" t="s">
        <v>2091</v>
      </c>
      <c r="C374" s="3">
        <v>38793</v>
      </c>
      <c r="D374" s="4">
        <f>YEAR(Table1[[#This Row],[Date]])</f>
        <v>2006</v>
      </c>
      <c r="E374" s="2" t="s">
        <v>2088</v>
      </c>
      <c r="F374" s="4">
        <v>11</v>
      </c>
      <c r="G374" s="5">
        <v>35.076818705440886</v>
      </c>
      <c r="H374" s="6" t="s">
        <v>2082</v>
      </c>
    </row>
    <row r="375" spans="1:8">
      <c r="A375" s="1">
        <v>383</v>
      </c>
      <c r="B375" s="2" t="s">
        <v>2099</v>
      </c>
      <c r="C375" s="3">
        <v>38529</v>
      </c>
      <c r="D375" s="4">
        <f>YEAR(Table1[[#This Row],[Date]])</f>
        <v>2005</v>
      </c>
      <c r="E375" s="2" t="s">
        <v>2094</v>
      </c>
      <c r="F375" s="4">
        <v>35</v>
      </c>
      <c r="G375" s="5">
        <v>107.05323824700537</v>
      </c>
      <c r="H375" s="6" t="s">
        <v>2096</v>
      </c>
    </row>
    <row r="376" spans="1:8">
      <c r="A376" s="1">
        <v>384</v>
      </c>
      <c r="B376" s="2" t="s">
        <v>2098</v>
      </c>
      <c r="C376" s="3">
        <v>38793</v>
      </c>
      <c r="D376" s="4">
        <f>YEAR(Table1[[#This Row],[Date]])</f>
        <v>2006</v>
      </c>
      <c r="E376" s="2" t="s">
        <v>2085</v>
      </c>
      <c r="F376" s="4">
        <v>72</v>
      </c>
      <c r="G376" s="5">
        <v>218.15023917907857</v>
      </c>
      <c r="H376" s="6" t="s">
        <v>2082</v>
      </c>
    </row>
    <row r="377" spans="1:8">
      <c r="A377" s="1">
        <v>385</v>
      </c>
      <c r="B377" s="2" t="s">
        <v>2100</v>
      </c>
      <c r="C377" s="3">
        <v>38133</v>
      </c>
      <c r="D377" s="4">
        <f>YEAR(Table1[[#This Row],[Date]])</f>
        <v>2004</v>
      </c>
      <c r="E377" s="2" t="s">
        <v>2085</v>
      </c>
      <c r="F377" s="4">
        <v>49</v>
      </c>
      <c r="G377" s="5">
        <v>148.92692975074797</v>
      </c>
      <c r="H377" s="6" t="s">
        <v>2090</v>
      </c>
    </row>
    <row r="378" spans="1:8">
      <c r="A378" s="1">
        <v>386</v>
      </c>
      <c r="B378" s="2" t="s">
        <v>2099</v>
      </c>
      <c r="C378" s="3">
        <v>38782</v>
      </c>
      <c r="D378" s="4">
        <f>YEAR(Table1[[#This Row],[Date]])</f>
        <v>2006</v>
      </c>
      <c r="E378" s="2" t="s">
        <v>2085</v>
      </c>
      <c r="F378" s="4">
        <v>88</v>
      </c>
      <c r="G378" s="5">
        <v>266.64631383797939</v>
      </c>
      <c r="H378" s="6" t="s">
        <v>2086</v>
      </c>
    </row>
    <row r="379" spans="1:8">
      <c r="A379" s="1">
        <v>387</v>
      </c>
      <c r="B379" s="2" t="s">
        <v>2087</v>
      </c>
      <c r="C379" s="3">
        <v>38804</v>
      </c>
      <c r="D379" s="4">
        <f>YEAR(Table1[[#This Row],[Date]])</f>
        <v>2006</v>
      </c>
      <c r="E379" s="2" t="s">
        <v>2085</v>
      </c>
      <c r="F379" s="4">
        <v>45</v>
      </c>
      <c r="G379" s="5">
        <v>136.00734165157533</v>
      </c>
      <c r="H379" s="6" t="s">
        <v>2086</v>
      </c>
    </row>
    <row r="380" spans="1:8">
      <c r="A380" s="1">
        <v>388</v>
      </c>
      <c r="B380" s="2" t="s">
        <v>2087</v>
      </c>
      <c r="C380" s="3">
        <v>38067</v>
      </c>
      <c r="D380" s="4">
        <f>YEAR(Table1[[#This Row],[Date]])</f>
        <v>2004</v>
      </c>
      <c r="E380" s="2" t="s">
        <v>2081</v>
      </c>
      <c r="F380" s="4">
        <v>37</v>
      </c>
      <c r="G380" s="5">
        <v>112.92900415721101</v>
      </c>
      <c r="H380" s="6" t="s">
        <v>2086</v>
      </c>
    </row>
    <row r="381" spans="1:8">
      <c r="A381" s="1">
        <v>389</v>
      </c>
      <c r="B381" s="2" t="s">
        <v>2093</v>
      </c>
      <c r="C381" s="3">
        <v>38452</v>
      </c>
      <c r="D381" s="4">
        <f>YEAR(Table1[[#This Row],[Date]])</f>
        <v>2005</v>
      </c>
      <c r="E381" s="2" t="s">
        <v>2081</v>
      </c>
      <c r="F381" s="4">
        <v>12</v>
      </c>
      <c r="G381" s="5">
        <v>38.618337900456311</v>
      </c>
      <c r="H381" s="6" t="s">
        <v>2086</v>
      </c>
    </row>
    <row r="382" spans="1:8">
      <c r="A382" s="1">
        <v>390</v>
      </c>
      <c r="B382" s="2" t="s">
        <v>2099</v>
      </c>
      <c r="C382" s="3">
        <v>38122</v>
      </c>
      <c r="D382" s="4">
        <f>YEAR(Table1[[#This Row],[Date]])</f>
        <v>2004</v>
      </c>
      <c r="E382" s="2" t="s">
        <v>2097</v>
      </c>
      <c r="F382" s="4">
        <v>18</v>
      </c>
      <c r="G382" s="5">
        <v>55.932067779481031</v>
      </c>
      <c r="H382" s="6" t="s">
        <v>2086</v>
      </c>
    </row>
    <row r="383" spans="1:8">
      <c r="A383" s="1">
        <v>391</v>
      </c>
      <c r="B383" s="2" t="s">
        <v>2084</v>
      </c>
      <c r="C383" s="3">
        <v>38738</v>
      </c>
      <c r="D383" s="4">
        <f>YEAR(Table1[[#This Row],[Date]])</f>
        <v>2006</v>
      </c>
      <c r="E383" s="2" t="s">
        <v>2081</v>
      </c>
      <c r="F383" s="4">
        <v>75</v>
      </c>
      <c r="G383" s="5">
        <v>226.99796556311475</v>
      </c>
      <c r="H383" s="6" t="s">
        <v>2082</v>
      </c>
    </row>
    <row r="384" spans="1:8">
      <c r="A384" s="1">
        <v>392</v>
      </c>
      <c r="B384" s="2" t="s">
        <v>2099</v>
      </c>
      <c r="C384" s="3">
        <v>38408</v>
      </c>
      <c r="D384" s="4">
        <f>YEAR(Table1[[#This Row],[Date]])</f>
        <v>2005</v>
      </c>
      <c r="E384" s="2" t="s">
        <v>2085</v>
      </c>
      <c r="F384" s="4">
        <v>8</v>
      </c>
      <c r="G384" s="5">
        <v>26.314204821327241</v>
      </c>
      <c r="H384" s="6" t="s">
        <v>2082</v>
      </c>
    </row>
    <row r="385" spans="1:8">
      <c r="A385" s="1">
        <v>393</v>
      </c>
      <c r="B385" s="2" t="s">
        <v>2080</v>
      </c>
      <c r="C385" s="3">
        <v>38078</v>
      </c>
      <c r="D385" s="4">
        <f>YEAR(Table1[[#This Row],[Date]])</f>
        <v>2004</v>
      </c>
      <c r="E385" s="2" t="s">
        <v>2081</v>
      </c>
      <c r="F385" s="4">
        <v>37</v>
      </c>
      <c r="G385" s="5">
        <v>112.53534248627696</v>
      </c>
      <c r="H385" s="6" t="s">
        <v>2096</v>
      </c>
    </row>
    <row r="386" spans="1:8">
      <c r="A386" s="1">
        <v>394</v>
      </c>
      <c r="B386" s="2" t="s">
        <v>2087</v>
      </c>
      <c r="C386" s="3">
        <v>38342</v>
      </c>
      <c r="D386" s="4">
        <f>YEAR(Table1[[#This Row],[Date]])</f>
        <v>2004</v>
      </c>
      <c r="E386" s="2" t="s">
        <v>2081</v>
      </c>
      <c r="F386" s="4">
        <v>6</v>
      </c>
      <c r="G386" s="5">
        <v>16.412365818215765</v>
      </c>
      <c r="H386" s="6" t="s">
        <v>2082</v>
      </c>
    </row>
    <row r="387" spans="1:8">
      <c r="A387" s="1">
        <v>395</v>
      </c>
      <c r="B387" s="2" t="s">
        <v>2080</v>
      </c>
      <c r="C387" s="3">
        <v>38122</v>
      </c>
      <c r="D387" s="4">
        <f>YEAR(Table1[[#This Row],[Date]])</f>
        <v>2004</v>
      </c>
      <c r="E387" s="2" t="s">
        <v>2088</v>
      </c>
      <c r="F387" s="4">
        <v>56</v>
      </c>
      <c r="G387" s="5">
        <v>169.27515470165261</v>
      </c>
      <c r="H387" s="6" t="s">
        <v>2086</v>
      </c>
    </row>
    <row r="388" spans="1:8">
      <c r="A388" s="1">
        <v>396</v>
      </c>
      <c r="B388" s="2" t="s">
        <v>2099</v>
      </c>
      <c r="C388" s="3">
        <v>38331</v>
      </c>
      <c r="D388" s="4">
        <f>YEAR(Table1[[#This Row],[Date]])</f>
        <v>2004</v>
      </c>
      <c r="E388" s="2" t="s">
        <v>2094</v>
      </c>
      <c r="F388" s="4">
        <v>53</v>
      </c>
      <c r="G388" s="5">
        <v>161.32546557795675</v>
      </c>
      <c r="H388" s="6" t="s">
        <v>2086</v>
      </c>
    </row>
    <row r="389" spans="1:8">
      <c r="A389" s="1">
        <v>397</v>
      </c>
      <c r="B389" s="2" t="s">
        <v>2095</v>
      </c>
      <c r="C389" s="3">
        <v>38133</v>
      </c>
      <c r="D389" s="4">
        <f>YEAR(Table1[[#This Row],[Date]])</f>
        <v>2004</v>
      </c>
      <c r="E389" s="2" t="s">
        <v>2081</v>
      </c>
      <c r="F389" s="4">
        <v>62</v>
      </c>
      <c r="G389" s="5">
        <v>187.71993550398903</v>
      </c>
      <c r="H389" s="6" t="s">
        <v>2082</v>
      </c>
    </row>
    <row r="390" spans="1:8">
      <c r="A390" s="1">
        <v>398</v>
      </c>
      <c r="B390" s="2" t="s">
        <v>2087</v>
      </c>
      <c r="C390" s="3">
        <v>38441</v>
      </c>
      <c r="D390" s="4">
        <f>YEAR(Table1[[#This Row],[Date]])</f>
        <v>2005</v>
      </c>
      <c r="E390" s="2" t="s">
        <v>2097</v>
      </c>
      <c r="F390" s="4">
        <v>90</v>
      </c>
      <c r="G390" s="5">
        <v>271.30519777626336</v>
      </c>
      <c r="H390" s="6" t="s">
        <v>2086</v>
      </c>
    </row>
    <row r="391" spans="1:8">
      <c r="A391" s="1">
        <v>399</v>
      </c>
      <c r="B391" s="2" t="s">
        <v>2087</v>
      </c>
      <c r="C391" s="3">
        <v>38001</v>
      </c>
      <c r="D391" s="4">
        <f>YEAR(Table1[[#This Row],[Date]])</f>
        <v>2004</v>
      </c>
      <c r="E391" s="2" t="s">
        <v>2094</v>
      </c>
      <c r="F391" s="4">
        <v>30</v>
      </c>
      <c r="G391" s="5">
        <v>92.293324121451917</v>
      </c>
      <c r="H391" s="6" t="s">
        <v>2086</v>
      </c>
    </row>
    <row r="392" spans="1:8">
      <c r="A392" s="1">
        <v>400</v>
      </c>
      <c r="B392" s="2" t="s">
        <v>2093</v>
      </c>
      <c r="C392" s="3">
        <v>38397</v>
      </c>
      <c r="D392" s="4">
        <f>YEAR(Table1[[#This Row],[Date]])</f>
        <v>2005</v>
      </c>
      <c r="E392" s="2" t="s">
        <v>2085</v>
      </c>
      <c r="F392" s="4">
        <v>36</v>
      </c>
      <c r="G392" s="5">
        <v>110.39391248869612</v>
      </c>
      <c r="H392" s="6" t="s">
        <v>2096</v>
      </c>
    </row>
    <row r="393" spans="1:8">
      <c r="A393" s="1">
        <v>401</v>
      </c>
      <c r="B393" s="2" t="s">
        <v>2095</v>
      </c>
      <c r="C393" s="3">
        <v>38419</v>
      </c>
      <c r="D393" s="4">
        <f>YEAR(Table1[[#This Row],[Date]])</f>
        <v>2005</v>
      </c>
      <c r="E393" s="2" t="s">
        <v>2094</v>
      </c>
      <c r="F393" s="4">
        <v>76</v>
      </c>
      <c r="G393" s="5">
        <v>230.11911772178482</v>
      </c>
      <c r="H393" s="6" t="s">
        <v>2090</v>
      </c>
    </row>
    <row r="394" spans="1:8">
      <c r="A394" s="1">
        <v>402</v>
      </c>
      <c r="B394" s="2" t="s">
        <v>2098</v>
      </c>
      <c r="C394" s="3">
        <v>38452</v>
      </c>
      <c r="D394" s="4">
        <f>YEAR(Table1[[#This Row],[Date]])</f>
        <v>2005</v>
      </c>
      <c r="E394" s="2" t="s">
        <v>2081</v>
      </c>
      <c r="F394" s="4">
        <v>4</v>
      </c>
      <c r="G394" s="5">
        <v>10.045852408088738</v>
      </c>
      <c r="H394" s="6" t="s">
        <v>2082</v>
      </c>
    </row>
    <row r="395" spans="1:8">
      <c r="A395" s="1">
        <v>403</v>
      </c>
      <c r="B395" s="2" t="s">
        <v>2093</v>
      </c>
      <c r="C395" s="3">
        <v>38331</v>
      </c>
      <c r="D395" s="4">
        <f>YEAR(Table1[[#This Row],[Date]])</f>
        <v>2004</v>
      </c>
      <c r="E395" s="2" t="s">
        <v>2088</v>
      </c>
      <c r="F395" s="4">
        <v>26</v>
      </c>
      <c r="G395" s="5">
        <v>80.067286712333498</v>
      </c>
      <c r="H395" s="6" t="s">
        <v>2086</v>
      </c>
    </row>
    <row r="396" spans="1:8">
      <c r="A396" s="1">
        <v>404</v>
      </c>
      <c r="B396" s="2" t="s">
        <v>2095</v>
      </c>
      <c r="C396" s="3">
        <v>38485</v>
      </c>
      <c r="D396" s="4">
        <f>YEAR(Table1[[#This Row],[Date]])</f>
        <v>2005</v>
      </c>
      <c r="E396" s="2" t="s">
        <v>2081</v>
      </c>
      <c r="F396" s="4">
        <v>5</v>
      </c>
      <c r="G396" s="5">
        <v>12.799843018696107</v>
      </c>
      <c r="H396" s="6" t="s">
        <v>2090</v>
      </c>
    </row>
    <row r="397" spans="1:8">
      <c r="A397" s="1">
        <v>405</v>
      </c>
      <c r="B397" s="2" t="s">
        <v>2091</v>
      </c>
      <c r="C397" s="3">
        <v>38111</v>
      </c>
      <c r="D397" s="4">
        <f>YEAR(Table1[[#This Row],[Date]])</f>
        <v>2004</v>
      </c>
      <c r="E397" s="2" t="s">
        <v>2085</v>
      </c>
      <c r="F397" s="4">
        <v>44</v>
      </c>
      <c r="G397" s="5">
        <v>133.92031416884828</v>
      </c>
      <c r="H397" s="6" t="s">
        <v>2086</v>
      </c>
    </row>
    <row r="398" spans="1:8">
      <c r="A398" s="1">
        <v>406</v>
      </c>
      <c r="B398" s="2" t="s">
        <v>2093</v>
      </c>
      <c r="C398" s="3">
        <v>38034</v>
      </c>
      <c r="D398" s="4">
        <f>YEAR(Table1[[#This Row],[Date]])</f>
        <v>2004</v>
      </c>
      <c r="E398" s="2" t="s">
        <v>2097</v>
      </c>
      <c r="F398" s="4">
        <v>91</v>
      </c>
      <c r="G398" s="5">
        <v>274.81127367201924</v>
      </c>
      <c r="H398" s="6" t="s">
        <v>2082</v>
      </c>
    </row>
    <row r="399" spans="1:8">
      <c r="A399" s="1">
        <v>407</v>
      </c>
      <c r="B399" s="2" t="s">
        <v>2098</v>
      </c>
      <c r="C399" s="3">
        <v>38056</v>
      </c>
      <c r="D399" s="4">
        <f>YEAR(Table1[[#This Row],[Date]])</f>
        <v>2004</v>
      </c>
      <c r="E399" s="2" t="s">
        <v>2081</v>
      </c>
      <c r="F399" s="4">
        <v>78</v>
      </c>
      <c r="G399" s="5">
        <v>235.98595343131922</v>
      </c>
      <c r="H399" s="6" t="s">
        <v>2090</v>
      </c>
    </row>
    <row r="400" spans="1:8">
      <c r="A400" s="1">
        <v>408</v>
      </c>
      <c r="B400" s="2" t="s">
        <v>2099</v>
      </c>
      <c r="C400" s="3">
        <v>38859</v>
      </c>
      <c r="D400" s="4">
        <f>YEAR(Table1[[#This Row],[Date]])</f>
        <v>2006</v>
      </c>
      <c r="E400" s="2" t="s">
        <v>2081</v>
      </c>
      <c r="F400" s="4">
        <v>69</v>
      </c>
      <c r="G400" s="5">
        <v>208.58962786585158</v>
      </c>
      <c r="H400" s="6" t="s">
        <v>2086</v>
      </c>
    </row>
    <row r="401" spans="1:8">
      <c r="A401" s="1">
        <v>409</v>
      </c>
      <c r="B401" s="2" t="s">
        <v>2080</v>
      </c>
      <c r="C401" s="3">
        <v>38276</v>
      </c>
      <c r="D401" s="4">
        <f>YEAR(Table1[[#This Row],[Date]])</f>
        <v>2004</v>
      </c>
      <c r="E401" s="2" t="s">
        <v>2097</v>
      </c>
      <c r="F401" s="4">
        <v>74</v>
      </c>
      <c r="G401" s="5">
        <v>224.0430547727791</v>
      </c>
      <c r="H401" s="6" t="s">
        <v>2096</v>
      </c>
    </row>
    <row r="402" spans="1:8">
      <c r="A402" s="1">
        <v>410</v>
      </c>
      <c r="B402" s="2" t="s">
        <v>2091</v>
      </c>
      <c r="C402" s="3">
        <v>38562</v>
      </c>
      <c r="D402" s="4">
        <f>YEAR(Table1[[#This Row],[Date]])</f>
        <v>2005</v>
      </c>
      <c r="E402" s="2" t="s">
        <v>2085</v>
      </c>
      <c r="F402" s="4">
        <v>71</v>
      </c>
      <c r="G402" s="5">
        <v>215.12402518996404</v>
      </c>
      <c r="H402" s="6" t="s">
        <v>2082</v>
      </c>
    </row>
    <row r="403" spans="1:8">
      <c r="A403" s="1">
        <v>411</v>
      </c>
      <c r="B403" s="2" t="s">
        <v>2080</v>
      </c>
      <c r="C403" s="3">
        <v>38969</v>
      </c>
      <c r="D403" s="4">
        <f>YEAR(Table1[[#This Row],[Date]])</f>
        <v>2006</v>
      </c>
      <c r="E403" s="2" t="s">
        <v>2088</v>
      </c>
      <c r="F403" s="4">
        <v>34</v>
      </c>
      <c r="G403" s="5">
        <v>103.84939593855748</v>
      </c>
      <c r="H403" s="6" t="s">
        <v>2086</v>
      </c>
    </row>
    <row r="404" spans="1:8">
      <c r="A404" s="1">
        <v>412</v>
      </c>
      <c r="B404" s="2" t="s">
        <v>2099</v>
      </c>
      <c r="C404" s="3">
        <v>38507</v>
      </c>
      <c r="D404" s="4">
        <f>YEAR(Table1[[#This Row],[Date]])</f>
        <v>2005</v>
      </c>
      <c r="E404" s="2" t="s">
        <v>2097</v>
      </c>
      <c r="F404" s="4">
        <v>93</v>
      </c>
      <c r="G404" s="5">
        <v>281.17054419951137</v>
      </c>
      <c r="H404" s="6" t="s">
        <v>2082</v>
      </c>
    </row>
    <row r="405" spans="1:8">
      <c r="A405" s="1">
        <v>413</v>
      </c>
      <c r="B405" s="2" t="s">
        <v>2084</v>
      </c>
      <c r="C405" s="3">
        <v>38408</v>
      </c>
      <c r="D405" s="4">
        <f>YEAR(Table1[[#This Row],[Date]])</f>
        <v>2005</v>
      </c>
      <c r="E405" s="2" t="s">
        <v>2085</v>
      </c>
      <c r="F405" s="4">
        <v>60</v>
      </c>
      <c r="G405" s="5">
        <v>182.60959965033061</v>
      </c>
      <c r="H405" s="6" t="s">
        <v>2090</v>
      </c>
    </row>
    <row r="406" spans="1:8">
      <c r="A406" s="1">
        <v>414</v>
      </c>
      <c r="B406" s="2" t="s">
        <v>2100</v>
      </c>
      <c r="C406" s="3">
        <v>38100</v>
      </c>
      <c r="D406" s="4">
        <f>YEAR(Table1[[#This Row],[Date]])</f>
        <v>2004</v>
      </c>
      <c r="E406" s="2" t="s">
        <v>2085</v>
      </c>
      <c r="F406" s="4">
        <v>37</v>
      </c>
      <c r="G406" s="5">
        <v>112.43397722732024</v>
      </c>
      <c r="H406" s="6" t="s">
        <v>2086</v>
      </c>
    </row>
    <row r="407" spans="1:8">
      <c r="A407" s="1">
        <v>415</v>
      </c>
      <c r="B407" s="2" t="s">
        <v>2099</v>
      </c>
      <c r="C407" s="3">
        <v>38166</v>
      </c>
      <c r="D407" s="4">
        <f>YEAR(Table1[[#This Row],[Date]])</f>
        <v>2004</v>
      </c>
      <c r="E407" s="2" t="s">
        <v>2094</v>
      </c>
      <c r="F407" s="4">
        <v>26</v>
      </c>
      <c r="G407" s="5">
        <v>79.913804333123736</v>
      </c>
      <c r="H407" s="6" t="s">
        <v>2082</v>
      </c>
    </row>
    <row r="408" spans="1:8">
      <c r="A408" s="1">
        <v>416</v>
      </c>
      <c r="B408" s="2" t="s">
        <v>2091</v>
      </c>
      <c r="C408" s="3">
        <v>38540</v>
      </c>
      <c r="D408" s="4">
        <f>YEAR(Table1[[#This Row],[Date]])</f>
        <v>2005</v>
      </c>
      <c r="E408" s="2" t="s">
        <v>2094</v>
      </c>
      <c r="F408" s="4">
        <v>2</v>
      </c>
      <c r="G408" s="5">
        <v>8.5397555339606015</v>
      </c>
      <c r="H408" s="6" t="s">
        <v>2096</v>
      </c>
    </row>
    <row r="409" spans="1:8">
      <c r="A409" s="1">
        <v>417</v>
      </c>
      <c r="B409" s="2" t="s">
        <v>2095</v>
      </c>
      <c r="C409" s="3">
        <v>38628</v>
      </c>
      <c r="D409" s="4">
        <f>YEAR(Table1[[#This Row],[Date]])</f>
        <v>2005</v>
      </c>
      <c r="E409" s="2" t="s">
        <v>2085</v>
      </c>
      <c r="F409" s="4">
        <v>9</v>
      </c>
      <c r="G409" s="5">
        <v>25.920453761182117</v>
      </c>
      <c r="H409" s="6" t="s">
        <v>2096</v>
      </c>
    </row>
    <row r="410" spans="1:8">
      <c r="A410" s="1">
        <v>418</v>
      </c>
      <c r="B410" s="2" t="s">
        <v>2080</v>
      </c>
      <c r="C410" s="3">
        <v>38771</v>
      </c>
      <c r="D410" s="4">
        <f>YEAR(Table1[[#This Row],[Date]])</f>
        <v>2006</v>
      </c>
      <c r="E410" s="2" t="s">
        <v>2085</v>
      </c>
      <c r="F410" s="4">
        <v>46</v>
      </c>
      <c r="G410" s="5">
        <v>139.68753059266518</v>
      </c>
      <c r="H410" s="6" t="s">
        <v>2090</v>
      </c>
    </row>
    <row r="411" spans="1:8">
      <c r="A411" s="1">
        <v>419</v>
      </c>
      <c r="B411" s="2" t="s">
        <v>2095</v>
      </c>
      <c r="C411" s="3">
        <v>38056</v>
      </c>
      <c r="D411" s="4">
        <f>YEAR(Table1[[#This Row],[Date]])</f>
        <v>2004</v>
      </c>
      <c r="E411" s="2" t="s">
        <v>2097</v>
      </c>
      <c r="F411" s="4">
        <v>0</v>
      </c>
      <c r="G411" s="5">
        <v>2.3470477551262947</v>
      </c>
      <c r="H411" s="6" t="s">
        <v>2086</v>
      </c>
    </row>
    <row r="412" spans="1:8">
      <c r="A412" s="1">
        <v>420</v>
      </c>
      <c r="B412" s="2" t="s">
        <v>2084</v>
      </c>
      <c r="C412" s="3">
        <v>38320</v>
      </c>
      <c r="D412" s="4">
        <f>YEAR(Table1[[#This Row],[Date]])</f>
        <v>2004</v>
      </c>
      <c r="E412" s="2" t="s">
        <v>2085</v>
      </c>
      <c r="F412" s="4">
        <v>79</v>
      </c>
      <c r="G412" s="5">
        <v>239.2208514522392</v>
      </c>
      <c r="H412" s="6" t="s">
        <v>2096</v>
      </c>
    </row>
    <row r="413" spans="1:8">
      <c r="A413" s="1">
        <v>421</v>
      </c>
      <c r="B413" s="2" t="s">
        <v>2087</v>
      </c>
      <c r="C413" s="3">
        <v>38364</v>
      </c>
      <c r="D413" s="4">
        <f>YEAR(Table1[[#This Row],[Date]])</f>
        <v>2005</v>
      </c>
      <c r="E413" s="2" t="s">
        <v>2085</v>
      </c>
      <c r="F413" s="4">
        <v>48</v>
      </c>
      <c r="G413" s="5">
        <v>146.50697859164157</v>
      </c>
      <c r="H413" s="6" t="s">
        <v>2086</v>
      </c>
    </row>
    <row r="414" spans="1:8">
      <c r="A414" s="1">
        <v>422</v>
      </c>
      <c r="B414" s="2" t="s">
        <v>2091</v>
      </c>
      <c r="C414" s="3">
        <v>38738</v>
      </c>
      <c r="D414" s="4">
        <f>YEAR(Table1[[#This Row],[Date]])</f>
        <v>2006</v>
      </c>
      <c r="E414" s="2" t="s">
        <v>2094</v>
      </c>
      <c r="F414" s="4">
        <v>77</v>
      </c>
      <c r="G414" s="5">
        <v>233.0800910699262</v>
      </c>
      <c r="H414" s="6" t="s">
        <v>2090</v>
      </c>
    </row>
    <row r="415" spans="1:8">
      <c r="A415" s="1">
        <v>423</v>
      </c>
      <c r="B415" s="2" t="s">
        <v>2099</v>
      </c>
      <c r="C415" s="3">
        <v>38760</v>
      </c>
      <c r="D415" s="4">
        <f>YEAR(Table1[[#This Row],[Date]])</f>
        <v>2006</v>
      </c>
      <c r="E415" s="2" t="s">
        <v>2085</v>
      </c>
      <c r="F415" s="4">
        <v>10</v>
      </c>
      <c r="G415" s="5">
        <v>26.967932789902449</v>
      </c>
      <c r="H415" s="6" t="s">
        <v>2096</v>
      </c>
    </row>
    <row r="416" spans="1:8">
      <c r="A416" s="1">
        <v>424</v>
      </c>
      <c r="B416" s="2" t="s">
        <v>2080</v>
      </c>
      <c r="C416" s="3">
        <v>38573</v>
      </c>
      <c r="D416" s="4">
        <f>YEAR(Table1[[#This Row],[Date]])</f>
        <v>2005</v>
      </c>
      <c r="E416" s="2" t="s">
        <v>2088</v>
      </c>
      <c r="F416" s="4">
        <v>45</v>
      </c>
      <c r="G416" s="5">
        <v>137.23163667167327</v>
      </c>
      <c r="H416" s="6" t="s">
        <v>2090</v>
      </c>
    </row>
    <row r="417" spans="1:8">
      <c r="A417" s="1">
        <v>425</v>
      </c>
      <c r="B417" s="2" t="s">
        <v>2093</v>
      </c>
      <c r="C417" s="3">
        <v>38375</v>
      </c>
      <c r="D417" s="4">
        <f>YEAR(Table1[[#This Row],[Date]])</f>
        <v>2005</v>
      </c>
      <c r="E417" s="2" t="s">
        <v>2085</v>
      </c>
      <c r="F417" s="4">
        <v>17</v>
      </c>
      <c r="G417" s="5">
        <v>53.565793196028118</v>
      </c>
      <c r="H417" s="6" t="s">
        <v>2096</v>
      </c>
    </row>
    <row r="418" spans="1:8">
      <c r="A418" s="1">
        <v>426</v>
      </c>
      <c r="B418" s="2" t="s">
        <v>2099</v>
      </c>
      <c r="C418" s="3">
        <v>38584</v>
      </c>
      <c r="D418" s="4">
        <f>YEAR(Table1[[#This Row],[Date]])</f>
        <v>2005</v>
      </c>
      <c r="E418" s="2" t="s">
        <v>2094</v>
      </c>
      <c r="F418" s="4">
        <v>4</v>
      </c>
      <c r="G418" s="5">
        <v>10.36408331456853</v>
      </c>
      <c r="H418" s="6" t="s">
        <v>2082</v>
      </c>
    </row>
    <row r="419" spans="1:8">
      <c r="A419" s="1">
        <v>427</v>
      </c>
      <c r="B419" s="2" t="s">
        <v>2091</v>
      </c>
      <c r="C419" s="3">
        <v>39068</v>
      </c>
      <c r="D419" s="4">
        <f>YEAR(Table1[[#This Row],[Date]])</f>
        <v>2006</v>
      </c>
      <c r="E419" s="2" t="s">
        <v>2097</v>
      </c>
      <c r="F419" s="4">
        <v>43</v>
      </c>
      <c r="G419" s="5">
        <v>130.80350038976189</v>
      </c>
      <c r="H419" s="6" t="s">
        <v>2090</v>
      </c>
    </row>
    <row r="420" spans="1:8">
      <c r="A420" s="1">
        <v>428</v>
      </c>
      <c r="B420" s="2" t="s">
        <v>2093</v>
      </c>
      <c r="C420" s="3">
        <v>38265</v>
      </c>
      <c r="D420" s="4">
        <f>YEAR(Table1[[#This Row],[Date]])</f>
        <v>2004</v>
      </c>
      <c r="E420" s="2" t="s">
        <v>2094</v>
      </c>
      <c r="F420" s="4">
        <v>41</v>
      </c>
      <c r="G420" s="5">
        <v>125.18937528559893</v>
      </c>
      <c r="H420" s="6" t="s">
        <v>2090</v>
      </c>
    </row>
    <row r="421" spans="1:8">
      <c r="A421" s="1">
        <v>429</v>
      </c>
      <c r="B421" s="2" t="s">
        <v>2099</v>
      </c>
      <c r="C421" s="3">
        <v>38892</v>
      </c>
      <c r="D421" s="4">
        <f>YEAR(Table1[[#This Row],[Date]])</f>
        <v>2006</v>
      </c>
      <c r="E421" s="2" t="s">
        <v>2088</v>
      </c>
      <c r="F421" s="4">
        <v>4</v>
      </c>
      <c r="G421" s="5">
        <v>9.8762446340450722</v>
      </c>
      <c r="H421" s="6" t="s">
        <v>2086</v>
      </c>
    </row>
    <row r="422" spans="1:8">
      <c r="A422" s="1">
        <v>430</v>
      </c>
      <c r="B422" s="2" t="s">
        <v>2098</v>
      </c>
      <c r="C422" s="3">
        <v>38243</v>
      </c>
      <c r="D422" s="4">
        <f>YEAR(Table1[[#This Row],[Date]])</f>
        <v>2004</v>
      </c>
      <c r="E422" s="2" t="s">
        <v>2085</v>
      </c>
      <c r="F422" s="4">
        <v>6</v>
      </c>
      <c r="G422" s="5">
        <v>20.388215317654449</v>
      </c>
      <c r="H422" s="6" t="s">
        <v>2082</v>
      </c>
    </row>
    <row r="423" spans="1:8">
      <c r="A423" s="1">
        <v>431</v>
      </c>
      <c r="B423" s="2" t="s">
        <v>2087</v>
      </c>
      <c r="C423" s="3">
        <v>38848</v>
      </c>
      <c r="D423" s="4">
        <f>YEAR(Table1[[#This Row],[Date]])</f>
        <v>2006</v>
      </c>
      <c r="E423" s="2" t="s">
        <v>2085</v>
      </c>
      <c r="F423" s="4">
        <v>8</v>
      </c>
      <c r="G423" s="5">
        <v>25.124465791488021</v>
      </c>
      <c r="H423" s="6" t="s">
        <v>2096</v>
      </c>
    </row>
    <row r="424" spans="1:8">
      <c r="A424" s="1">
        <v>432</v>
      </c>
      <c r="B424" s="2" t="s">
        <v>2084</v>
      </c>
      <c r="C424" s="3">
        <v>38177</v>
      </c>
      <c r="D424" s="4">
        <f>YEAR(Table1[[#This Row],[Date]])</f>
        <v>2004</v>
      </c>
      <c r="E424" s="2" t="s">
        <v>2094</v>
      </c>
      <c r="F424" s="4">
        <v>43</v>
      </c>
      <c r="G424" s="5">
        <v>131.20326238549768</v>
      </c>
      <c r="H424" s="6" t="s">
        <v>2090</v>
      </c>
    </row>
    <row r="425" spans="1:8">
      <c r="A425" s="1">
        <v>433</v>
      </c>
      <c r="B425" s="2" t="s">
        <v>2080</v>
      </c>
      <c r="C425" s="3">
        <v>38144</v>
      </c>
      <c r="D425" s="4">
        <f>YEAR(Table1[[#This Row],[Date]])</f>
        <v>2004</v>
      </c>
      <c r="E425" s="2" t="s">
        <v>2094</v>
      </c>
      <c r="F425" s="4">
        <v>47</v>
      </c>
      <c r="G425" s="5">
        <v>142.67305731753257</v>
      </c>
      <c r="H425" s="6" t="s">
        <v>2082</v>
      </c>
    </row>
    <row r="426" spans="1:8">
      <c r="A426" s="1">
        <v>434</v>
      </c>
      <c r="B426" s="2" t="s">
        <v>2084</v>
      </c>
      <c r="C426" s="3">
        <v>38947</v>
      </c>
      <c r="D426" s="4">
        <f>YEAR(Table1[[#This Row],[Date]])</f>
        <v>2006</v>
      </c>
      <c r="E426" s="2" t="s">
        <v>2081</v>
      </c>
      <c r="F426" s="4">
        <v>13</v>
      </c>
      <c r="G426" s="5">
        <v>41.344467136527072</v>
      </c>
      <c r="H426" s="6" t="s">
        <v>2082</v>
      </c>
    </row>
    <row r="427" spans="1:8">
      <c r="A427" s="1">
        <v>435</v>
      </c>
      <c r="B427" s="2" t="s">
        <v>2099</v>
      </c>
      <c r="C427" s="3">
        <v>38749</v>
      </c>
      <c r="D427" s="4">
        <f>YEAR(Table1[[#This Row],[Date]])</f>
        <v>2006</v>
      </c>
      <c r="E427" s="2" t="s">
        <v>2085</v>
      </c>
      <c r="F427" s="4">
        <v>9</v>
      </c>
      <c r="G427" s="5">
        <v>28.804240494297932</v>
      </c>
      <c r="H427" s="6" t="s">
        <v>2090</v>
      </c>
    </row>
    <row r="428" spans="1:8">
      <c r="A428" s="1">
        <v>436</v>
      </c>
      <c r="B428" s="2" t="s">
        <v>2080</v>
      </c>
      <c r="C428" s="3">
        <v>38045</v>
      </c>
      <c r="D428" s="4">
        <f>YEAR(Table1[[#This Row],[Date]])</f>
        <v>2004</v>
      </c>
      <c r="E428" s="2" t="s">
        <v>2094</v>
      </c>
      <c r="F428" s="4">
        <v>22</v>
      </c>
      <c r="G428" s="5">
        <v>67.510047922862512</v>
      </c>
      <c r="H428" s="6" t="s">
        <v>2096</v>
      </c>
    </row>
    <row r="429" spans="1:8">
      <c r="A429" s="1">
        <v>437</v>
      </c>
      <c r="B429" s="2" t="s">
        <v>2091</v>
      </c>
      <c r="C429" s="3">
        <v>38793</v>
      </c>
      <c r="D429" s="4">
        <f>YEAR(Table1[[#This Row],[Date]])</f>
        <v>2006</v>
      </c>
      <c r="E429" s="2" t="s">
        <v>2094</v>
      </c>
      <c r="F429" s="4">
        <v>87</v>
      </c>
      <c r="G429" s="5">
        <v>263.06877286650899</v>
      </c>
      <c r="H429" s="6" t="s">
        <v>2082</v>
      </c>
    </row>
    <row r="430" spans="1:8">
      <c r="A430" s="1">
        <v>438</v>
      </c>
      <c r="B430" s="2" t="s">
        <v>2095</v>
      </c>
      <c r="C430" s="3">
        <v>39013</v>
      </c>
      <c r="D430" s="4">
        <f>YEAR(Table1[[#This Row],[Date]])</f>
        <v>2006</v>
      </c>
      <c r="E430" s="2" t="s">
        <v>2085</v>
      </c>
      <c r="F430" s="4">
        <v>15</v>
      </c>
      <c r="G430" s="5">
        <v>46.297252141958666</v>
      </c>
      <c r="H430" s="6" t="s">
        <v>2090</v>
      </c>
    </row>
    <row r="431" spans="1:8">
      <c r="A431" s="1">
        <v>439</v>
      </c>
      <c r="B431" s="2" t="s">
        <v>2100</v>
      </c>
      <c r="C431" s="3">
        <v>39013</v>
      </c>
      <c r="D431" s="4">
        <f>YEAR(Table1[[#This Row],[Date]])</f>
        <v>2006</v>
      </c>
      <c r="E431" s="2" t="s">
        <v>2094</v>
      </c>
      <c r="F431" s="4">
        <v>27</v>
      </c>
      <c r="G431" s="5">
        <v>83.407614775333784</v>
      </c>
      <c r="H431" s="6" t="s">
        <v>2090</v>
      </c>
    </row>
    <row r="432" spans="1:8">
      <c r="A432" s="1">
        <v>440</v>
      </c>
      <c r="B432" s="2" t="s">
        <v>2093</v>
      </c>
      <c r="C432" s="3">
        <v>38837</v>
      </c>
      <c r="D432" s="4">
        <f>YEAR(Table1[[#This Row],[Date]])</f>
        <v>2006</v>
      </c>
      <c r="E432" s="2" t="s">
        <v>2088</v>
      </c>
      <c r="F432" s="4">
        <v>78</v>
      </c>
      <c r="G432" s="5">
        <v>236.44426202228297</v>
      </c>
      <c r="H432" s="6" t="s">
        <v>2086</v>
      </c>
    </row>
    <row r="433" spans="1:8">
      <c r="A433" s="1">
        <v>441</v>
      </c>
      <c r="B433" s="2" t="s">
        <v>2100</v>
      </c>
      <c r="C433" s="3">
        <v>38430</v>
      </c>
      <c r="D433" s="4">
        <f>YEAR(Table1[[#This Row],[Date]])</f>
        <v>2005</v>
      </c>
      <c r="E433" s="2" t="s">
        <v>2097</v>
      </c>
      <c r="F433" s="4">
        <v>27</v>
      </c>
      <c r="G433" s="5">
        <v>82.997777309268898</v>
      </c>
      <c r="H433" s="6" t="s">
        <v>2082</v>
      </c>
    </row>
    <row r="434" spans="1:8">
      <c r="A434" s="1">
        <v>442</v>
      </c>
      <c r="B434" s="2" t="s">
        <v>2100</v>
      </c>
      <c r="C434" s="3">
        <v>38012</v>
      </c>
      <c r="D434" s="4">
        <f>YEAR(Table1[[#This Row],[Date]])</f>
        <v>2004</v>
      </c>
      <c r="E434" s="2" t="s">
        <v>2085</v>
      </c>
      <c r="F434" s="4">
        <v>19</v>
      </c>
      <c r="G434" s="5">
        <v>59.621865554565929</v>
      </c>
      <c r="H434" s="6" t="s">
        <v>2096</v>
      </c>
    </row>
    <row r="435" spans="1:8">
      <c r="A435" s="1">
        <v>443</v>
      </c>
      <c r="B435" s="2" t="s">
        <v>2087</v>
      </c>
      <c r="C435" s="3">
        <v>38034</v>
      </c>
      <c r="D435" s="4">
        <f>YEAR(Table1[[#This Row],[Date]])</f>
        <v>2004</v>
      </c>
      <c r="E435" s="2" t="s">
        <v>2097</v>
      </c>
      <c r="F435" s="4">
        <v>0</v>
      </c>
      <c r="G435" s="5">
        <v>2.3705199513077329</v>
      </c>
      <c r="H435" s="6" t="s">
        <v>2090</v>
      </c>
    </row>
    <row r="436" spans="1:8">
      <c r="A436" s="1">
        <v>444</v>
      </c>
      <c r="B436" s="2" t="s">
        <v>2080</v>
      </c>
      <c r="C436" s="3">
        <v>38331</v>
      </c>
      <c r="D436" s="4">
        <f>YEAR(Table1[[#This Row],[Date]])</f>
        <v>2004</v>
      </c>
      <c r="E436" s="2" t="s">
        <v>2094</v>
      </c>
      <c r="F436" s="4">
        <v>30</v>
      </c>
      <c r="G436" s="5">
        <v>91.969621588308584</v>
      </c>
      <c r="H436" s="6" t="s">
        <v>2082</v>
      </c>
    </row>
    <row r="437" spans="1:8">
      <c r="A437" s="1">
        <v>445</v>
      </c>
      <c r="B437" s="2" t="s">
        <v>2095</v>
      </c>
      <c r="C437" s="3">
        <v>38936</v>
      </c>
      <c r="D437" s="4">
        <f>YEAR(Table1[[#This Row],[Date]])</f>
        <v>2006</v>
      </c>
      <c r="E437" s="2" t="s">
        <v>2088</v>
      </c>
      <c r="F437" s="4">
        <v>17</v>
      </c>
      <c r="G437" s="5">
        <v>52.938579538531904</v>
      </c>
      <c r="H437" s="6" t="s">
        <v>2086</v>
      </c>
    </row>
    <row r="438" spans="1:8">
      <c r="A438" s="1">
        <v>446</v>
      </c>
      <c r="B438" s="2" t="s">
        <v>2084</v>
      </c>
      <c r="C438" s="3">
        <v>38507</v>
      </c>
      <c r="D438" s="4">
        <f>YEAR(Table1[[#This Row],[Date]])</f>
        <v>2005</v>
      </c>
      <c r="E438" s="2" t="s">
        <v>2081</v>
      </c>
      <c r="F438" s="4">
        <v>36</v>
      </c>
      <c r="G438" s="5">
        <v>109.95144430067725</v>
      </c>
      <c r="H438" s="6" t="s">
        <v>2082</v>
      </c>
    </row>
    <row r="439" spans="1:8">
      <c r="A439" s="1">
        <v>447</v>
      </c>
      <c r="B439" s="2" t="s">
        <v>2084</v>
      </c>
      <c r="C439" s="3">
        <v>38738</v>
      </c>
      <c r="D439" s="4">
        <f>YEAR(Table1[[#This Row],[Date]])</f>
        <v>2006</v>
      </c>
      <c r="E439" s="2" t="s">
        <v>2085</v>
      </c>
      <c r="F439" s="4">
        <v>4</v>
      </c>
      <c r="G439" s="5">
        <v>10.242938195130456</v>
      </c>
      <c r="H439" s="6" t="s">
        <v>2082</v>
      </c>
    </row>
    <row r="440" spans="1:8">
      <c r="A440" s="1">
        <v>448</v>
      </c>
      <c r="B440" s="2" t="s">
        <v>2100</v>
      </c>
      <c r="C440" s="3">
        <v>38001</v>
      </c>
      <c r="D440" s="4">
        <f>YEAR(Table1[[#This Row],[Date]])</f>
        <v>2004</v>
      </c>
      <c r="E440" s="2" t="s">
        <v>2097</v>
      </c>
      <c r="F440" s="4">
        <v>4</v>
      </c>
      <c r="G440" s="5">
        <v>14.170380845910964</v>
      </c>
      <c r="H440" s="6" t="s">
        <v>2096</v>
      </c>
    </row>
    <row r="441" spans="1:8">
      <c r="A441" s="1">
        <v>449</v>
      </c>
      <c r="B441" s="2" t="s">
        <v>2087</v>
      </c>
      <c r="C441" s="3">
        <v>38144</v>
      </c>
      <c r="D441" s="4">
        <f>YEAR(Table1[[#This Row],[Date]])</f>
        <v>2004</v>
      </c>
      <c r="E441" s="2" t="s">
        <v>2094</v>
      </c>
      <c r="F441" s="4">
        <v>81</v>
      </c>
      <c r="G441" s="5">
        <v>244.97499865385612</v>
      </c>
      <c r="H441" s="6" t="s">
        <v>2096</v>
      </c>
    </row>
    <row r="442" spans="1:8">
      <c r="A442" s="1">
        <v>450</v>
      </c>
      <c r="B442" s="2" t="s">
        <v>2095</v>
      </c>
      <c r="C442" s="3">
        <v>38342</v>
      </c>
      <c r="D442" s="4">
        <f>YEAR(Table1[[#This Row],[Date]])</f>
        <v>2004</v>
      </c>
      <c r="E442" s="2" t="s">
        <v>2094</v>
      </c>
      <c r="F442" s="4">
        <v>87</v>
      </c>
      <c r="G442" s="5">
        <v>263.83037846281559</v>
      </c>
      <c r="H442" s="6" t="s">
        <v>2082</v>
      </c>
    </row>
    <row r="443" spans="1:8">
      <c r="A443" s="1">
        <v>451</v>
      </c>
      <c r="B443" s="2" t="s">
        <v>2080</v>
      </c>
      <c r="C443" s="3">
        <v>38023</v>
      </c>
      <c r="D443" s="4">
        <f>YEAR(Table1[[#This Row],[Date]])</f>
        <v>2004</v>
      </c>
      <c r="E443" s="2" t="s">
        <v>2094</v>
      </c>
      <c r="F443" s="4">
        <v>13</v>
      </c>
      <c r="G443" s="5">
        <v>40.507831778483222</v>
      </c>
      <c r="H443" s="6" t="s">
        <v>2082</v>
      </c>
    </row>
    <row r="444" spans="1:8">
      <c r="A444" s="1">
        <v>452</v>
      </c>
      <c r="B444" s="2" t="s">
        <v>2091</v>
      </c>
      <c r="C444" s="3">
        <v>38111</v>
      </c>
      <c r="D444" s="4">
        <f>YEAR(Table1[[#This Row],[Date]])</f>
        <v>2004</v>
      </c>
      <c r="E444" s="2" t="s">
        <v>2081</v>
      </c>
      <c r="F444" s="4">
        <v>48</v>
      </c>
      <c r="G444" s="5">
        <v>145.84691044279441</v>
      </c>
      <c r="H444" s="6" t="s">
        <v>2096</v>
      </c>
    </row>
    <row r="445" spans="1:8">
      <c r="A445" s="1">
        <v>453</v>
      </c>
      <c r="B445" s="2" t="s">
        <v>2080</v>
      </c>
      <c r="C445" s="3">
        <v>38628</v>
      </c>
      <c r="D445" s="4">
        <f>YEAR(Table1[[#This Row],[Date]])</f>
        <v>2005</v>
      </c>
      <c r="E445" s="2" t="s">
        <v>2088</v>
      </c>
      <c r="F445" s="4">
        <v>2</v>
      </c>
      <c r="G445" s="5">
        <v>7.0981331873476012</v>
      </c>
      <c r="H445" s="6" t="s">
        <v>2090</v>
      </c>
    </row>
    <row r="446" spans="1:8">
      <c r="A446" s="1">
        <v>454</v>
      </c>
      <c r="B446" s="2" t="s">
        <v>2099</v>
      </c>
      <c r="C446" s="3">
        <v>38155</v>
      </c>
      <c r="D446" s="4">
        <f>YEAR(Table1[[#This Row],[Date]])</f>
        <v>2004</v>
      </c>
      <c r="E446" s="2" t="s">
        <v>2081</v>
      </c>
      <c r="F446" s="4">
        <v>32</v>
      </c>
      <c r="G446" s="5">
        <v>98.366647965700452</v>
      </c>
      <c r="H446" s="6" t="s">
        <v>2096</v>
      </c>
    </row>
    <row r="447" spans="1:8">
      <c r="A447" s="1">
        <v>455</v>
      </c>
      <c r="B447" s="2" t="s">
        <v>2087</v>
      </c>
      <c r="C447" s="3">
        <v>38595</v>
      </c>
      <c r="D447" s="4">
        <f>YEAR(Table1[[#This Row],[Date]])</f>
        <v>2005</v>
      </c>
      <c r="E447" s="2" t="s">
        <v>2081</v>
      </c>
      <c r="F447" s="4">
        <v>13</v>
      </c>
      <c r="G447" s="5">
        <v>41.16877365274803</v>
      </c>
      <c r="H447" s="6" t="s">
        <v>2090</v>
      </c>
    </row>
    <row r="448" spans="1:8">
      <c r="A448" s="1">
        <v>456</v>
      </c>
      <c r="B448" s="2" t="s">
        <v>2100</v>
      </c>
      <c r="C448" s="3">
        <v>38991</v>
      </c>
      <c r="D448" s="4">
        <f>YEAR(Table1[[#This Row],[Date]])</f>
        <v>2006</v>
      </c>
      <c r="E448" s="2" t="s">
        <v>2097</v>
      </c>
      <c r="F448" s="4">
        <v>94</v>
      </c>
      <c r="G448" s="5">
        <v>283.45251417423401</v>
      </c>
      <c r="H448" s="6" t="s">
        <v>2090</v>
      </c>
    </row>
    <row r="449" spans="1:8">
      <c r="A449" s="1">
        <v>457</v>
      </c>
      <c r="B449" s="2" t="s">
        <v>2099</v>
      </c>
      <c r="C449" s="3">
        <v>38782</v>
      </c>
      <c r="D449" s="4">
        <f>YEAR(Table1[[#This Row],[Date]])</f>
        <v>2006</v>
      </c>
      <c r="E449" s="2" t="s">
        <v>2097</v>
      </c>
      <c r="F449" s="4">
        <v>63</v>
      </c>
      <c r="G449" s="5">
        <v>190.83724952198969</v>
      </c>
      <c r="H449" s="6" t="s">
        <v>2096</v>
      </c>
    </row>
    <row r="450" spans="1:8">
      <c r="A450" s="1">
        <v>458</v>
      </c>
      <c r="B450" s="2" t="s">
        <v>2091</v>
      </c>
      <c r="C450" s="3">
        <v>38881</v>
      </c>
      <c r="D450" s="4">
        <f>YEAR(Table1[[#This Row],[Date]])</f>
        <v>2006</v>
      </c>
      <c r="E450" s="2" t="s">
        <v>2085</v>
      </c>
      <c r="F450" s="4">
        <v>45</v>
      </c>
      <c r="G450" s="5">
        <v>136.97942653814263</v>
      </c>
      <c r="H450" s="6" t="s">
        <v>2090</v>
      </c>
    </row>
    <row r="451" spans="1:8">
      <c r="A451" s="1">
        <v>459</v>
      </c>
      <c r="B451" s="2" t="s">
        <v>2093</v>
      </c>
      <c r="C451" s="3">
        <v>38452</v>
      </c>
      <c r="D451" s="4">
        <f>YEAR(Table1[[#This Row],[Date]])</f>
        <v>2005</v>
      </c>
      <c r="E451" s="2" t="s">
        <v>2097</v>
      </c>
      <c r="F451" s="4">
        <v>71</v>
      </c>
      <c r="G451" s="5">
        <v>214.76898776471646</v>
      </c>
      <c r="H451" s="6" t="s">
        <v>2082</v>
      </c>
    </row>
    <row r="452" spans="1:8">
      <c r="A452" s="1">
        <v>460</v>
      </c>
      <c r="B452" s="2" t="s">
        <v>2093</v>
      </c>
      <c r="C452" s="3">
        <v>38100</v>
      </c>
      <c r="D452" s="4">
        <f>YEAR(Table1[[#This Row],[Date]])</f>
        <v>2004</v>
      </c>
      <c r="E452" s="2" t="s">
        <v>2097</v>
      </c>
      <c r="F452" s="4">
        <v>74</v>
      </c>
      <c r="G452" s="5">
        <v>224.18238847872837</v>
      </c>
      <c r="H452" s="6" t="s">
        <v>2096</v>
      </c>
    </row>
    <row r="453" spans="1:8">
      <c r="A453" s="1">
        <v>461</v>
      </c>
      <c r="B453" s="2" t="s">
        <v>2087</v>
      </c>
      <c r="C453" s="3">
        <v>38012</v>
      </c>
      <c r="D453" s="4">
        <f>YEAR(Table1[[#This Row],[Date]])</f>
        <v>2004</v>
      </c>
      <c r="E453" s="2" t="s">
        <v>2097</v>
      </c>
      <c r="F453" s="4">
        <v>48</v>
      </c>
      <c r="G453" s="5">
        <v>145.64951342948135</v>
      </c>
      <c r="H453" s="6" t="s">
        <v>2090</v>
      </c>
    </row>
    <row r="454" spans="1:8">
      <c r="A454" s="1">
        <v>462</v>
      </c>
      <c r="B454" s="2" t="s">
        <v>2095</v>
      </c>
      <c r="C454" s="3">
        <v>38045</v>
      </c>
      <c r="D454" s="4">
        <f>YEAR(Table1[[#This Row],[Date]])</f>
        <v>2004</v>
      </c>
      <c r="E454" s="2" t="s">
        <v>2081</v>
      </c>
      <c r="F454" s="4">
        <v>63</v>
      </c>
      <c r="G454" s="5">
        <v>191.1884163928766</v>
      </c>
      <c r="H454" s="6" t="s">
        <v>2096</v>
      </c>
    </row>
    <row r="455" spans="1:8">
      <c r="A455" s="1">
        <v>463</v>
      </c>
      <c r="B455" s="2" t="s">
        <v>2093</v>
      </c>
      <c r="C455" s="3">
        <v>38463</v>
      </c>
      <c r="D455" s="4">
        <f>YEAR(Table1[[#This Row],[Date]])</f>
        <v>2005</v>
      </c>
      <c r="E455" s="2" t="s">
        <v>2081</v>
      </c>
      <c r="F455" s="4">
        <v>48</v>
      </c>
      <c r="G455" s="5">
        <v>145.69127497854927</v>
      </c>
      <c r="H455" s="6" t="s">
        <v>2090</v>
      </c>
    </row>
    <row r="456" spans="1:8">
      <c r="A456" s="1">
        <v>464</v>
      </c>
      <c r="B456" s="2" t="s">
        <v>2084</v>
      </c>
      <c r="C456" s="3">
        <v>38958</v>
      </c>
      <c r="D456" s="4">
        <f>YEAR(Table1[[#This Row],[Date]])</f>
        <v>2006</v>
      </c>
      <c r="E456" s="2" t="s">
        <v>2097</v>
      </c>
      <c r="F456" s="4">
        <v>26</v>
      </c>
      <c r="G456" s="5">
        <v>80.6144268681997</v>
      </c>
      <c r="H456" s="6" t="s">
        <v>2086</v>
      </c>
    </row>
    <row r="457" spans="1:8">
      <c r="A457" s="1">
        <v>465</v>
      </c>
      <c r="B457" s="2" t="s">
        <v>2087</v>
      </c>
      <c r="C457" s="3">
        <v>38881</v>
      </c>
      <c r="D457" s="4">
        <f>YEAR(Table1[[#This Row],[Date]])</f>
        <v>2006</v>
      </c>
      <c r="E457" s="2" t="s">
        <v>2094</v>
      </c>
      <c r="F457" s="4">
        <v>58</v>
      </c>
      <c r="G457" s="5">
        <v>176.26520049915879</v>
      </c>
      <c r="H457" s="6" t="s">
        <v>2082</v>
      </c>
    </row>
    <row r="458" spans="1:8">
      <c r="A458" s="1">
        <v>466</v>
      </c>
      <c r="B458" s="2" t="s">
        <v>2091</v>
      </c>
      <c r="C458" s="3">
        <v>38760</v>
      </c>
      <c r="D458" s="4">
        <f>YEAR(Table1[[#This Row],[Date]])</f>
        <v>2006</v>
      </c>
      <c r="E458" s="2" t="s">
        <v>2081</v>
      </c>
      <c r="F458" s="4">
        <v>2</v>
      </c>
      <c r="G458" s="5">
        <v>8.7479494068217463</v>
      </c>
      <c r="H458" s="6" t="s">
        <v>2086</v>
      </c>
    </row>
    <row r="459" spans="1:8">
      <c r="A459" s="1">
        <v>467</v>
      </c>
      <c r="B459" s="2" t="s">
        <v>2093</v>
      </c>
      <c r="C459" s="3">
        <v>38936</v>
      </c>
      <c r="D459" s="4">
        <f>YEAR(Table1[[#This Row],[Date]])</f>
        <v>2006</v>
      </c>
      <c r="E459" s="2" t="s">
        <v>2081</v>
      </c>
      <c r="F459" s="4">
        <v>36</v>
      </c>
      <c r="G459" s="5">
        <v>109.67661001591094</v>
      </c>
      <c r="H459" s="6" t="s">
        <v>2086</v>
      </c>
    </row>
    <row r="460" spans="1:8">
      <c r="A460" s="1">
        <v>468</v>
      </c>
      <c r="B460" s="2" t="s">
        <v>2100</v>
      </c>
      <c r="C460" s="3">
        <v>38529</v>
      </c>
      <c r="D460" s="4">
        <f>YEAR(Table1[[#This Row],[Date]])</f>
        <v>2005</v>
      </c>
      <c r="E460" s="2" t="s">
        <v>2097</v>
      </c>
      <c r="F460" s="4">
        <v>22</v>
      </c>
      <c r="G460" s="5">
        <v>68.355074793823817</v>
      </c>
      <c r="H460" s="6" t="s">
        <v>2096</v>
      </c>
    </row>
    <row r="461" spans="1:8">
      <c r="A461" s="1">
        <v>469</v>
      </c>
      <c r="B461" s="2" t="s">
        <v>2100</v>
      </c>
      <c r="C461" s="3">
        <v>38573</v>
      </c>
      <c r="D461" s="4">
        <f>YEAR(Table1[[#This Row],[Date]])</f>
        <v>2005</v>
      </c>
      <c r="E461" s="2" t="s">
        <v>2081</v>
      </c>
      <c r="F461" s="4">
        <v>92</v>
      </c>
      <c r="G461" s="5">
        <v>277.66680522408262</v>
      </c>
      <c r="H461" s="6" t="s">
        <v>2086</v>
      </c>
    </row>
    <row r="462" spans="1:8">
      <c r="A462" s="1">
        <v>470</v>
      </c>
      <c r="B462" s="2" t="s">
        <v>2080</v>
      </c>
      <c r="C462" s="3">
        <v>38265</v>
      </c>
      <c r="D462" s="4">
        <f>YEAR(Table1[[#This Row],[Date]])</f>
        <v>2004</v>
      </c>
      <c r="E462" s="2" t="s">
        <v>2085</v>
      </c>
      <c r="F462" s="4">
        <v>29</v>
      </c>
      <c r="G462" s="5">
        <v>88.713589465763263</v>
      </c>
      <c r="H462" s="6" t="s">
        <v>2096</v>
      </c>
    </row>
    <row r="463" spans="1:8">
      <c r="A463" s="1">
        <v>471</v>
      </c>
      <c r="B463" s="2" t="s">
        <v>2087</v>
      </c>
      <c r="C463" s="3">
        <v>39002</v>
      </c>
      <c r="D463" s="4">
        <f>YEAR(Table1[[#This Row],[Date]])</f>
        <v>2006</v>
      </c>
      <c r="E463" s="2" t="s">
        <v>2081</v>
      </c>
      <c r="F463" s="4">
        <v>42</v>
      </c>
      <c r="G463" s="5">
        <v>128.17075092766001</v>
      </c>
      <c r="H463" s="6" t="s">
        <v>2082</v>
      </c>
    </row>
    <row r="464" spans="1:8">
      <c r="A464" s="1">
        <v>472</v>
      </c>
      <c r="B464" s="2" t="s">
        <v>2095</v>
      </c>
      <c r="C464" s="3">
        <v>38100</v>
      </c>
      <c r="D464" s="4">
        <f>YEAR(Table1[[#This Row],[Date]])</f>
        <v>2004</v>
      </c>
      <c r="E464" s="2" t="s">
        <v>2081</v>
      </c>
      <c r="F464" s="4">
        <v>25</v>
      </c>
      <c r="G464" s="5">
        <v>77.315706522508677</v>
      </c>
      <c r="H464" s="6" t="s">
        <v>2082</v>
      </c>
    </row>
    <row r="465" spans="1:8">
      <c r="A465" s="1">
        <v>473</v>
      </c>
      <c r="B465" s="2" t="s">
        <v>2093</v>
      </c>
      <c r="C465" s="3">
        <v>38430</v>
      </c>
      <c r="D465" s="4">
        <f>YEAR(Table1[[#This Row],[Date]])</f>
        <v>2005</v>
      </c>
      <c r="E465" s="2" t="s">
        <v>2085</v>
      </c>
      <c r="F465" s="4">
        <v>40</v>
      </c>
      <c r="G465" s="5">
        <v>122.53928167294391</v>
      </c>
      <c r="H465" s="6" t="s">
        <v>2086</v>
      </c>
    </row>
    <row r="466" spans="1:8">
      <c r="A466" s="1">
        <v>474</v>
      </c>
      <c r="B466" s="2" t="s">
        <v>2100</v>
      </c>
      <c r="C466" s="3">
        <v>38111</v>
      </c>
      <c r="D466" s="4">
        <f>YEAR(Table1[[#This Row],[Date]])</f>
        <v>2004</v>
      </c>
      <c r="E466" s="2" t="s">
        <v>2081</v>
      </c>
      <c r="F466" s="4">
        <v>3</v>
      </c>
      <c r="G466" s="5">
        <v>10.570883063872969</v>
      </c>
      <c r="H466" s="6" t="s">
        <v>2082</v>
      </c>
    </row>
    <row r="467" spans="1:8">
      <c r="A467" s="1">
        <v>475</v>
      </c>
      <c r="B467" s="2" t="s">
        <v>2080</v>
      </c>
      <c r="C467" s="3">
        <v>38551</v>
      </c>
      <c r="D467" s="4">
        <f>YEAR(Table1[[#This Row],[Date]])</f>
        <v>2005</v>
      </c>
      <c r="E467" s="2" t="s">
        <v>2085</v>
      </c>
      <c r="F467" s="4">
        <v>1</v>
      </c>
      <c r="G467" s="5">
        <v>0.82178994105370951</v>
      </c>
      <c r="H467" s="6" t="s">
        <v>2082</v>
      </c>
    </row>
    <row r="468" spans="1:8">
      <c r="A468" s="1">
        <v>476</v>
      </c>
      <c r="B468" s="2" t="s">
        <v>2087</v>
      </c>
      <c r="C468" s="3">
        <v>38969</v>
      </c>
      <c r="D468" s="4">
        <f>YEAR(Table1[[#This Row],[Date]])</f>
        <v>2006</v>
      </c>
      <c r="E468" s="2" t="s">
        <v>2085</v>
      </c>
      <c r="F468" s="4">
        <v>12</v>
      </c>
      <c r="G468" s="5">
        <v>37.686101056343105</v>
      </c>
      <c r="H468" s="6" t="s">
        <v>2096</v>
      </c>
    </row>
    <row r="469" spans="1:8">
      <c r="A469" s="1">
        <v>477</v>
      </c>
      <c r="B469" s="2" t="s">
        <v>2100</v>
      </c>
      <c r="C469" s="3">
        <v>38155</v>
      </c>
      <c r="D469" s="4">
        <f>YEAR(Table1[[#This Row],[Date]])</f>
        <v>2004</v>
      </c>
      <c r="E469" s="2" t="s">
        <v>2094</v>
      </c>
      <c r="F469" s="4">
        <v>0</v>
      </c>
      <c r="G469" s="5">
        <v>2.0013600167772623</v>
      </c>
      <c r="H469" s="6" t="s">
        <v>2082</v>
      </c>
    </row>
    <row r="470" spans="1:8">
      <c r="A470" s="1">
        <v>478</v>
      </c>
      <c r="B470" s="2" t="s">
        <v>2084</v>
      </c>
      <c r="C470" s="3">
        <v>38760</v>
      </c>
      <c r="D470" s="4">
        <f>YEAR(Table1[[#This Row],[Date]])</f>
        <v>2006</v>
      </c>
      <c r="E470" s="2" t="s">
        <v>2081</v>
      </c>
      <c r="F470" s="4">
        <v>35</v>
      </c>
      <c r="G470" s="5">
        <v>106.26347084870943</v>
      </c>
      <c r="H470" s="6" t="s">
        <v>2082</v>
      </c>
    </row>
    <row r="471" spans="1:8">
      <c r="A471" s="1">
        <v>479</v>
      </c>
      <c r="B471" s="2" t="s">
        <v>2098</v>
      </c>
      <c r="C471" s="3">
        <v>38496</v>
      </c>
      <c r="D471" s="4">
        <f>YEAR(Table1[[#This Row],[Date]])</f>
        <v>2005</v>
      </c>
      <c r="E471" s="2" t="s">
        <v>2085</v>
      </c>
      <c r="F471" s="4">
        <v>2</v>
      </c>
      <c r="G471" s="5">
        <v>7.6817477771075868</v>
      </c>
      <c r="H471" s="6" t="s">
        <v>2096</v>
      </c>
    </row>
    <row r="472" spans="1:8">
      <c r="A472" s="1">
        <v>480</v>
      </c>
      <c r="B472" s="2" t="s">
        <v>2091</v>
      </c>
      <c r="C472" s="3">
        <v>38859</v>
      </c>
      <c r="D472" s="4">
        <f>YEAR(Table1[[#This Row],[Date]])</f>
        <v>2006</v>
      </c>
      <c r="E472" s="2" t="s">
        <v>2088</v>
      </c>
      <c r="F472" s="4">
        <v>10</v>
      </c>
      <c r="G472" s="5">
        <v>31.785155418327982</v>
      </c>
      <c r="H472" s="6" t="s">
        <v>2096</v>
      </c>
    </row>
    <row r="473" spans="1:8">
      <c r="A473" s="1">
        <v>481</v>
      </c>
      <c r="B473" s="2" t="s">
        <v>2099</v>
      </c>
      <c r="C473" s="3">
        <v>38639</v>
      </c>
      <c r="D473" s="4">
        <f>YEAR(Table1[[#This Row],[Date]])</f>
        <v>2005</v>
      </c>
      <c r="E473" s="2" t="s">
        <v>2094</v>
      </c>
      <c r="F473" s="4">
        <v>6</v>
      </c>
      <c r="G473" s="5">
        <v>19.733545359470948</v>
      </c>
      <c r="H473" s="6" t="s">
        <v>2086</v>
      </c>
    </row>
    <row r="474" spans="1:8">
      <c r="A474" s="1">
        <v>482</v>
      </c>
      <c r="B474" s="2" t="s">
        <v>2099</v>
      </c>
      <c r="C474" s="3">
        <v>38056</v>
      </c>
      <c r="D474" s="4">
        <f>YEAR(Table1[[#This Row],[Date]])</f>
        <v>2004</v>
      </c>
      <c r="E474" s="2" t="s">
        <v>2081</v>
      </c>
      <c r="F474" s="4">
        <v>4</v>
      </c>
      <c r="G474" s="5">
        <v>14.10456917940213</v>
      </c>
      <c r="H474" s="6" t="s">
        <v>2090</v>
      </c>
    </row>
    <row r="475" spans="1:8">
      <c r="A475" s="1">
        <v>483</v>
      </c>
      <c r="B475" s="2" t="s">
        <v>2100</v>
      </c>
      <c r="C475" s="3">
        <v>39002</v>
      </c>
      <c r="D475" s="4">
        <f>YEAR(Table1[[#This Row],[Date]])</f>
        <v>2006</v>
      </c>
      <c r="E475" s="2" t="s">
        <v>2097</v>
      </c>
      <c r="F475" s="4">
        <v>91</v>
      </c>
      <c r="G475" s="5">
        <v>274.92032051274288</v>
      </c>
      <c r="H475" s="6" t="s">
        <v>2096</v>
      </c>
    </row>
    <row r="476" spans="1:8">
      <c r="A476" s="1">
        <v>484</v>
      </c>
      <c r="B476" s="2" t="s">
        <v>2099</v>
      </c>
      <c r="C476" s="3">
        <v>38903</v>
      </c>
      <c r="D476" s="4">
        <f>YEAR(Table1[[#This Row],[Date]])</f>
        <v>2006</v>
      </c>
      <c r="E476" s="2" t="s">
        <v>2081</v>
      </c>
      <c r="F476" s="4">
        <v>12</v>
      </c>
      <c r="G476" s="5">
        <v>37.877226411963186</v>
      </c>
      <c r="H476" s="6" t="s">
        <v>2096</v>
      </c>
    </row>
    <row r="477" spans="1:8">
      <c r="A477" s="1">
        <v>485</v>
      </c>
      <c r="B477" s="2" t="s">
        <v>2091</v>
      </c>
      <c r="C477" s="3">
        <v>38298</v>
      </c>
      <c r="D477" s="4">
        <f>YEAR(Table1[[#This Row],[Date]])</f>
        <v>2004</v>
      </c>
      <c r="E477" s="2" t="s">
        <v>2085</v>
      </c>
      <c r="F477" s="4">
        <v>21</v>
      </c>
      <c r="G477" s="5">
        <v>65.281423150866814</v>
      </c>
      <c r="H477" s="6" t="s">
        <v>2090</v>
      </c>
    </row>
    <row r="478" spans="1:8">
      <c r="A478" s="1">
        <v>486</v>
      </c>
      <c r="B478" s="2" t="s">
        <v>2099</v>
      </c>
      <c r="C478" s="3">
        <v>38441</v>
      </c>
      <c r="D478" s="4">
        <f>YEAR(Table1[[#This Row],[Date]])</f>
        <v>2005</v>
      </c>
      <c r="E478" s="2" t="s">
        <v>2097</v>
      </c>
      <c r="F478" s="4">
        <v>44</v>
      </c>
      <c r="G478" s="5">
        <v>134.31454889834902</v>
      </c>
      <c r="H478" s="6" t="s">
        <v>2090</v>
      </c>
    </row>
    <row r="479" spans="1:8">
      <c r="A479" s="1">
        <v>487</v>
      </c>
      <c r="B479" s="2" t="s">
        <v>2080</v>
      </c>
      <c r="C479" s="3">
        <v>38375</v>
      </c>
      <c r="D479" s="4">
        <f>YEAR(Table1[[#This Row],[Date]])</f>
        <v>2005</v>
      </c>
      <c r="E479" s="2" t="s">
        <v>2094</v>
      </c>
      <c r="F479" s="4">
        <v>75</v>
      </c>
      <c r="G479" s="5">
        <v>227.09867242909783</v>
      </c>
      <c r="H479" s="6" t="s">
        <v>2090</v>
      </c>
    </row>
    <row r="480" spans="1:8">
      <c r="A480" s="1">
        <v>488</v>
      </c>
      <c r="B480" s="2" t="s">
        <v>2080</v>
      </c>
      <c r="C480" s="3">
        <v>38188</v>
      </c>
      <c r="D480" s="4">
        <f>YEAR(Table1[[#This Row],[Date]])</f>
        <v>2004</v>
      </c>
      <c r="E480" s="2" t="s">
        <v>2094</v>
      </c>
      <c r="F480" s="4">
        <v>37</v>
      </c>
      <c r="G480" s="5">
        <v>112.99692232382439</v>
      </c>
      <c r="H480" s="6" t="s">
        <v>2082</v>
      </c>
    </row>
    <row r="481" spans="1:8">
      <c r="A481" s="1">
        <v>489</v>
      </c>
      <c r="B481" s="2" t="s">
        <v>2091</v>
      </c>
      <c r="C481" s="3">
        <v>38925</v>
      </c>
      <c r="D481" s="4">
        <f>YEAR(Table1[[#This Row],[Date]])</f>
        <v>2006</v>
      </c>
      <c r="E481" s="2" t="s">
        <v>2094</v>
      </c>
      <c r="F481" s="4">
        <v>58</v>
      </c>
      <c r="G481" s="5">
        <v>176.06598986452823</v>
      </c>
      <c r="H481" s="6" t="s">
        <v>2086</v>
      </c>
    </row>
    <row r="482" spans="1:8">
      <c r="A482" s="1">
        <v>490</v>
      </c>
      <c r="B482" s="2" t="s">
        <v>2099</v>
      </c>
      <c r="C482" s="3">
        <v>38760</v>
      </c>
      <c r="D482" s="4">
        <f>YEAR(Table1[[#This Row],[Date]])</f>
        <v>2006</v>
      </c>
      <c r="E482" s="2" t="s">
        <v>2094</v>
      </c>
      <c r="F482" s="4">
        <v>74</v>
      </c>
      <c r="G482" s="5">
        <v>223.60878513520231</v>
      </c>
      <c r="H482" s="6" t="s">
        <v>2082</v>
      </c>
    </row>
    <row r="483" spans="1:8">
      <c r="A483" s="1">
        <v>491</v>
      </c>
      <c r="B483" s="2" t="s">
        <v>2084</v>
      </c>
      <c r="C483" s="3">
        <v>38144</v>
      </c>
      <c r="D483" s="4">
        <f>YEAR(Table1[[#This Row],[Date]])</f>
        <v>2004</v>
      </c>
      <c r="E483" s="2" t="s">
        <v>2085</v>
      </c>
      <c r="F483" s="4">
        <v>64</v>
      </c>
      <c r="G483" s="5">
        <v>193.54947188165715</v>
      </c>
      <c r="H483" s="6" t="s">
        <v>2082</v>
      </c>
    </row>
    <row r="484" spans="1:8">
      <c r="A484" s="1">
        <v>492</v>
      </c>
      <c r="B484" s="2" t="s">
        <v>2080</v>
      </c>
      <c r="C484" s="3">
        <v>38683</v>
      </c>
      <c r="D484" s="4">
        <f>YEAR(Table1[[#This Row],[Date]])</f>
        <v>2005</v>
      </c>
      <c r="E484" s="2" t="s">
        <v>2088</v>
      </c>
      <c r="F484" s="4">
        <v>53</v>
      </c>
      <c r="G484" s="5">
        <v>160.46113209921771</v>
      </c>
      <c r="H484" s="6" t="s">
        <v>2082</v>
      </c>
    </row>
    <row r="485" spans="1:8">
      <c r="A485" s="1">
        <v>493</v>
      </c>
      <c r="B485" s="2" t="s">
        <v>2087</v>
      </c>
      <c r="C485" s="3">
        <v>38100</v>
      </c>
      <c r="D485" s="4">
        <f>YEAR(Table1[[#This Row],[Date]])</f>
        <v>2004</v>
      </c>
      <c r="E485" s="2" t="s">
        <v>2094</v>
      </c>
      <c r="F485" s="4">
        <v>1</v>
      </c>
      <c r="G485" s="5">
        <v>0.45003305566648821</v>
      </c>
      <c r="H485" s="6" t="s">
        <v>2086</v>
      </c>
    </row>
    <row r="486" spans="1:8">
      <c r="A486" s="1">
        <v>494</v>
      </c>
      <c r="B486" s="2" t="s">
        <v>2087</v>
      </c>
      <c r="C486" s="3">
        <v>38782</v>
      </c>
      <c r="D486" s="4">
        <f>YEAR(Table1[[#This Row],[Date]])</f>
        <v>2006</v>
      </c>
      <c r="E486" s="2" t="s">
        <v>2097</v>
      </c>
      <c r="F486" s="4">
        <v>21</v>
      </c>
      <c r="G486" s="5">
        <v>65.06546054796479</v>
      </c>
      <c r="H486" s="6" t="s">
        <v>2090</v>
      </c>
    </row>
    <row r="487" spans="1:8">
      <c r="A487" s="1">
        <v>495</v>
      </c>
      <c r="B487" s="2" t="s">
        <v>2099</v>
      </c>
      <c r="C487" s="3">
        <v>38771</v>
      </c>
      <c r="D487" s="4">
        <f>YEAR(Table1[[#This Row],[Date]])</f>
        <v>2006</v>
      </c>
      <c r="E487" s="2" t="s">
        <v>2097</v>
      </c>
      <c r="F487" s="4">
        <v>90</v>
      </c>
      <c r="G487" s="5">
        <v>271.33770442615577</v>
      </c>
      <c r="H487" s="6" t="s">
        <v>2096</v>
      </c>
    </row>
    <row r="488" spans="1:8">
      <c r="A488" s="1">
        <v>496</v>
      </c>
      <c r="B488" s="2" t="s">
        <v>2099</v>
      </c>
      <c r="C488" s="3">
        <v>38650</v>
      </c>
      <c r="D488" s="4">
        <f>YEAR(Table1[[#This Row],[Date]])</f>
        <v>2005</v>
      </c>
      <c r="E488" s="2" t="s">
        <v>2088</v>
      </c>
      <c r="F488" s="4">
        <v>61</v>
      </c>
      <c r="G488" s="5">
        <v>184.82822454861244</v>
      </c>
      <c r="H488" s="6" t="s">
        <v>2086</v>
      </c>
    </row>
    <row r="489" spans="1:8">
      <c r="A489" s="1">
        <v>497</v>
      </c>
      <c r="B489" s="2" t="s">
        <v>2080</v>
      </c>
      <c r="C489" s="3">
        <v>38485</v>
      </c>
      <c r="D489" s="4">
        <f>YEAR(Table1[[#This Row],[Date]])</f>
        <v>2005</v>
      </c>
      <c r="E489" s="2" t="s">
        <v>2097</v>
      </c>
      <c r="F489" s="4">
        <v>64</v>
      </c>
      <c r="G489" s="5">
        <v>193.98125439867269</v>
      </c>
      <c r="H489" s="6" t="s">
        <v>2096</v>
      </c>
    </row>
    <row r="490" spans="1:8">
      <c r="A490" s="1">
        <v>498</v>
      </c>
      <c r="B490" s="2" t="s">
        <v>2091</v>
      </c>
      <c r="C490" s="3">
        <v>38782</v>
      </c>
      <c r="D490" s="4">
        <f>YEAR(Table1[[#This Row],[Date]])</f>
        <v>2006</v>
      </c>
      <c r="E490" s="2" t="s">
        <v>2094</v>
      </c>
      <c r="F490" s="4">
        <v>79</v>
      </c>
      <c r="G490" s="5">
        <v>238.60895261406517</v>
      </c>
      <c r="H490" s="6" t="s">
        <v>2096</v>
      </c>
    </row>
    <row r="491" spans="1:8">
      <c r="A491" s="1">
        <v>499</v>
      </c>
      <c r="B491" s="2" t="s">
        <v>2091</v>
      </c>
      <c r="C491" s="3">
        <v>38848</v>
      </c>
      <c r="D491" s="4">
        <f>YEAR(Table1[[#This Row],[Date]])</f>
        <v>2006</v>
      </c>
      <c r="E491" s="2" t="s">
        <v>2085</v>
      </c>
      <c r="F491" s="4">
        <v>11</v>
      </c>
      <c r="G491" s="5">
        <v>34.580350260479243</v>
      </c>
      <c r="H491" s="6" t="s">
        <v>2090</v>
      </c>
    </row>
    <row r="492" spans="1:8">
      <c r="A492" s="1">
        <v>500</v>
      </c>
      <c r="B492" s="2" t="s">
        <v>2093</v>
      </c>
      <c r="C492" s="3">
        <v>38881</v>
      </c>
      <c r="D492" s="4">
        <f>YEAR(Table1[[#This Row],[Date]])</f>
        <v>2006</v>
      </c>
      <c r="E492" s="2" t="s">
        <v>2097</v>
      </c>
      <c r="F492" s="4">
        <v>17</v>
      </c>
      <c r="G492" s="5">
        <v>52.992178326548526</v>
      </c>
      <c r="H492" s="6" t="s">
        <v>2086</v>
      </c>
    </row>
    <row r="493" spans="1:8">
      <c r="A493" s="1">
        <v>501</v>
      </c>
      <c r="B493" s="2" t="s">
        <v>2093</v>
      </c>
      <c r="C493" s="3">
        <v>39002</v>
      </c>
      <c r="D493" s="4">
        <f>YEAR(Table1[[#This Row],[Date]])</f>
        <v>2006</v>
      </c>
      <c r="E493" s="2" t="s">
        <v>2081</v>
      </c>
      <c r="F493" s="4">
        <v>10</v>
      </c>
      <c r="G493" s="5">
        <v>28.507437864458012</v>
      </c>
      <c r="H493" s="6" t="s">
        <v>2096</v>
      </c>
    </row>
    <row r="494" spans="1:8">
      <c r="A494" s="1">
        <v>502</v>
      </c>
      <c r="B494" s="2" t="s">
        <v>2095</v>
      </c>
      <c r="C494" s="3">
        <v>38111</v>
      </c>
      <c r="D494" s="4">
        <f>YEAR(Table1[[#This Row],[Date]])</f>
        <v>2004</v>
      </c>
      <c r="E494" s="2" t="s">
        <v>2097</v>
      </c>
      <c r="F494" s="4">
        <v>61</v>
      </c>
      <c r="G494" s="5">
        <v>185.38151200169028</v>
      </c>
      <c r="H494" s="6" t="s">
        <v>2082</v>
      </c>
    </row>
    <row r="495" spans="1:8">
      <c r="A495" s="1">
        <v>503</v>
      </c>
      <c r="B495" s="2" t="s">
        <v>2087</v>
      </c>
      <c r="C495" s="3">
        <v>38540</v>
      </c>
      <c r="D495" s="4">
        <f>YEAR(Table1[[#This Row],[Date]])</f>
        <v>2005</v>
      </c>
      <c r="E495" s="2" t="s">
        <v>2094</v>
      </c>
      <c r="F495" s="4">
        <v>81</v>
      </c>
      <c r="G495" s="5">
        <v>245.19138414086007</v>
      </c>
      <c r="H495" s="6" t="s">
        <v>2090</v>
      </c>
    </row>
    <row r="496" spans="1:8">
      <c r="A496" s="1">
        <v>504</v>
      </c>
      <c r="B496" s="2" t="s">
        <v>2093</v>
      </c>
      <c r="C496" s="3">
        <v>38342</v>
      </c>
      <c r="D496" s="4">
        <f>YEAR(Table1[[#This Row],[Date]])</f>
        <v>2004</v>
      </c>
      <c r="E496" s="2" t="s">
        <v>2097</v>
      </c>
      <c r="F496" s="4">
        <v>86</v>
      </c>
      <c r="G496" s="5">
        <v>259.65061904974743</v>
      </c>
      <c r="H496" s="6" t="s">
        <v>2096</v>
      </c>
    </row>
    <row r="497" spans="1:8">
      <c r="A497" s="1">
        <v>505</v>
      </c>
      <c r="B497" s="2" t="s">
        <v>2095</v>
      </c>
      <c r="C497" s="3">
        <v>38166</v>
      </c>
      <c r="D497" s="4">
        <f>YEAR(Table1[[#This Row],[Date]])</f>
        <v>2004</v>
      </c>
      <c r="E497" s="2" t="s">
        <v>2094</v>
      </c>
      <c r="F497" s="4">
        <v>6</v>
      </c>
      <c r="G497" s="5">
        <v>16.598209454734359</v>
      </c>
      <c r="H497" s="6" t="s">
        <v>2096</v>
      </c>
    </row>
    <row r="498" spans="1:8">
      <c r="A498" s="1">
        <v>506</v>
      </c>
      <c r="B498" s="2" t="s">
        <v>2099</v>
      </c>
      <c r="C498" s="3">
        <v>38617</v>
      </c>
      <c r="D498" s="4">
        <f>YEAR(Table1[[#This Row],[Date]])</f>
        <v>2005</v>
      </c>
      <c r="E498" s="2" t="s">
        <v>2088</v>
      </c>
      <c r="F498" s="4">
        <v>75</v>
      </c>
      <c r="G498" s="5">
        <v>226.29108110625336</v>
      </c>
      <c r="H498" s="6" t="s">
        <v>2090</v>
      </c>
    </row>
    <row r="499" spans="1:8">
      <c r="A499" s="1">
        <v>507</v>
      </c>
      <c r="B499" s="2" t="s">
        <v>2091</v>
      </c>
      <c r="C499" s="3">
        <v>38551</v>
      </c>
      <c r="D499" s="4">
        <f>YEAR(Table1[[#This Row],[Date]])</f>
        <v>2005</v>
      </c>
      <c r="E499" s="2" t="s">
        <v>2097</v>
      </c>
      <c r="F499" s="4">
        <v>87</v>
      </c>
      <c r="G499" s="5">
        <v>262.49660177211871</v>
      </c>
      <c r="H499" s="6" t="s">
        <v>2090</v>
      </c>
    </row>
    <row r="500" spans="1:8">
      <c r="A500" s="1">
        <v>508</v>
      </c>
      <c r="B500" s="2" t="s">
        <v>2100</v>
      </c>
      <c r="C500" s="3">
        <v>38914</v>
      </c>
      <c r="D500" s="4">
        <f>YEAR(Table1[[#This Row],[Date]])</f>
        <v>2006</v>
      </c>
      <c r="E500" s="2" t="s">
        <v>2085</v>
      </c>
      <c r="F500" s="4">
        <v>15</v>
      </c>
      <c r="G500" s="5">
        <v>47.143262888260409</v>
      </c>
      <c r="H500" s="6" t="s">
        <v>2090</v>
      </c>
    </row>
    <row r="501" spans="1:8">
      <c r="A501" s="1">
        <v>509</v>
      </c>
      <c r="B501" s="2" t="s">
        <v>2099</v>
      </c>
      <c r="C501" s="3">
        <v>38430</v>
      </c>
      <c r="D501" s="4">
        <f>YEAR(Table1[[#This Row],[Date]])</f>
        <v>2005</v>
      </c>
      <c r="E501" s="2" t="s">
        <v>2088</v>
      </c>
      <c r="F501" s="4">
        <v>6</v>
      </c>
      <c r="G501" s="5">
        <v>20.042838163999704</v>
      </c>
      <c r="H501" s="6" t="s">
        <v>2096</v>
      </c>
    </row>
    <row r="502" spans="1:8">
      <c r="A502" s="1">
        <v>510</v>
      </c>
      <c r="B502" s="2" t="s">
        <v>2091</v>
      </c>
      <c r="C502" s="3">
        <v>38045</v>
      </c>
      <c r="D502" s="4">
        <f>YEAR(Table1[[#This Row],[Date]])</f>
        <v>2004</v>
      </c>
      <c r="E502" s="2" t="s">
        <v>2094</v>
      </c>
      <c r="F502" s="4">
        <v>4</v>
      </c>
      <c r="G502" s="5">
        <v>14.012285541104387</v>
      </c>
      <c r="H502" s="6" t="s">
        <v>2096</v>
      </c>
    </row>
    <row r="503" spans="1:8">
      <c r="A503" s="1">
        <v>511</v>
      </c>
      <c r="B503" s="2" t="s">
        <v>2099</v>
      </c>
      <c r="C503" s="3">
        <v>38815</v>
      </c>
      <c r="D503" s="4">
        <f>YEAR(Table1[[#This Row],[Date]])</f>
        <v>2006</v>
      </c>
      <c r="E503" s="2" t="s">
        <v>2094</v>
      </c>
      <c r="F503" s="4">
        <v>56</v>
      </c>
      <c r="G503" s="5">
        <v>169.24877716888537</v>
      </c>
      <c r="H503" s="6" t="s">
        <v>2090</v>
      </c>
    </row>
    <row r="504" spans="1:8">
      <c r="A504" s="1">
        <v>512</v>
      </c>
      <c r="B504" s="2" t="s">
        <v>2080</v>
      </c>
      <c r="C504" s="3">
        <v>38111</v>
      </c>
      <c r="D504" s="4">
        <f>YEAR(Table1[[#This Row],[Date]])</f>
        <v>2004</v>
      </c>
      <c r="E504" s="2" t="s">
        <v>2085</v>
      </c>
      <c r="F504" s="4">
        <v>76</v>
      </c>
      <c r="G504" s="5">
        <v>230.1804612249874</v>
      </c>
      <c r="H504" s="6" t="s">
        <v>2082</v>
      </c>
    </row>
    <row r="505" spans="1:8">
      <c r="A505" s="1">
        <v>513</v>
      </c>
      <c r="B505" s="2" t="s">
        <v>2084</v>
      </c>
      <c r="C505" s="3">
        <v>38540</v>
      </c>
      <c r="D505" s="4">
        <f>YEAR(Table1[[#This Row],[Date]])</f>
        <v>2005</v>
      </c>
      <c r="E505" s="2" t="s">
        <v>2088</v>
      </c>
      <c r="F505" s="4">
        <v>27</v>
      </c>
      <c r="G505" s="5">
        <v>82.599143929902795</v>
      </c>
      <c r="H505" s="6" t="s">
        <v>2082</v>
      </c>
    </row>
    <row r="506" spans="1:8">
      <c r="A506" s="1">
        <v>514</v>
      </c>
      <c r="B506" s="2" t="s">
        <v>2080</v>
      </c>
      <c r="C506" s="3">
        <v>38705</v>
      </c>
      <c r="D506" s="4">
        <f>YEAR(Table1[[#This Row],[Date]])</f>
        <v>2005</v>
      </c>
      <c r="E506" s="2" t="s">
        <v>2085</v>
      </c>
      <c r="F506" s="4">
        <v>58</v>
      </c>
      <c r="G506" s="5">
        <v>175.77181619024202</v>
      </c>
      <c r="H506" s="6" t="s">
        <v>2082</v>
      </c>
    </row>
    <row r="507" spans="1:8">
      <c r="A507" s="1">
        <v>515</v>
      </c>
      <c r="B507" s="2" t="s">
        <v>2099</v>
      </c>
      <c r="C507" s="3">
        <v>38034</v>
      </c>
      <c r="D507" s="4">
        <f>YEAR(Table1[[#This Row],[Date]])</f>
        <v>2004</v>
      </c>
      <c r="E507" s="2" t="s">
        <v>2088</v>
      </c>
      <c r="F507" s="4">
        <v>67</v>
      </c>
      <c r="G507" s="5">
        <v>202.62226122372601</v>
      </c>
      <c r="H507" s="6" t="s">
        <v>2096</v>
      </c>
    </row>
    <row r="508" spans="1:8">
      <c r="A508" s="1">
        <v>516</v>
      </c>
      <c r="B508" s="2" t="s">
        <v>2093</v>
      </c>
      <c r="C508" s="3">
        <v>38606</v>
      </c>
      <c r="D508" s="4">
        <f>YEAR(Table1[[#This Row],[Date]])</f>
        <v>2005</v>
      </c>
      <c r="E508" s="2" t="s">
        <v>2081</v>
      </c>
      <c r="F508" s="4">
        <v>79</v>
      </c>
      <c r="G508" s="5">
        <v>238.78594564649822</v>
      </c>
      <c r="H508" s="6" t="s">
        <v>2082</v>
      </c>
    </row>
    <row r="509" spans="1:8">
      <c r="A509" s="1">
        <v>517</v>
      </c>
      <c r="B509" s="2" t="s">
        <v>2095</v>
      </c>
      <c r="C509" s="3">
        <v>38243</v>
      </c>
      <c r="D509" s="4">
        <f>YEAR(Table1[[#This Row],[Date]])</f>
        <v>2004</v>
      </c>
      <c r="E509" s="2" t="s">
        <v>2097</v>
      </c>
      <c r="F509" s="4">
        <v>38</v>
      </c>
      <c r="G509" s="5">
        <v>116.68598743448534</v>
      </c>
      <c r="H509" s="6" t="s">
        <v>2082</v>
      </c>
    </row>
    <row r="510" spans="1:8">
      <c r="A510" s="1">
        <v>518</v>
      </c>
      <c r="B510" s="2" t="s">
        <v>2080</v>
      </c>
      <c r="C510" s="3">
        <v>38078</v>
      </c>
      <c r="D510" s="4">
        <f>YEAR(Table1[[#This Row],[Date]])</f>
        <v>2004</v>
      </c>
      <c r="E510" s="2" t="s">
        <v>2097</v>
      </c>
      <c r="F510" s="4">
        <v>4</v>
      </c>
      <c r="G510" s="5">
        <v>13.641635237019504</v>
      </c>
      <c r="H510" s="6" t="s">
        <v>2082</v>
      </c>
    </row>
    <row r="511" spans="1:8">
      <c r="A511" s="1">
        <v>519</v>
      </c>
      <c r="B511" s="2" t="s">
        <v>2091</v>
      </c>
      <c r="C511" s="3">
        <v>38793</v>
      </c>
      <c r="D511" s="4">
        <f>YEAR(Table1[[#This Row],[Date]])</f>
        <v>2006</v>
      </c>
      <c r="E511" s="2" t="s">
        <v>2094</v>
      </c>
      <c r="F511" s="4">
        <v>45</v>
      </c>
      <c r="G511" s="5">
        <v>137.06873634212499</v>
      </c>
      <c r="H511" s="6" t="s">
        <v>2082</v>
      </c>
    </row>
    <row r="512" spans="1:8">
      <c r="A512" s="1">
        <v>520</v>
      </c>
      <c r="B512" s="2" t="s">
        <v>2080</v>
      </c>
      <c r="C512" s="3">
        <v>38122</v>
      </c>
      <c r="D512" s="4">
        <f>YEAR(Table1[[#This Row],[Date]])</f>
        <v>2004</v>
      </c>
      <c r="E512" s="2" t="s">
        <v>2085</v>
      </c>
      <c r="F512" s="4">
        <v>10</v>
      </c>
      <c r="G512" s="5">
        <v>32.194899991771997</v>
      </c>
      <c r="H512" s="6" t="s">
        <v>2090</v>
      </c>
    </row>
    <row r="513" spans="1:8">
      <c r="A513" s="1">
        <v>521</v>
      </c>
      <c r="B513" s="2" t="s">
        <v>2084</v>
      </c>
      <c r="C513" s="3">
        <v>38661</v>
      </c>
      <c r="D513" s="4">
        <f>YEAR(Table1[[#This Row],[Date]])</f>
        <v>2005</v>
      </c>
      <c r="E513" s="2" t="s">
        <v>2085</v>
      </c>
      <c r="F513" s="4">
        <v>86</v>
      </c>
      <c r="G513" s="5">
        <v>260.39717870163332</v>
      </c>
      <c r="H513" s="6" t="s">
        <v>2086</v>
      </c>
    </row>
    <row r="514" spans="1:8">
      <c r="A514" s="1">
        <v>522</v>
      </c>
      <c r="B514" s="2" t="s">
        <v>2100</v>
      </c>
      <c r="C514" s="3">
        <v>38848</v>
      </c>
      <c r="D514" s="4">
        <f>YEAR(Table1[[#This Row],[Date]])</f>
        <v>2006</v>
      </c>
      <c r="E514" s="2" t="s">
        <v>2085</v>
      </c>
      <c r="F514" s="4">
        <v>75</v>
      </c>
      <c r="G514" s="5">
        <v>226.71443824204945</v>
      </c>
      <c r="H514" s="6" t="s">
        <v>2090</v>
      </c>
    </row>
    <row r="515" spans="1:8">
      <c r="A515" s="1">
        <v>523</v>
      </c>
      <c r="B515" s="2" t="s">
        <v>2098</v>
      </c>
      <c r="C515" s="3">
        <v>38430</v>
      </c>
      <c r="D515" s="4">
        <f>YEAR(Table1[[#This Row],[Date]])</f>
        <v>2005</v>
      </c>
      <c r="E515" s="2" t="s">
        <v>2094</v>
      </c>
      <c r="F515" s="4">
        <v>77</v>
      </c>
      <c r="G515" s="5">
        <v>232.49630521155086</v>
      </c>
      <c r="H515" s="6" t="s">
        <v>2090</v>
      </c>
    </row>
    <row r="516" spans="1:8">
      <c r="A516" s="1">
        <v>524</v>
      </c>
      <c r="B516" s="2" t="s">
        <v>2098</v>
      </c>
      <c r="C516" s="3">
        <v>38067</v>
      </c>
      <c r="D516" s="4">
        <f>YEAR(Table1[[#This Row],[Date]])</f>
        <v>2004</v>
      </c>
      <c r="E516" s="2" t="s">
        <v>2094</v>
      </c>
      <c r="F516" s="4">
        <v>10</v>
      </c>
      <c r="G516" s="5">
        <v>31.818132134554009</v>
      </c>
      <c r="H516" s="6" t="s">
        <v>2090</v>
      </c>
    </row>
    <row r="517" spans="1:8">
      <c r="A517" s="1">
        <v>525</v>
      </c>
      <c r="B517" s="2" t="s">
        <v>2095</v>
      </c>
      <c r="C517" s="3">
        <v>38265</v>
      </c>
      <c r="D517" s="4">
        <f>YEAR(Table1[[#This Row],[Date]])</f>
        <v>2004</v>
      </c>
      <c r="E517" s="2" t="s">
        <v>2085</v>
      </c>
      <c r="F517" s="4">
        <v>62</v>
      </c>
      <c r="G517" s="5">
        <v>188.38088235582651</v>
      </c>
      <c r="H517" s="6" t="s">
        <v>2090</v>
      </c>
    </row>
    <row r="518" spans="1:8">
      <c r="A518" s="1">
        <v>526</v>
      </c>
      <c r="B518" s="2" t="s">
        <v>2080</v>
      </c>
      <c r="C518" s="3">
        <v>38012</v>
      </c>
      <c r="D518" s="4">
        <f>YEAR(Table1[[#This Row],[Date]])</f>
        <v>2004</v>
      </c>
      <c r="E518" s="2" t="s">
        <v>2081</v>
      </c>
      <c r="F518" s="4">
        <v>73</v>
      </c>
      <c r="G518" s="5">
        <v>221.29214849175239</v>
      </c>
      <c r="H518" s="6" t="s">
        <v>2096</v>
      </c>
    </row>
    <row r="519" spans="1:8">
      <c r="A519" s="1">
        <v>527</v>
      </c>
      <c r="B519" s="2" t="s">
        <v>2099</v>
      </c>
      <c r="C519" s="3">
        <v>38001</v>
      </c>
      <c r="D519" s="4">
        <f>YEAR(Table1[[#This Row],[Date]])</f>
        <v>2004</v>
      </c>
      <c r="E519" s="2" t="s">
        <v>2085</v>
      </c>
      <c r="F519" s="4">
        <v>62</v>
      </c>
      <c r="G519" s="5">
        <v>187.23352558776915</v>
      </c>
      <c r="H519" s="6" t="s">
        <v>2082</v>
      </c>
    </row>
    <row r="520" spans="1:8">
      <c r="A520" s="1">
        <v>528</v>
      </c>
      <c r="B520" s="2" t="s">
        <v>2091</v>
      </c>
      <c r="C520" s="3">
        <v>38892</v>
      </c>
      <c r="D520" s="4">
        <f>YEAR(Table1[[#This Row],[Date]])</f>
        <v>2006</v>
      </c>
      <c r="E520" s="2" t="s">
        <v>2097</v>
      </c>
      <c r="F520" s="4">
        <v>11</v>
      </c>
      <c r="G520" s="5">
        <v>35.723241285873279</v>
      </c>
      <c r="H520" s="6" t="s">
        <v>2096</v>
      </c>
    </row>
    <row r="521" spans="1:8">
      <c r="A521" s="1">
        <v>529</v>
      </c>
      <c r="B521" s="2" t="s">
        <v>2084</v>
      </c>
      <c r="C521" s="3">
        <v>38705</v>
      </c>
      <c r="D521" s="4">
        <f>YEAR(Table1[[#This Row],[Date]])</f>
        <v>2005</v>
      </c>
      <c r="E521" s="2" t="s">
        <v>2097</v>
      </c>
      <c r="F521" s="4">
        <v>28</v>
      </c>
      <c r="G521" s="5">
        <v>86.078223340302799</v>
      </c>
      <c r="H521" s="6" t="s">
        <v>2082</v>
      </c>
    </row>
    <row r="522" spans="1:8">
      <c r="A522" s="1">
        <v>530</v>
      </c>
      <c r="B522" s="2" t="s">
        <v>2084</v>
      </c>
      <c r="C522" s="3">
        <v>38221</v>
      </c>
      <c r="D522" s="4">
        <f>YEAR(Table1[[#This Row],[Date]])</f>
        <v>2004</v>
      </c>
      <c r="E522" s="2" t="s">
        <v>2097</v>
      </c>
      <c r="F522" s="4">
        <v>57</v>
      </c>
      <c r="G522" s="5">
        <v>172.3620870689609</v>
      </c>
      <c r="H522" s="6" t="s">
        <v>2090</v>
      </c>
    </row>
    <row r="523" spans="1:8">
      <c r="A523" s="1">
        <v>531</v>
      </c>
      <c r="B523" s="2" t="s">
        <v>2100</v>
      </c>
      <c r="C523" s="3">
        <v>38331</v>
      </c>
      <c r="D523" s="4">
        <f>YEAR(Table1[[#This Row],[Date]])</f>
        <v>2004</v>
      </c>
      <c r="E523" s="2" t="s">
        <v>2094</v>
      </c>
      <c r="F523" s="4">
        <v>34</v>
      </c>
      <c r="G523" s="5">
        <v>103.4937406460938</v>
      </c>
      <c r="H523" s="6" t="s">
        <v>2082</v>
      </c>
    </row>
    <row r="524" spans="1:8">
      <c r="A524" s="1">
        <v>532</v>
      </c>
      <c r="B524" s="2" t="s">
        <v>2099</v>
      </c>
      <c r="C524" s="3">
        <v>38639</v>
      </c>
      <c r="D524" s="4">
        <f>YEAR(Table1[[#This Row],[Date]])</f>
        <v>2005</v>
      </c>
      <c r="E524" s="2" t="s">
        <v>2094</v>
      </c>
      <c r="F524" s="4">
        <v>89</v>
      </c>
      <c r="G524" s="5">
        <v>267.86415015075153</v>
      </c>
      <c r="H524" s="6" t="s">
        <v>2090</v>
      </c>
    </row>
    <row r="525" spans="1:8">
      <c r="A525" s="1">
        <v>533</v>
      </c>
      <c r="B525" s="2" t="s">
        <v>2084</v>
      </c>
      <c r="C525" s="3">
        <v>38254</v>
      </c>
      <c r="D525" s="4">
        <f>YEAR(Table1[[#This Row],[Date]])</f>
        <v>2004</v>
      </c>
      <c r="E525" s="2" t="s">
        <v>2081</v>
      </c>
      <c r="F525" s="4">
        <v>32</v>
      </c>
      <c r="G525" s="5">
        <v>97.889348643674225</v>
      </c>
      <c r="H525" s="6" t="s">
        <v>2086</v>
      </c>
    </row>
    <row r="526" spans="1:8">
      <c r="A526" s="1">
        <v>534</v>
      </c>
      <c r="B526" s="2" t="s">
        <v>2091</v>
      </c>
      <c r="C526" s="3">
        <v>39046</v>
      </c>
      <c r="D526" s="4">
        <f>YEAR(Table1[[#This Row],[Date]])</f>
        <v>2006</v>
      </c>
      <c r="E526" s="2" t="s">
        <v>2094</v>
      </c>
      <c r="F526" s="4">
        <v>38</v>
      </c>
      <c r="G526" s="5">
        <v>116.04458768996518</v>
      </c>
      <c r="H526" s="6" t="s">
        <v>2096</v>
      </c>
    </row>
    <row r="527" spans="1:8">
      <c r="A527" s="1">
        <v>535</v>
      </c>
      <c r="B527" s="2" t="s">
        <v>2095</v>
      </c>
      <c r="C527" s="3">
        <v>38584</v>
      </c>
      <c r="D527" s="4">
        <f>YEAR(Table1[[#This Row],[Date]])</f>
        <v>2005</v>
      </c>
      <c r="E527" s="2" t="s">
        <v>2081</v>
      </c>
      <c r="F527" s="4">
        <v>82</v>
      </c>
      <c r="G527" s="5">
        <v>248.04707692390426</v>
      </c>
      <c r="H527" s="6" t="s">
        <v>2096</v>
      </c>
    </row>
    <row r="528" spans="1:8">
      <c r="A528" s="1">
        <v>536</v>
      </c>
      <c r="B528" s="2" t="s">
        <v>2099</v>
      </c>
      <c r="C528" s="3">
        <v>38133</v>
      </c>
      <c r="D528" s="4">
        <f>YEAR(Table1[[#This Row],[Date]])</f>
        <v>2004</v>
      </c>
      <c r="E528" s="2" t="s">
        <v>2085</v>
      </c>
      <c r="F528" s="4">
        <v>29</v>
      </c>
      <c r="G528" s="5">
        <v>89.294687359204545</v>
      </c>
      <c r="H528" s="6" t="s">
        <v>2082</v>
      </c>
    </row>
    <row r="529" spans="1:8">
      <c r="A529" s="1">
        <v>537</v>
      </c>
      <c r="B529" s="2" t="s">
        <v>2098</v>
      </c>
      <c r="C529" s="3">
        <v>38991</v>
      </c>
      <c r="D529" s="4">
        <f>YEAR(Table1[[#This Row],[Date]])</f>
        <v>2006</v>
      </c>
      <c r="E529" s="2" t="s">
        <v>2088</v>
      </c>
      <c r="F529" s="4">
        <v>17</v>
      </c>
      <c r="G529" s="5">
        <v>52.246197330854876</v>
      </c>
      <c r="H529" s="6" t="s">
        <v>2090</v>
      </c>
    </row>
    <row r="530" spans="1:8">
      <c r="A530" s="1">
        <v>538</v>
      </c>
      <c r="B530" s="2" t="s">
        <v>2084</v>
      </c>
      <c r="C530" s="3">
        <v>38210</v>
      </c>
      <c r="D530" s="4">
        <f>YEAR(Table1[[#This Row],[Date]])</f>
        <v>2004</v>
      </c>
      <c r="E530" s="2" t="s">
        <v>2094</v>
      </c>
      <c r="F530" s="4">
        <v>50</v>
      </c>
      <c r="G530" s="5">
        <v>151.86525901218997</v>
      </c>
      <c r="H530" s="6" t="s">
        <v>2096</v>
      </c>
    </row>
    <row r="531" spans="1:8">
      <c r="A531" s="1">
        <v>539</v>
      </c>
      <c r="B531" s="2" t="s">
        <v>2093</v>
      </c>
      <c r="C531" s="3">
        <v>38078</v>
      </c>
      <c r="D531" s="4">
        <f>YEAR(Table1[[#This Row],[Date]])</f>
        <v>2004</v>
      </c>
      <c r="E531" s="2" t="s">
        <v>2088</v>
      </c>
      <c r="F531" s="4">
        <v>7</v>
      </c>
      <c r="G531" s="5">
        <v>22.95994805531884</v>
      </c>
      <c r="H531" s="6" t="s">
        <v>2096</v>
      </c>
    </row>
    <row r="532" spans="1:8">
      <c r="A532" s="1">
        <v>540</v>
      </c>
      <c r="B532" s="2" t="s">
        <v>2087</v>
      </c>
      <c r="C532" s="3">
        <v>38430</v>
      </c>
      <c r="D532" s="4">
        <f>YEAR(Table1[[#This Row],[Date]])</f>
        <v>2005</v>
      </c>
      <c r="E532" s="2" t="s">
        <v>2081</v>
      </c>
      <c r="F532" s="4">
        <v>50</v>
      </c>
      <c r="G532" s="5">
        <v>151.36182402448466</v>
      </c>
      <c r="H532" s="6" t="s">
        <v>2096</v>
      </c>
    </row>
    <row r="533" spans="1:8">
      <c r="A533" s="1">
        <v>541</v>
      </c>
      <c r="B533" s="2" t="s">
        <v>2095</v>
      </c>
      <c r="C533" s="3">
        <v>38408</v>
      </c>
      <c r="D533" s="4">
        <f>YEAR(Table1[[#This Row],[Date]])</f>
        <v>2005</v>
      </c>
      <c r="E533" s="2" t="s">
        <v>2088</v>
      </c>
      <c r="F533" s="4">
        <v>20</v>
      </c>
      <c r="G533" s="5">
        <v>61.878678847796238</v>
      </c>
      <c r="H533" s="6" t="s">
        <v>2086</v>
      </c>
    </row>
    <row r="534" spans="1:8">
      <c r="A534" s="1">
        <v>542</v>
      </c>
      <c r="B534" s="2" t="s">
        <v>2099</v>
      </c>
      <c r="C534" s="3">
        <v>38408</v>
      </c>
      <c r="D534" s="4">
        <f>YEAR(Table1[[#This Row],[Date]])</f>
        <v>2005</v>
      </c>
      <c r="E534" s="2" t="s">
        <v>2085</v>
      </c>
      <c r="F534" s="4">
        <v>37</v>
      </c>
      <c r="G534" s="5">
        <v>112.83363370259229</v>
      </c>
      <c r="H534" s="6" t="s">
        <v>2096</v>
      </c>
    </row>
    <row r="535" spans="1:8">
      <c r="A535" s="1">
        <v>543</v>
      </c>
      <c r="B535" s="2" t="s">
        <v>2091</v>
      </c>
      <c r="C535" s="3">
        <v>38232</v>
      </c>
      <c r="D535" s="4">
        <f>YEAR(Table1[[#This Row],[Date]])</f>
        <v>2004</v>
      </c>
      <c r="E535" s="2" t="s">
        <v>2097</v>
      </c>
      <c r="F535" s="4">
        <v>58</v>
      </c>
      <c r="G535" s="5">
        <v>176.6097113560426</v>
      </c>
      <c r="H535" s="6" t="s">
        <v>2096</v>
      </c>
    </row>
    <row r="536" spans="1:8">
      <c r="A536" s="1">
        <v>544</v>
      </c>
      <c r="B536" s="2" t="s">
        <v>2093</v>
      </c>
      <c r="C536" s="3">
        <v>38738</v>
      </c>
      <c r="D536" s="4">
        <f>YEAR(Table1[[#This Row],[Date]])</f>
        <v>2006</v>
      </c>
      <c r="E536" s="2" t="s">
        <v>2085</v>
      </c>
      <c r="F536" s="4">
        <v>25</v>
      </c>
      <c r="G536" s="5">
        <v>76.920283125674487</v>
      </c>
      <c r="H536" s="6" t="s">
        <v>2082</v>
      </c>
    </row>
    <row r="537" spans="1:8">
      <c r="A537" s="1">
        <v>545</v>
      </c>
      <c r="B537" s="2" t="s">
        <v>2084</v>
      </c>
      <c r="C537" s="3">
        <v>38078</v>
      </c>
      <c r="D537" s="4">
        <f>YEAR(Table1[[#This Row],[Date]])</f>
        <v>2004</v>
      </c>
      <c r="E537" s="2" t="s">
        <v>2094</v>
      </c>
      <c r="F537" s="4">
        <v>34</v>
      </c>
      <c r="G537" s="5">
        <v>103.18208157525912</v>
      </c>
      <c r="H537" s="6" t="s">
        <v>2086</v>
      </c>
    </row>
    <row r="538" spans="1:8">
      <c r="A538" s="1">
        <v>546</v>
      </c>
      <c r="B538" s="2" t="s">
        <v>2080</v>
      </c>
      <c r="C538" s="3">
        <v>39013</v>
      </c>
      <c r="D538" s="4">
        <f>YEAR(Table1[[#This Row],[Date]])</f>
        <v>2006</v>
      </c>
      <c r="E538" s="2" t="s">
        <v>2085</v>
      </c>
      <c r="F538" s="4">
        <v>3</v>
      </c>
      <c r="G538" s="5">
        <v>11.582072936390588</v>
      </c>
      <c r="H538" s="6" t="s">
        <v>2086</v>
      </c>
    </row>
    <row r="539" spans="1:8">
      <c r="A539" s="1">
        <v>547</v>
      </c>
      <c r="B539" s="2" t="s">
        <v>2080</v>
      </c>
      <c r="C539" s="3">
        <v>38991</v>
      </c>
      <c r="D539" s="4">
        <f>YEAR(Table1[[#This Row],[Date]])</f>
        <v>2006</v>
      </c>
      <c r="E539" s="2" t="s">
        <v>2088</v>
      </c>
      <c r="F539" s="4">
        <v>63</v>
      </c>
      <c r="G539" s="5">
        <v>190.58521809047551</v>
      </c>
      <c r="H539" s="6" t="s">
        <v>2096</v>
      </c>
    </row>
    <row r="540" spans="1:8">
      <c r="A540" s="1">
        <v>548</v>
      </c>
      <c r="B540" s="2" t="s">
        <v>2080</v>
      </c>
      <c r="C540" s="3">
        <v>38727</v>
      </c>
      <c r="D540" s="4">
        <f>YEAR(Table1[[#This Row],[Date]])</f>
        <v>2006</v>
      </c>
      <c r="E540" s="2" t="s">
        <v>2094</v>
      </c>
      <c r="F540" s="4">
        <v>44</v>
      </c>
      <c r="G540" s="5">
        <v>133.61508244900483</v>
      </c>
      <c r="H540" s="6" t="s">
        <v>2086</v>
      </c>
    </row>
    <row r="541" spans="1:8">
      <c r="A541" s="1">
        <v>549</v>
      </c>
      <c r="B541" s="2" t="s">
        <v>2100</v>
      </c>
      <c r="C541" s="3">
        <v>38089</v>
      </c>
      <c r="D541" s="4">
        <f>YEAR(Table1[[#This Row],[Date]])</f>
        <v>2004</v>
      </c>
      <c r="E541" s="2" t="s">
        <v>2094</v>
      </c>
      <c r="F541" s="4">
        <v>87</v>
      </c>
      <c r="G541" s="5">
        <v>263.16283259571526</v>
      </c>
      <c r="H541" s="6" t="s">
        <v>2086</v>
      </c>
    </row>
    <row r="542" spans="1:8">
      <c r="A542" s="1">
        <v>550</v>
      </c>
      <c r="B542" s="2" t="s">
        <v>2099</v>
      </c>
      <c r="C542" s="3">
        <v>38408</v>
      </c>
      <c r="D542" s="4">
        <f>YEAR(Table1[[#This Row],[Date]])</f>
        <v>2005</v>
      </c>
      <c r="E542" s="2" t="s">
        <v>2088</v>
      </c>
      <c r="F542" s="4">
        <v>4</v>
      </c>
      <c r="G542" s="5">
        <v>14.191095035521025</v>
      </c>
      <c r="H542" s="6" t="s">
        <v>2082</v>
      </c>
    </row>
    <row r="543" spans="1:8">
      <c r="A543" s="1">
        <v>551</v>
      </c>
      <c r="B543" s="2" t="s">
        <v>2087</v>
      </c>
      <c r="C543" s="3">
        <v>38826</v>
      </c>
      <c r="D543" s="4">
        <f>YEAR(Table1[[#This Row],[Date]])</f>
        <v>2006</v>
      </c>
      <c r="E543" s="2" t="s">
        <v>2085</v>
      </c>
      <c r="F543" s="4">
        <v>93</v>
      </c>
      <c r="G543" s="5">
        <v>281.17072628162578</v>
      </c>
      <c r="H543" s="6" t="s">
        <v>2086</v>
      </c>
    </row>
    <row r="544" spans="1:8">
      <c r="A544" s="1">
        <v>552</v>
      </c>
      <c r="B544" s="2" t="s">
        <v>2095</v>
      </c>
      <c r="C544" s="3">
        <v>38320</v>
      </c>
      <c r="D544" s="4">
        <f>YEAR(Table1[[#This Row],[Date]])</f>
        <v>2004</v>
      </c>
      <c r="E544" s="2" t="s">
        <v>2088</v>
      </c>
      <c r="F544" s="4">
        <v>10</v>
      </c>
      <c r="G544" s="5">
        <v>32.065090501540446</v>
      </c>
      <c r="H544" s="6" t="s">
        <v>2096</v>
      </c>
    </row>
    <row r="545" spans="1:8">
      <c r="A545" s="1">
        <v>553</v>
      </c>
      <c r="B545" s="2" t="s">
        <v>2091</v>
      </c>
      <c r="C545" s="3">
        <v>39068</v>
      </c>
      <c r="D545" s="4">
        <f>YEAR(Table1[[#This Row],[Date]])</f>
        <v>2006</v>
      </c>
      <c r="E545" s="2" t="s">
        <v>2097</v>
      </c>
      <c r="F545" s="4">
        <v>19</v>
      </c>
      <c r="G545" s="5">
        <v>58.972126169367577</v>
      </c>
      <c r="H545" s="6" t="s">
        <v>2096</v>
      </c>
    </row>
    <row r="546" spans="1:8">
      <c r="A546" s="1">
        <v>554</v>
      </c>
      <c r="B546" s="2" t="s">
        <v>2084</v>
      </c>
      <c r="C546" s="3">
        <v>38551</v>
      </c>
      <c r="D546" s="4">
        <f>YEAR(Table1[[#This Row],[Date]])</f>
        <v>2005</v>
      </c>
      <c r="E546" s="2" t="s">
        <v>2094</v>
      </c>
      <c r="F546" s="4">
        <v>30</v>
      </c>
      <c r="G546" s="5">
        <v>92.527630840276103</v>
      </c>
      <c r="H546" s="6" t="s">
        <v>2082</v>
      </c>
    </row>
    <row r="547" spans="1:8">
      <c r="A547" s="1">
        <v>555</v>
      </c>
      <c r="B547" s="2" t="s">
        <v>2087</v>
      </c>
      <c r="C547" s="3">
        <v>39035</v>
      </c>
      <c r="D547" s="4">
        <f>YEAR(Table1[[#This Row],[Date]])</f>
        <v>2006</v>
      </c>
      <c r="E547" s="2" t="s">
        <v>2097</v>
      </c>
      <c r="F547" s="4">
        <v>1</v>
      </c>
      <c r="G547" s="5">
        <v>1.2782372664639507</v>
      </c>
      <c r="H547" s="6" t="s">
        <v>2082</v>
      </c>
    </row>
    <row r="548" spans="1:8">
      <c r="A548" s="1">
        <v>556</v>
      </c>
      <c r="B548" s="2" t="s">
        <v>2099</v>
      </c>
      <c r="C548" s="3">
        <v>38837</v>
      </c>
      <c r="D548" s="4">
        <f>YEAR(Table1[[#This Row],[Date]])</f>
        <v>2006</v>
      </c>
      <c r="E548" s="2" t="s">
        <v>2094</v>
      </c>
      <c r="F548" s="4">
        <v>46</v>
      </c>
      <c r="G548" s="5">
        <v>139.41162650743053</v>
      </c>
      <c r="H548" s="6" t="s">
        <v>2096</v>
      </c>
    </row>
    <row r="549" spans="1:8">
      <c r="A549" s="1">
        <v>557</v>
      </c>
      <c r="B549" s="2" t="s">
        <v>2095</v>
      </c>
      <c r="C549" s="3">
        <v>38232</v>
      </c>
      <c r="D549" s="4">
        <f>YEAR(Table1[[#This Row],[Date]])</f>
        <v>2004</v>
      </c>
      <c r="E549" s="2" t="s">
        <v>2085</v>
      </c>
      <c r="F549" s="4">
        <v>44</v>
      </c>
      <c r="G549" s="5">
        <v>133.50877739627518</v>
      </c>
      <c r="H549" s="6" t="s">
        <v>2086</v>
      </c>
    </row>
    <row r="550" spans="1:8">
      <c r="A550" s="1">
        <v>558</v>
      </c>
      <c r="B550" s="2" t="s">
        <v>2080</v>
      </c>
      <c r="C550" s="3">
        <v>38287</v>
      </c>
      <c r="D550" s="4">
        <f>YEAR(Table1[[#This Row],[Date]])</f>
        <v>2004</v>
      </c>
      <c r="E550" s="2" t="s">
        <v>2094</v>
      </c>
      <c r="F550" s="4">
        <v>47</v>
      </c>
      <c r="G550" s="5">
        <v>143.21221530085697</v>
      </c>
      <c r="H550" s="6" t="s">
        <v>2086</v>
      </c>
    </row>
    <row r="551" spans="1:8">
      <c r="A551" s="1">
        <v>559</v>
      </c>
      <c r="B551" s="2" t="s">
        <v>2099</v>
      </c>
      <c r="C551" s="3">
        <v>38969</v>
      </c>
      <c r="D551" s="4">
        <f>YEAR(Table1[[#This Row],[Date]])</f>
        <v>2006</v>
      </c>
      <c r="E551" s="2" t="s">
        <v>2094</v>
      </c>
      <c r="F551" s="4">
        <v>86</v>
      </c>
      <c r="G551" s="5">
        <v>260.39157259526775</v>
      </c>
      <c r="H551" s="6" t="s">
        <v>2096</v>
      </c>
    </row>
    <row r="552" spans="1:8">
      <c r="A552" s="1">
        <v>560</v>
      </c>
      <c r="B552" s="2" t="s">
        <v>2099</v>
      </c>
      <c r="C552" s="3">
        <v>38925</v>
      </c>
      <c r="D552" s="4">
        <f>YEAR(Table1[[#This Row],[Date]])</f>
        <v>2006</v>
      </c>
      <c r="E552" s="2" t="s">
        <v>2085</v>
      </c>
      <c r="F552" s="4">
        <v>76</v>
      </c>
      <c r="G552" s="5">
        <v>229.96347977242982</v>
      </c>
      <c r="H552" s="6" t="s">
        <v>2086</v>
      </c>
    </row>
    <row r="553" spans="1:8">
      <c r="A553" s="1">
        <v>561</v>
      </c>
      <c r="B553" s="2" t="s">
        <v>2091</v>
      </c>
      <c r="C553" s="3">
        <v>38078</v>
      </c>
      <c r="D553" s="4">
        <f>YEAR(Table1[[#This Row],[Date]])</f>
        <v>2004</v>
      </c>
      <c r="E553" s="2" t="s">
        <v>2097</v>
      </c>
      <c r="F553" s="4">
        <v>55</v>
      </c>
      <c r="G553" s="5">
        <v>166.99029890676019</v>
      </c>
      <c r="H553" s="6" t="s">
        <v>2090</v>
      </c>
    </row>
    <row r="554" spans="1:8">
      <c r="A554" s="1">
        <v>562</v>
      </c>
      <c r="B554" s="2" t="s">
        <v>2087</v>
      </c>
      <c r="C554" s="3">
        <v>38133</v>
      </c>
      <c r="D554" s="4">
        <f>YEAR(Table1[[#This Row],[Date]])</f>
        <v>2004</v>
      </c>
      <c r="E554" s="2" t="s">
        <v>2094</v>
      </c>
      <c r="F554" s="4">
        <v>1</v>
      </c>
      <c r="G554" s="5">
        <v>0.79289798318866422</v>
      </c>
      <c r="H554" s="6" t="s">
        <v>2082</v>
      </c>
    </row>
    <row r="555" spans="1:8">
      <c r="A555" s="1">
        <v>563</v>
      </c>
      <c r="B555" s="2" t="s">
        <v>2087</v>
      </c>
      <c r="C555" s="3">
        <v>38188</v>
      </c>
      <c r="D555" s="4">
        <f>YEAR(Table1[[#This Row],[Date]])</f>
        <v>2004</v>
      </c>
      <c r="E555" s="2" t="s">
        <v>2097</v>
      </c>
      <c r="F555" s="4">
        <v>62</v>
      </c>
      <c r="G555" s="5">
        <v>187.63361707571198</v>
      </c>
      <c r="H555" s="6" t="s">
        <v>2090</v>
      </c>
    </row>
    <row r="556" spans="1:8">
      <c r="A556" s="1">
        <v>564</v>
      </c>
      <c r="B556" s="2" t="s">
        <v>2087</v>
      </c>
      <c r="C556" s="3">
        <v>38012</v>
      </c>
      <c r="D556" s="4">
        <f>YEAR(Table1[[#This Row],[Date]])</f>
        <v>2004</v>
      </c>
      <c r="E556" s="2" t="s">
        <v>2085</v>
      </c>
      <c r="F556" s="4">
        <v>73</v>
      </c>
      <c r="G556" s="5">
        <v>220.96515803490902</v>
      </c>
      <c r="H556" s="6" t="s">
        <v>2086</v>
      </c>
    </row>
    <row r="557" spans="1:8">
      <c r="A557" s="1">
        <v>565</v>
      </c>
      <c r="B557" s="2" t="s">
        <v>2084</v>
      </c>
      <c r="C557" s="3">
        <v>38298</v>
      </c>
      <c r="D557" s="4">
        <f>YEAR(Table1[[#This Row],[Date]])</f>
        <v>2004</v>
      </c>
      <c r="E557" s="2" t="s">
        <v>2088</v>
      </c>
      <c r="F557" s="4">
        <v>12</v>
      </c>
      <c r="G557" s="5">
        <v>38.43875396047023</v>
      </c>
      <c r="H557" s="6" t="s">
        <v>2090</v>
      </c>
    </row>
    <row r="558" spans="1:8">
      <c r="A558" s="1">
        <v>566</v>
      </c>
      <c r="B558" s="2" t="s">
        <v>2098</v>
      </c>
      <c r="C558" s="3">
        <v>38221</v>
      </c>
      <c r="D558" s="4">
        <f>YEAR(Table1[[#This Row],[Date]])</f>
        <v>2004</v>
      </c>
      <c r="E558" s="2" t="s">
        <v>2097</v>
      </c>
      <c r="F558" s="4">
        <v>0</v>
      </c>
      <c r="G558" s="5">
        <v>1.5994060348452668</v>
      </c>
      <c r="H558" s="6" t="s">
        <v>2090</v>
      </c>
    </row>
    <row r="559" spans="1:8">
      <c r="A559" s="1">
        <v>567</v>
      </c>
      <c r="B559" s="2" t="s">
        <v>2100</v>
      </c>
      <c r="C559" s="3">
        <v>38947</v>
      </c>
      <c r="D559" s="4">
        <f>YEAR(Table1[[#This Row],[Date]])</f>
        <v>2006</v>
      </c>
      <c r="E559" s="2" t="s">
        <v>2094</v>
      </c>
      <c r="F559" s="4">
        <v>23</v>
      </c>
      <c r="G559" s="5">
        <v>71.39535724005502</v>
      </c>
      <c r="H559" s="6" t="s">
        <v>2090</v>
      </c>
    </row>
    <row r="560" spans="1:8">
      <c r="A560" s="1">
        <v>568</v>
      </c>
      <c r="B560" s="2" t="s">
        <v>2100</v>
      </c>
      <c r="C560" s="3">
        <v>38375</v>
      </c>
      <c r="D560" s="4">
        <f>YEAR(Table1[[#This Row],[Date]])</f>
        <v>2005</v>
      </c>
      <c r="E560" s="2" t="s">
        <v>2094</v>
      </c>
      <c r="F560" s="4">
        <v>73</v>
      </c>
      <c r="G560" s="5">
        <v>220.80778472883722</v>
      </c>
      <c r="H560" s="6" t="s">
        <v>2086</v>
      </c>
    </row>
    <row r="561" spans="1:8">
      <c r="A561" s="1">
        <v>569</v>
      </c>
      <c r="B561" s="2" t="s">
        <v>2099</v>
      </c>
      <c r="C561" s="3">
        <v>38507</v>
      </c>
      <c r="D561" s="4">
        <f>YEAR(Table1[[#This Row],[Date]])</f>
        <v>2005</v>
      </c>
      <c r="E561" s="2" t="s">
        <v>2081</v>
      </c>
      <c r="F561" s="4">
        <v>73</v>
      </c>
      <c r="G561" s="5">
        <v>221.78112807048697</v>
      </c>
      <c r="H561" s="6" t="s">
        <v>2090</v>
      </c>
    </row>
    <row r="562" spans="1:8">
      <c r="A562" s="1">
        <v>570</v>
      </c>
      <c r="B562" s="2" t="s">
        <v>2098</v>
      </c>
      <c r="C562" s="3">
        <v>38430</v>
      </c>
      <c r="D562" s="4">
        <f>YEAR(Table1[[#This Row],[Date]])</f>
        <v>2005</v>
      </c>
      <c r="E562" s="2" t="s">
        <v>2085</v>
      </c>
      <c r="F562" s="4">
        <v>43</v>
      </c>
      <c r="G562" s="5">
        <v>131.05809583118935</v>
      </c>
      <c r="H562" s="6" t="s">
        <v>2082</v>
      </c>
    </row>
    <row r="563" spans="1:8">
      <c r="A563" s="1">
        <v>571</v>
      </c>
      <c r="B563" s="2" t="s">
        <v>2084</v>
      </c>
      <c r="C563" s="3">
        <v>38925</v>
      </c>
      <c r="D563" s="4">
        <f>YEAR(Table1[[#This Row],[Date]])</f>
        <v>2006</v>
      </c>
      <c r="E563" s="2" t="s">
        <v>2088</v>
      </c>
      <c r="F563" s="4">
        <v>60</v>
      </c>
      <c r="G563" s="5">
        <v>182.29246065825532</v>
      </c>
      <c r="H563" s="6" t="s">
        <v>2096</v>
      </c>
    </row>
    <row r="564" spans="1:8">
      <c r="A564" s="1">
        <v>572</v>
      </c>
      <c r="B564" s="2" t="s">
        <v>2098</v>
      </c>
      <c r="C564" s="3">
        <v>39057</v>
      </c>
      <c r="D564" s="4">
        <f>YEAR(Table1[[#This Row],[Date]])</f>
        <v>2006</v>
      </c>
      <c r="E564" s="2" t="s">
        <v>2081</v>
      </c>
      <c r="F564" s="4">
        <v>40</v>
      </c>
      <c r="G564" s="5">
        <v>121.86602847443184</v>
      </c>
      <c r="H564" s="6" t="s">
        <v>2086</v>
      </c>
    </row>
    <row r="565" spans="1:8">
      <c r="A565" s="1">
        <v>573</v>
      </c>
      <c r="B565" s="2" t="s">
        <v>2099</v>
      </c>
      <c r="C565" s="3">
        <v>38562</v>
      </c>
      <c r="D565" s="4">
        <f>YEAR(Table1[[#This Row],[Date]])</f>
        <v>2005</v>
      </c>
      <c r="E565" s="2" t="s">
        <v>2081</v>
      </c>
      <c r="F565" s="4">
        <v>7</v>
      </c>
      <c r="G565" s="5">
        <v>18.9155229231676</v>
      </c>
      <c r="H565" s="6" t="s">
        <v>2086</v>
      </c>
    </row>
    <row r="566" spans="1:8">
      <c r="A566" s="1">
        <v>574</v>
      </c>
      <c r="B566" s="2" t="s">
        <v>2080</v>
      </c>
      <c r="C566" s="3">
        <v>38254</v>
      </c>
      <c r="D566" s="4">
        <f>YEAR(Table1[[#This Row],[Date]])</f>
        <v>2004</v>
      </c>
      <c r="E566" s="2" t="s">
        <v>2085</v>
      </c>
      <c r="F566" s="4">
        <v>39</v>
      </c>
      <c r="G566" s="5">
        <v>118.36577315011976</v>
      </c>
      <c r="H566" s="6" t="s">
        <v>2086</v>
      </c>
    </row>
    <row r="567" spans="1:8">
      <c r="A567" s="1">
        <v>575</v>
      </c>
      <c r="B567" s="2" t="s">
        <v>2093</v>
      </c>
      <c r="C567" s="3">
        <v>38353</v>
      </c>
      <c r="D567" s="4">
        <f>YEAR(Table1[[#This Row],[Date]])</f>
        <v>2005</v>
      </c>
      <c r="E567" s="2" t="s">
        <v>2097</v>
      </c>
      <c r="F567" s="4">
        <v>84</v>
      </c>
      <c r="G567" s="5">
        <v>253.79033414178701</v>
      </c>
      <c r="H567" s="6" t="s">
        <v>2090</v>
      </c>
    </row>
    <row r="568" spans="1:8">
      <c r="A568" s="1">
        <v>576</v>
      </c>
      <c r="B568" s="2" t="s">
        <v>2099</v>
      </c>
      <c r="C568" s="3">
        <v>38837</v>
      </c>
      <c r="D568" s="4">
        <f>YEAR(Table1[[#This Row],[Date]])</f>
        <v>2006</v>
      </c>
      <c r="E568" s="2" t="s">
        <v>2088</v>
      </c>
      <c r="F568" s="4">
        <v>92</v>
      </c>
      <c r="G568" s="5">
        <v>277.80911377540116</v>
      </c>
      <c r="H568" s="6" t="s">
        <v>2090</v>
      </c>
    </row>
    <row r="569" spans="1:8">
      <c r="A569" s="1">
        <v>577</v>
      </c>
      <c r="B569" s="2" t="s">
        <v>2084</v>
      </c>
      <c r="C569" s="3">
        <v>38628</v>
      </c>
      <c r="D569" s="4">
        <f>YEAR(Table1[[#This Row],[Date]])</f>
        <v>2005</v>
      </c>
      <c r="E569" s="2" t="s">
        <v>2097</v>
      </c>
      <c r="F569" s="4">
        <v>68</v>
      </c>
      <c r="G569" s="5">
        <v>206.08318598884486</v>
      </c>
      <c r="H569" s="6" t="s">
        <v>2082</v>
      </c>
    </row>
    <row r="570" spans="1:8">
      <c r="A570" s="1">
        <v>578</v>
      </c>
      <c r="B570" s="2" t="s">
        <v>2084</v>
      </c>
      <c r="C570" s="3">
        <v>38298</v>
      </c>
      <c r="D570" s="4">
        <f>YEAR(Table1[[#This Row],[Date]])</f>
        <v>2004</v>
      </c>
      <c r="E570" s="2" t="s">
        <v>2081</v>
      </c>
      <c r="F570" s="4">
        <v>7</v>
      </c>
      <c r="G570" s="5">
        <v>23.192583270070902</v>
      </c>
      <c r="H570" s="6" t="s">
        <v>2096</v>
      </c>
    </row>
    <row r="571" spans="1:8">
      <c r="A571" s="1">
        <v>579</v>
      </c>
      <c r="B571" s="2" t="s">
        <v>2091</v>
      </c>
      <c r="C571" s="3">
        <v>39002</v>
      </c>
      <c r="D571" s="4">
        <f>YEAR(Table1[[#This Row],[Date]])</f>
        <v>2006</v>
      </c>
      <c r="E571" s="2" t="s">
        <v>2094</v>
      </c>
      <c r="F571" s="4">
        <v>9</v>
      </c>
      <c r="G571" s="5">
        <v>24.836237139949766</v>
      </c>
      <c r="H571" s="6" t="s">
        <v>2082</v>
      </c>
    </row>
    <row r="572" spans="1:8">
      <c r="A572" s="1">
        <v>580</v>
      </c>
      <c r="B572" s="2" t="s">
        <v>2100</v>
      </c>
      <c r="C572" s="3">
        <v>38639</v>
      </c>
      <c r="D572" s="4">
        <f>YEAR(Table1[[#This Row],[Date]])</f>
        <v>2005</v>
      </c>
      <c r="E572" s="2" t="s">
        <v>2097</v>
      </c>
      <c r="F572" s="4">
        <v>51</v>
      </c>
      <c r="G572" s="5">
        <v>154.40065127641515</v>
      </c>
      <c r="H572" s="6" t="s">
        <v>2086</v>
      </c>
    </row>
    <row r="573" spans="1:8">
      <c r="A573" s="1">
        <v>581</v>
      </c>
      <c r="B573" s="2" t="s">
        <v>2084</v>
      </c>
      <c r="C573" s="3">
        <v>38683</v>
      </c>
      <c r="D573" s="4">
        <f>YEAR(Table1[[#This Row],[Date]])</f>
        <v>2005</v>
      </c>
      <c r="E573" s="2" t="s">
        <v>2081</v>
      </c>
      <c r="F573" s="4">
        <v>59</v>
      </c>
      <c r="G573" s="5">
        <v>178.89731679899467</v>
      </c>
      <c r="H573" s="6" t="s">
        <v>2082</v>
      </c>
    </row>
    <row r="574" spans="1:8">
      <c r="A574" s="1">
        <v>582</v>
      </c>
      <c r="B574" s="2" t="s">
        <v>2095</v>
      </c>
      <c r="C574" s="3">
        <v>38661</v>
      </c>
      <c r="D574" s="4">
        <f>YEAR(Table1[[#This Row],[Date]])</f>
        <v>2005</v>
      </c>
      <c r="E574" s="2" t="s">
        <v>2097</v>
      </c>
      <c r="F574" s="4">
        <v>64</v>
      </c>
      <c r="G574" s="5">
        <v>194.44151134010454</v>
      </c>
      <c r="H574" s="6" t="s">
        <v>2090</v>
      </c>
    </row>
    <row r="575" spans="1:8">
      <c r="A575" s="1">
        <v>583</v>
      </c>
      <c r="B575" s="2" t="s">
        <v>2100</v>
      </c>
      <c r="C575" s="3">
        <v>38672</v>
      </c>
      <c r="D575" s="4">
        <f>YEAR(Table1[[#This Row],[Date]])</f>
        <v>2005</v>
      </c>
      <c r="E575" s="2" t="s">
        <v>2081</v>
      </c>
      <c r="F575" s="4">
        <v>0</v>
      </c>
      <c r="G575" s="5">
        <v>2.516330534249033</v>
      </c>
      <c r="H575" s="6" t="s">
        <v>2096</v>
      </c>
    </row>
    <row r="576" spans="1:8">
      <c r="A576" s="1">
        <v>584</v>
      </c>
      <c r="B576" s="2" t="s">
        <v>2099</v>
      </c>
      <c r="C576" s="3">
        <v>38397</v>
      </c>
      <c r="D576" s="4">
        <f>YEAR(Table1[[#This Row],[Date]])</f>
        <v>2005</v>
      </c>
      <c r="E576" s="2" t="s">
        <v>2097</v>
      </c>
      <c r="F576" s="4">
        <v>81</v>
      </c>
      <c r="G576" s="5">
        <v>243.81590205081088</v>
      </c>
      <c r="H576" s="6" t="s">
        <v>2086</v>
      </c>
    </row>
    <row r="577" spans="1:8">
      <c r="A577" s="1">
        <v>585</v>
      </c>
      <c r="B577" s="2" t="s">
        <v>2098</v>
      </c>
      <c r="C577" s="3">
        <v>38452</v>
      </c>
      <c r="D577" s="4">
        <f>YEAR(Table1[[#This Row],[Date]])</f>
        <v>2005</v>
      </c>
      <c r="E577" s="2" t="s">
        <v>2088</v>
      </c>
      <c r="F577" s="4">
        <v>93</v>
      </c>
      <c r="G577" s="5">
        <v>280.7978115895645</v>
      </c>
      <c r="H577" s="6" t="s">
        <v>2086</v>
      </c>
    </row>
    <row r="578" spans="1:8">
      <c r="A578" s="1">
        <v>586</v>
      </c>
      <c r="B578" s="2" t="s">
        <v>2100</v>
      </c>
      <c r="C578" s="3">
        <v>38749</v>
      </c>
      <c r="D578" s="4">
        <f>YEAR(Table1[[#This Row],[Date]])</f>
        <v>2006</v>
      </c>
      <c r="E578" s="2" t="s">
        <v>2081</v>
      </c>
      <c r="F578" s="4">
        <v>20</v>
      </c>
      <c r="G578" s="5">
        <v>61.967424849894947</v>
      </c>
      <c r="H578" s="6" t="s">
        <v>2082</v>
      </c>
    </row>
    <row r="579" spans="1:8">
      <c r="A579" s="1">
        <v>587</v>
      </c>
      <c r="B579" s="2" t="s">
        <v>2087</v>
      </c>
      <c r="C579" s="3">
        <v>38507</v>
      </c>
      <c r="D579" s="4">
        <f>YEAR(Table1[[#This Row],[Date]])</f>
        <v>2005</v>
      </c>
      <c r="E579" s="2" t="s">
        <v>2094</v>
      </c>
      <c r="F579" s="4">
        <v>39</v>
      </c>
      <c r="G579" s="5">
        <v>119.9083594229058</v>
      </c>
      <c r="H579" s="6" t="s">
        <v>2096</v>
      </c>
    </row>
    <row r="580" spans="1:8">
      <c r="A580" s="1">
        <v>588</v>
      </c>
      <c r="B580" s="2" t="s">
        <v>2095</v>
      </c>
      <c r="C580" s="3">
        <v>38287</v>
      </c>
      <c r="D580" s="4">
        <f>YEAR(Table1[[#This Row],[Date]])</f>
        <v>2004</v>
      </c>
      <c r="E580" s="2" t="s">
        <v>2085</v>
      </c>
      <c r="F580" s="4">
        <v>6</v>
      </c>
      <c r="G580" s="5">
        <v>20.018331980892231</v>
      </c>
      <c r="H580" s="6" t="s">
        <v>2082</v>
      </c>
    </row>
    <row r="581" spans="1:8">
      <c r="A581" s="1">
        <v>589</v>
      </c>
      <c r="B581" s="2" t="s">
        <v>2095</v>
      </c>
      <c r="C581" s="3">
        <v>38034</v>
      </c>
      <c r="D581" s="4">
        <f>YEAR(Table1[[#This Row],[Date]])</f>
        <v>2004</v>
      </c>
      <c r="E581" s="2" t="s">
        <v>2085</v>
      </c>
      <c r="F581" s="4">
        <v>34</v>
      </c>
      <c r="G581" s="5">
        <v>103.67942872150846</v>
      </c>
      <c r="H581" s="6" t="s">
        <v>2082</v>
      </c>
    </row>
    <row r="582" spans="1:8">
      <c r="A582" s="1">
        <v>590</v>
      </c>
      <c r="B582" s="2" t="s">
        <v>2084</v>
      </c>
      <c r="C582" s="3">
        <v>38749</v>
      </c>
      <c r="D582" s="4">
        <f>YEAR(Table1[[#This Row],[Date]])</f>
        <v>2006</v>
      </c>
      <c r="E582" s="2" t="s">
        <v>2081</v>
      </c>
      <c r="F582" s="4">
        <v>33</v>
      </c>
      <c r="G582" s="5">
        <v>101.31101808549928</v>
      </c>
      <c r="H582" s="6" t="s">
        <v>2090</v>
      </c>
    </row>
    <row r="583" spans="1:8">
      <c r="A583" s="1">
        <v>591</v>
      </c>
      <c r="B583" s="2" t="s">
        <v>2087</v>
      </c>
      <c r="C583" s="3">
        <v>38001</v>
      </c>
      <c r="D583" s="4">
        <f>YEAR(Table1[[#This Row],[Date]])</f>
        <v>2004</v>
      </c>
      <c r="E583" s="2" t="s">
        <v>2088</v>
      </c>
      <c r="F583" s="4">
        <v>10</v>
      </c>
      <c r="G583" s="5">
        <v>28.463885870908516</v>
      </c>
      <c r="H583" s="6" t="s">
        <v>2090</v>
      </c>
    </row>
    <row r="584" spans="1:8">
      <c r="A584" s="1">
        <v>592</v>
      </c>
      <c r="B584" s="2" t="s">
        <v>2100</v>
      </c>
      <c r="C584" s="3">
        <v>38936</v>
      </c>
      <c r="D584" s="4">
        <f>YEAR(Table1[[#This Row],[Date]])</f>
        <v>2006</v>
      </c>
      <c r="E584" s="2" t="s">
        <v>2094</v>
      </c>
      <c r="F584" s="4">
        <v>47</v>
      </c>
      <c r="G584" s="5">
        <v>141.97140662710891</v>
      </c>
      <c r="H584" s="6" t="s">
        <v>2086</v>
      </c>
    </row>
    <row r="585" spans="1:8">
      <c r="A585" s="1">
        <v>593</v>
      </c>
      <c r="B585" s="2" t="s">
        <v>2098</v>
      </c>
      <c r="C585" s="3">
        <v>38001</v>
      </c>
      <c r="D585" s="4">
        <f>YEAR(Table1[[#This Row],[Date]])</f>
        <v>2004</v>
      </c>
      <c r="E585" s="2" t="s">
        <v>2085</v>
      </c>
      <c r="F585" s="4">
        <v>94</v>
      </c>
      <c r="G585" s="5">
        <v>284.61276074739663</v>
      </c>
      <c r="H585" s="6" t="s">
        <v>2096</v>
      </c>
    </row>
    <row r="586" spans="1:8">
      <c r="A586" s="1">
        <v>594</v>
      </c>
      <c r="B586" s="2" t="s">
        <v>2084</v>
      </c>
      <c r="C586" s="3">
        <v>38870</v>
      </c>
      <c r="D586" s="4">
        <f>YEAR(Table1[[#This Row],[Date]])</f>
        <v>2006</v>
      </c>
      <c r="E586" s="2" t="s">
        <v>2085</v>
      </c>
      <c r="F586" s="4">
        <v>92</v>
      </c>
      <c r="G586" s="5">
        <v>278.22640918878471</v>
      </c>
      <c r="H586" s="6" t="s">
        <v>2086</v>
      </c>
    </row>
    <row r="587" spans="1:8">
      <c r="A587" s="1">
        <v>595</v>
      </c>
      <c r="B587" s="2" t="s">
        <v>2093</v>
      </c>
      <c r="C587" s="3">
        <v>38364</v>
      </c>
      <c r="D587" s="4">
        <f>YEAR(Table1[[#This Row],[Date]])</f>
        <v>2005</v>
      </c>
      <c r="E587" s="2" t="s">
        <v>2081</v>
      </c>
      <c r="F587" s="4">
        <v>68</v>
      </c>
      <c r="G587" s="5">
        <v>205.95905527766212</v>
      </c>
      <c r="H587" s="6" t="s">
        <v>2082</v>
      </c>
    </row>
    <row r="588" spans="1:8">
      <c r="A588" s="1">
        <v>596</v>
      </c>
      <c r="B588" s="2" t="s">
        <v>2099</v>
      </c>
      <c r="C588" s="3">
        <v>38067</v>
      </c>
      <c r="D588" s="4">
        <f>YEAR(Table1[[#This Row],[Date]])</f>
        <v>2004</v>
      </c>
      <c r="E588" s="2" t="s">
        <v>2081</v>
      </c>
      <c r="F588" s="4">
        <v>37</v>
      </c>
      <c r="G588" s="5">
        <v>112.85151912863849</v>
      </c>
      <c r="H588" s="6" t="s">
        <v>2086</v>
      </c>
    </row>
    <row r="589" spans="1:8">
      <c r="A589" s="1">
        <v>597</v>
      </c>
      <c r="B589" s="2" t="s">
        <v>2098</v>
      </c>
      <c r="C589" s="3">
        <v>38188</v>
      </c>
      <c r="D589" s="4">
        <f>YEAR(Table1[[#This Row],[Date]])</f>
        <v>2004</v>
      </c>
      <c r="E589" s="2" t="s">
        <v>2094</v>
      </c>
      <c r="F589" s="4">
        <v>78</v>
      </c>
      <c r="G589" s="5">
        <v>235.37144026519812</v>
      </c>
      <c r="H589" s="6" t="s">
        <v>2082</v>
      </c>
    </row>
    <row r="590" spans="1:8">
      <c r="A590" s="1">
        <v>598</v>
      </c>
      <c r="B590" s="2" t="s">
        <v>2084</v>
      </c>
      <c r="C590" s="3">
        <v>39057</v>
      </c>
      <c r="D590" s="4">
        <f>YEAR(Table1[[#This Row],[Date]])</f>
        <v>2006</v>
      </c>
      <c r="E590" s="2" t="s">
        <v>2094</v>
      </c>
      <c r="F590" s="4">
        <v>14</v>
      </c>
      <c r="G590" s="5">
        <v>43.756013144501985</v>
      </c>
      <c r="H590" s="6" t="s">
        <v>2096</v>
      </c>
    </row>
    <row r="591" spans="1:8">
      <c r="A591" s="1">
        <v>599</v>
      </c>
      <c r="B591" s="2" t="s">
        <v>2100</v>
      </c>
      <c r="C591" s="3">
        <v>39024</v>
      </c>
      <c r="D591" s="4">
        <f>YEAR(Table1[[#This Row],[Date]])</f>
        <v>2006</v>
      </c>
      <c r="E591" s="2" t="s">
        <v>2085</v>
      </c>
      <c r="F591" s="4">
        <v>33</v>
      </c>
      <c r="G591" s="5">
        <v>100.54958475062591</v>
      </c>
      <c r="H591" s="6" t="s">
        <v>2096</v>
      </c>
    </row>
    <row r="592" spans="1:8">
      <c r="A592" s="1">
        <v>600</v>
      </c>
      <c r="B592" s="2" t="s">
        <v>2098</v>
      </c>
      <c r="C592" s="3">
        <v>38155</v>
      </c>
      <c r="D592" s="4">
        <f>YEAR(Table1[[#This Row],[Date]])</f>
        <v>2004</v>
      </c>
      <c r="E592" s="2" t="s">
        <v>2094</v>
      </c>
      <c r="F592" s="4">
        <v>64</v>
      </c>
      <c r="G592" s="5">
        <v>194.18188189830369</v>
      </c>
      <c r="H592" s="6" t="s">
        <v>2090</v>
      </c>
    </row>
    <row r="593" spans="1:8">
      <c r="A593" s="1">
        <v>601</v>
      </c>
      <c r="B593" s="2" t="s">
        <v>2091</v>
      </c>
      <c r="C593" s="3">
        <v>38936</v>
      </c>
      <c r="D593" s="4">
        <f>YEAR(Table1[[#This Row],[Date]])</f>
        <v>2006</v>
      </c>
      <c r="E593" s="2" t="s">
        <v>2081</v>
      </c>
      <c r="F593" s="4">
        <v>6</v>
      </c>
      <c r="G593" s="5">
        <v>20.229703821540529</v>
      </c>
      <c r="H593" s="6" t="s">
        <v>2082</v>
      </c>
    </row>
    <row r="594" spans="1:8">
      <c r="A594" s="1">
        <v>602</v>
      </c>
      <c r="B594" s="2" t="s">
        <v>2100</v>
      </c>
      <c r="C594" s="3">
        <v>38870</v>
      </c>
      <c r="D594" s="4">
        <f>YEAR(Table1[[#This Row],[Date]])</f>
        <v>2006</v>
      </c>
      <c r="E594" s="2" t="s">
        <v>2088</v>
      </c>
      <c r="F594" s="4">
        <v>65</v>
      </c>
      <c r="G594" s="5">
        <v>197.4890682991998</v>
      </c>
      <c r="H594" s="6" t="s">
        <v>2090</v>
      </c>
    </row>
    <row r="595" spans="1:8">
      <c r="A595" s="1">
        <v>603</v>
      </c>
      <c r="B595" s="2" t="s">
        <v>2080</v>
      </c>
      <c r="C595" s="3">
        <v>38001</v>
      </c>
      <c r="D595" s="4">
        <f>YEAR(Table1[[#This Row],[Date]])</f>
        <v>2004</v>
      </c>
      <c r="E595" s="2" t="s">
        <v>2097</v>
      </c>
      <c r="F595" s="4">
        <v>24</v>
      </c>
      <c r="G595" s="5">
        <v>74.283089497229128</v>
      </c>
      <c r="H595" s="6" t="s">
        <v>2082</v>
      </c>
    </row>
    <row r="596" spans="1:8">
      <c r="A596" s="1">
        <v>604</v>
      </c>
      <c r="B596" s="2" t="s">
        <v>2093</v>
      </c>
      <c r="C596" s="3">
        <v>38705</v>
      </c>
      <c r="D596" s="4">
        <f>YEAR(Table1[[#This Row],[Date]])</f>
        <v>2005</v>
      </c>
      <c r="E596" s="2" t="s">
        <v>2088</v>
      </c>
      <c r="F596" s="4">
        <v>89</v>
      </c>
      <c r="G596" s="5">
        <v>269.00888504806545</v>
      </c>
      <c r="H596" s="6" t="s">
        <v>2086</v>
      </c>
    </row>
    <row r="597" spans="1:8">
      <c r="A597" s="1">
        <v>605</v>
      </c>
      <c r="B597" s="2" t="s">
        <v>2093</v>
      </c>
      <c r="C597" s="3">
        <v>38628</v>
      </c>
      <c r="D597" s="4">
        <f>YEAR(Table1[[#This Row],[Date]])</f>
        <v>2005</v>
      </c>
      <c r="E597" s="2" t="s">
        <v>2097</v>
      </c>
      <c r="F597" s="4">
        <v>94</v>
      </c>
      <c r="G597" s="5">
        <v>284.24987523561106</v>
      </c>
      <c r="H597" s="6" t="s">
        <v>2096</v>
      </c>
    </row>
    <row r="598" spans="1:8">
      <c r="A598" s="1">
        <v>606</v>
      </c>
      <c r="B598" s="2" t="s">
        <v>2091</v>
      </c>
      <c r="C598" s="3">
        <v>38694</v>
      </c>
      <c r="D598" s="4">
        <f>YEAR(Table1[[#This Row],[Date]])</f>
        <v>2005</v>
      </c>
      <c r="E598" s="2" t="s">
        <v>2085</v>
      </c>
      <c r="F598" s="4">
        <v>67</v>
      </c>
      <c r="G598" s="5">
        <v>203.71315269974144</v>
      </c>
      <c r="H598" s="6" t="s">
        <v>2082</v>
      </c>
    </row>
    <row r="599" spans="1:8">
      <c r="A599" s="1">
        <v>607</v>
      </c>
      <c r="B599" s="2" t="s">
        <v>2093</v>
      </c>
      <c r="C599" s="3">
        <v>38210</v>
      </c>
      <c r="D599" s="4">
        <f>YEAR(Table1[[#This Row],[Date]])</f>
        <v>2004</v>
      </c>
      <c r="E599" s="2" t="s">
        <v>2097</v>
      </c>
      <c r="F599" s="4">
        <v>7</v>
      </c>
      <c r="G599" s="5">
        <v>23.434372885216568</v>
      </c>
      <c r="H599" s="6" t="s">
        <v>2082</v>
      </c>
    </row>
    <row r="600" spans="1:8">
      <c r="A600" s="1">
        <v>608</v>
      </c>
      <c r="B600" s="2" t="s">
        <v>2093</v>
      </c>
      <c r="C600" s="3">
        <v>38254</v>
      </c>
      <c r="D600" s="4">
        <f>YEAR(Table1[[#This Row],[Date]])</f>
        <v>2004</v>
      </c>
      <c r="E600" s="2" t="s">
        <v>2085</v>
      </c>
      <c r="F600" s="4">
        <v>58</v>
      </c>
      <c r="G600" s="5">
        <v>176.00311303023639</v>
      </c>
      <c r="H600" s="6" t="s">
        <v>2096</v>
      </c>
    </row>
    <row r="601" spans="1:8">
      <c r="A601" s="1">
        <v>609</v>
      </c>
      <c r="B601" s="2" t="s">
        <v>2099</v>
      </c>
      <c r="C601" s="3">
        <v>38155</v>
      </c>
      <c r="D601" s="4">
        <f>YEAR(Table1[[#This Row],[Date]])</f>
        <v>2004</v>
      </c>
      <c r="E601" s="2" t="s">
        <v>2097</v>
      </c>
      <c r="F601" s="4">
        <v>77</v>
      </c>
      <c r="G601" s="5">
        <v>232.66821530494673</v>
      </c>
      <c r="H601" s="6" t="s">
        <v>2086</v>
      </c>
    </row>
    <row r="602" spans="1:8">
      <c r="A602" s="1">
        <v>610</v>
      </c>
      <c r="B602" s="2" t="s">
        <v>2091</v>
      </c>
      <c r="C602" s="3">
        <v>38606</v>
      </c>
      <c r="D602" s="4">
        <f>YEAR(Table1[[#This Row],[Date]])</f>
        <v>2005</v>
      </c>
      <c r="E602" s="2" t="s">
        <v>2094</v>
      </c>
      <c r="F602" s="4">
        <v>50</v>
      </c>
      <c r="G602" s="5">
        <v>151.12327703696886</v>
      </c>
      <c r="H602" s="6" t="s">
        <v>2096</v>
      </c>
    </row>
    <row r="603" spans="1:8">
      <c r="A603" s="1">
        <v>611</v>
      </c>
      <c r="B603" s="2" t="s">
        <v>2080</v>
      </c>
      <c r="C603" s="3">
        <v>38936</v>
      </c>
      <c r="D603" s="4">
        <f>YEAR(Table1[[#This Row],[Date]])</f>
        <v>2006</v>
      </c>
      <c r="E603" s="2" t="s">
        <v>2081</v>
      </c>
      <c r="F603" s="4">
        <v>10</v>
      </c>
      <c r="G603" s="5">
        <v>32.139866181276794</v>
      </c>
      <c r="H603" s="6" t="s">
        <v>2082</v>
      </c>
    </row>
    <row r="604" spans="1:8">
      <c r="A604" s="1">
        <v>612</v>
      </c>
      <c r="B604" s="2" t="s">
        <v>2084</v>
      </c>
      <c r="C604" s="3">
        <v>38595</v>
      </c>
      <c r="D604" s="4">
        <f>YEAR(Table1[[#This Row],[Date]])</f>
        <v>2005</v>
      </c>
      <c r="E604" s="2" t="s">
        <v>2097</v>
      </c>
      <c r="F604" s="4">
        <v>2</v>
      </c>
      <c r="G604" s="5">
        <v>7.7805066936063501</v>
      </c>
      <c r="H604" s="6" t="s">
        <v>2090</v>
      </c>
    </row>
    <row r="605" spans="1:8">
      <c r="A605" s="1">
        <v>613</v>
      </c>
      <c r="B605" s="2" t="s">
        <v>2087</v>
      </c>
      <c r="C605" s="3">
        <v>38925</v>
      </c>
      <c r="D605" s="4">
        <f>YEAR(Table1[[#This Row],[Date]])</f>
        <v>2006</v>
      </c>
      <c r="E605" s="2" t="s">
        <v>2097</v>
      </c>
      <c r="F605" s="4">
        <v>17</v>
      </c>
      <c r="G605" s="5">
        <v>53.692138808043005</v>
      </c>
      <c r="H605" s="6" t="s">
        <v>2096</v>
      </c>
    </row>
    <row r="606" spans="1:8">
      <c r="A606" s="1">
        <v>614</v>
      </c>
      <c r="B606" s="2" t="s">
        <v>2095</v>
      </c>
      <c r="C606" s="3">
        <v>38474</v>
      </c>
      <c r="D606" s="4">
        <f>YEAR(Table1[[#This Row],[Date]])</f>
        <v>2005</v>
      </c>
      <c r="E606" s="2" t="s">
        <v>2097</v>
      </c>
      <c r="F606" s="4">
        <v>90</v>
      </c>
      <c r="G606" s="5">
        <v>272.41389128062559</v>
      </c>
      <c r="H606" s="6" t="s">
        <v>2086</v>
      </c>
    </row>
    <row r="607" spans="1:8">
      <c r="A607" s="1">
        <v>615</v>
      </c>
      <c r="B607" s="2" t="s">
        <v>2084</v>
      </c>
      <c r="C607" s="3">
        <v>39046</v>
      </c>
      <c r="D607" s="4">
        <f>YEAR(Table1[[#This Row],[Date]])</f>
        <v>2006</v>
      </c>
      <c r="E607" s="2" t="s">
        <v>2085</v>
      </c>
      <c r="F607" s="4">
        <v>58</v>
      </c>
      <c r="G607" s="5">
        <v>175.59064342356595</v>
      </c>
      <c r="H607" s="6" t="s">
        <v>2082</v>
      </c>
    </row>
    <row r="608" spans="1:8">
      <c r="A608" s="1">
        <v>616</v>
      </c>
      <c r="B608" s="2" t="s">
        <v>2095</v>
      </c>
      <c r="C608" s="3">
        <v>38738</v>
      </c>
      <c r="D608" s="4">
        <f>YEAR(Table1[[#This Row],[Date]])</f>
        <v>2006</v>
      </c>
      <c r="E608" s="2" t="s">
        <v>2097</v>
      </c>
      <c r="F608" s="4">
        <v>66</v>
      </c>
      <c r="G608" s="5">
        <v>199.92690698146819</v>
      </c>
      <c r="H608" s="6" t="s">
        <v>2086</v>
      </c>
    </row>
    <row r="609" spans="1:8">
      <c r="A609" s="1">
        <v>617</v>
      </c>
      <c r="B609" s="2" t="s">
        <v>2099</v>
      </c>
      <c r="C609" s="3">
        <v>38166</v>
      </c>
      <c r="D609" s="4">
        <f>YEAR(Table1[[#This Row],[Date]])</f>
        <v>2004</v>
      </c>
      <c r="E609" s="2" t="s">
        <v>2094</v>
      </c>
      <c r="F609" s="4">
        <v>6</v>
      </c>
      <c r="G609" s="5">
        <v>20.242222983134283</v>
      </c>
      <c r="H609" s="6" t="s">
        <v>2086</v>
      </c>
    </row>
    <row r="610" spans="1:8">
      <c r="A610" s="1">
        <v>618</v>
      </c>
      <c r="B610" s="2" t="s">
        <v>2093</v>
      </c>
      <c r="C610" s="3">
        <v>38826</v>
      </c>
      <c r="D610" s="4">
        <f>YEAR(Table1[[#This Row],[Date]])</f>
        <v>2006</v>
      </c>
      <c r="E610" s="2" t="s">
        <v>2081</v>
      </c>
      <c r="F610" s="4">
        <v>90</v>
      </c>
      <c r="G610" s="5">
        <v>272.58718593660444</v>
      </c>
      <c r="H610" s="6" t="s">
        <v>2082</v>
      </c>
    </row>
    <row r="611" spans="1:8">
      <c r="A611" s="1">
        <v>619</v>
      </c>
      <c r="B611" s="2" t="s">
        <v>2093</v>
      </c>
      <c r="C611" s="3">
        <v>38859</v>
      </c>
      <c r="D611" s="4">
        <f>YEAR(Table1[[#This Row],[Date]])</f>
        <v>2006</v>
      </c>
      <c r="E611" s="2" t="s">
        <v>2081</v>
      </c>
      <c r="F611" s="4">
        <v>38</v>
      </c>
      <c r="G611" s="5">
        <v>115.85799136725458</v>
      </c>
      <c r="H611" s="6" t="s">
        <v>2090</v>
      </c>
    </row>
    <row r="612" spans="1:8">
      <c r="A612" s="1">
        <v>620</v>
      </c>
      <c r="B612" s="2" t="s">
        <v>2095</v>
      </c>
      <c r="C612" s="3">
        <v>38265</v>
      </c>
      <c r="D612" s="4">
        <f>YEAR(Table1[[#This Row],[Date]])</f>
        <v>2004</v>
      </c>
      <c r="E612" s="2" t="s">
        <v>2097</v>
      </c>
      <c r="F612" s="4">
        <v>3</v>
      </c>
      <c r="G612" s="5">
        <v>10.907655295049528</v>
      </c>
      <c r="H612" s="6" t="s">
        <v>2086</v>
      </c>
    </row>
    <row r="613" spans="1:8">
      <c r="A613" s="1">
        <v>621</v>
      </c>
      <c r="B613" s="2" t="s">
        <v>2098</v>
      </c>
      <c r="C613" s="3">
        <v>38089</v>
      </c>
      <c r="D613" s="4">
        <f>YEAR(Table1[[#This Row],[Date]])</f>
        <v>2004</v>
      </c>
      <c r="E613" s="2" t="s">
        <v>2085</v>
      </c>
      <c r="F613" s="4">
        <v>4</v>
      </c>
      <c r="G613" s="5">
        <v>10.39215955971811</v>
      </c>
      <c r="H613" s="6" t="s">
        <v>2086</v>
      </c>
    </row>
    <row r="614" spans="1:8">
      <c r="A614" s="1">
        <v>622</v>
      </c>
      <c r="B614" s="2" t="s">
        <v>2087</v>
      </c>
      <c r="C614" s="3">
        <v>38155</v>
      </c>
      <c r="D614" s="4">
        <f>YEAR(Table1[[#This Row],[Date]])</f>
        <v>2004</v>
      </c>
      <c r="E614" s="2" t="s">
        <v>2094</v>
      </c>
      <c r="F614" s="4">
        <v>8</v>
      </c>
      <c r="G614" s="5">
        <v>25.899680153324056</v>
      </c>
      <c r="H614" s="6" t="s">
        <v>2090</v>
      </c>
    </row>
    <row r="615" spans="1:8">
      <c r="A615" s="1">
        <v>623</v>
      </c>
      <c r="B615" s="2" t="s">
        <v>2093</v>
      </c>
      <c r="C615" s="3">
        <v>38078</v>
      </c>
      <c r="D615" s="4">
        <f>YEAR(Table1[[#This Row],[Date]])</f>
        <v>2004</v>
      </c>
      <c r="E615" s="2" t="s">
        <v>2097</v>
      </c>
      <c r="F615" s="4">
        <v>8</v>
      </c>
      <c r="G615" s="5">
        <v>22.23218548835203</v>
      </c>
      <c r="H615" s="6" t="s">
        <v>2090</v>
      </c>
    </row>
    <row r="616" spans="1:8">
      <c r="A616" s="1">
        <v>624</v>
      </c>
      <c r="B616" s="2" t="s">
        <v>2084</v>
      </c>
      <c r="C616" s="3">
        <v>38254</v>
      </c>
      <c r="D616" s="4">
        <f>YEAR(Table1[[#This Row],[Date]])</f>
        <v>2004</v>
      </c>
      <c r="E616" s="2" t="s">
        <v>2097</v>
      </c>
      <c r="F616" s="4">
        <v>72</v>
      </c>
      <c r="G616" s="5">
        <v>218.68777878091251</v>
      </c>
      <c r="H616" s="6" t="s">
        <v>2086</v>
      </c>
    </row>
    <row r="617" spans="1:8">
      <c r="A617" s="1">
        <v>625</v>
      </c>
      <c r="B617" s="2" t="s">
        <v>2099</v>
      </c>
      <c r="C617" s="3">
        <v>38738</v>
      </c>
      <c r="D617" s="4">
        <f>YEAR(Table1[[#This Row],[Date]])</f>
        <v>2006</v>
      </c>
      <c r="E617" s="2" t="s">
        <v>2094</v>
      </c>
      <c r="F617" s="4">
        <v>83</v>
      </c>
      <c r="G617" s="5">
        <v>250.66590250032371</v>
      </c>
      <c r="H617" s="6" t="s">
        <v>2090</v>
      </c>
    </row>
    <row r="618" spans="1:8">
      <c r="A618" s="1">
        <v>626</v>
      </c>
      <c r="B618" s="2" t="s">
        <v>2091</v>
      </c>
      <c r="C618" s="3">
        <v>38870</v>
      </c>
      <c r="D618" s="4">
        <f>YEAR(Table1[[#This Row],[Date]])</f>
        <v>2006</v>
      </c>
      <c r="E618" s="2" t="s">
        <v>2085</v>
      </c>
      <c r="F618" s="4">
        <v>12</v>
      </c>
      <c r="G618" s="5">
        <v>38.977588204951147</v>
      </c>
      <c r="H618" s="6" t="s">
        <v>2090</v>
      </c>
    </row>
    <row r="619" spans="1:8">
      <c r="A619" s="1">
        <v>627</v>
      </c>
      <c r="B619" s="2" t="s">
        <v>2093</v>
      </c>
      <c r="C619" s="3">
        <v>38859</v>
      </c>
      <c r="D619" s="4">
        <f>YEAR(Table1[[#This Row],[Date]])</f>
        <v>2006</v>
      </c>
      <c r="E619" s="2" t="s">
        <v>2085</v>
      </c>
      <c r="F619" s="4">
        <v>8</v>
      </c>
      <c r="G619" s="5">
        <v>21.533260342562944</v>
      </c>
      <c r="H619" s="6" t="s">
        <v>2082</v>
      </c>
    </row>
    <row r="620" spans="1:8">
      <c r="A620" s="1">
        <v>628</v>
      </c>
      <c r="B620" s="2" t="s">
        <v>2080</v>
      </c>
      <c r="C620" s="3">
        <v>38760</v>
      </c>
      <c r="D620" s="4">
        <f>YEAR(Table1[[#This Row],[Date]])</f>
        <v>2006</v>
      </c>
      <c r="E620" s="2" t="s">
        <v>2094</v>
      </c>
      <c r="F620" s="4">
        <v>22</v>
      </c>
      <c r="G620" s="5">
        <v>68.129641213452771</v>
      </c>
      <c r="H620" s="6" t="s">
        <v>2090</v>
      </c>
    </row>
    <row r="621" spans="1:8">
      <c r="A621" s="1">
        <v>629</v>
      </c>
      <c r="B621" s="2" t="s">
        <v>2095</v>
      </c>
      <c r="C621" s="3">
        <v>39024</v>
      </c>
      <c r="D621" s="4">
        <f>YEAR(Table1[[#This Row],[Date]])</f>
        <v>2006</v>
      </c>
      <c r="E621" s="2" t="s">
        <v>2097</v>
      </c>
      <c r="F621" s="4">
        <v>2</v>
      </c>
      <c r="G621" s="5">
        <v>3.8295287737581956</v>
      </c>
      <c r="H621" s="6" t="s">
        <v>2090</v>
      </c>
    </row>
    <row r="622" spans="1:8">
      <c r="A622" s="1">
        <v>630</v>
      </c>
      <c r="B622" s="2" t="s">
        <v>2084</v>
      </c>
      <c r="C622" s="3">
        <v>38727</v>
      </c>
      <c r="D622" s="4">
        <f>YEAR(Table1[[#This Row],[Date]])</f>
        <v>2006</v>
      </c>
      <c r="E622" s="2" t="s">
        <v>2085</v>
      </c>
      <c r="F622" s="4">
        <v>55</v>
      </c>
      <c r="G622" s="5">
        <v>166.77106419074752</v>
      </c>
      <c r="H622" s="6" t="s">
        <v>2082</v>
      </c>
    </row>
    <row r="623" spans="1:8">
      <c r="A623" s="1">
        <v>631</v>
      </c>
      <c r="B623" s="2" t="s">
        <v>2099</v>
      </c>
      <c r="C623" s="3">
        <v>38892</v>
      </c>
      <c r="D623" s="4">
        <f>YEAR(Table1[[#This Row],[Date]])</f>
        <v>2006</v>
      </c>
      <c r="E623" s="2" t="s">
        <v>2094</v>
      </c>
      <c r="F623" s="4">
        <v>40</v>
      </c>
      <c r="G623" s="5">
        <v>122.55166369572477</v>
      </c>
      <c r="H623" s="6" t="s">
        <v>2090</v>
      </c>
    </row>
    <row r="624" spans="1:8">
      <c r="A624" s="1">
        <v>632</v>
      </c>
      <c r="B624" s="2" t="s">
        <v>2080</v>
      </c>
      <c r="C624" s="3">
        <v>38529</v>
      </c>
      <c r="D624" s="4">
        <f>YEAR(Table1[[#This Row],[Date]])</f>
        <v>2005</v>
      </c>
      <c r="E624" s="2" t="s">
        <v>2085</v>
      </c>
      <c r="F624" s="4">
        <v>61</v>
      </c>
      <c r="G624" s="5">
        <v>183.9597681482735</v>
      </c>
      <c r="H624" s="6" t="s">
        <v>2086</v>
      </c>
    </row>
    <row r="625" spans="1:8">
      <c r="A625" s="1">
        <v>633</v>
      </c>
      <c r="B625" s="2" t="s">
        <v>2084</v>
      </c>
      <c r="C625" s="3">
        <v>38518</v>
      </c>
      <c r="D625" s="4">
        <f>YEAR(Table1[[#This Row],[Date]])</f>
        <v>2005</v>
      </c>
      <c r="E625" s="2" t="s">
        <v>2094</v>
      </c>
      <c r="F625" s="4">
        <v>40</v>
      </c>
      <c r="G625" s="5">
        <v>122.54107894599883</v>
      </c>
      <c r="H625" s="6" t="s">
        <v>2082</v>
      </c>
    </row>
    <row r="626" spans="1:8">
      <c r="A626" s="1">
        <v>634</v>
      </c>
      <c r="B626" s="2" t="s">
        <v>2099</v>
      </c>
      <c r="C626" s="3">
        <v>38969</v>
      </c>
      <c r="D626" s="4">
        <f>YEAR(Table1[[#This Row],[Date]])</f>
        <v>2006</v>
      </c>
      <c r="E626" s="2" t="s">
        <v>2094</v>
      </c>
      <c r="F626" s="4">
        <v>31</v>
      </c>
      <c r="G626" s="5">
        <v>94.683925421109407</v>
      </c>
      <c r="H626" s="6" t="s">
        <v>2086</v>
      </c>
    </row>
    <row r="627" spans="1:8">
      <c r="A627" s="1">
        <v>635</v>
      </c>
      <c r="B627" s="2" t="s">
        <v>2080</v>
      </c>
      <c r="C627" s="3">
        <v>38100</v>
      </c>
      <c r="D627" s="4">
        <f>YEAR(Table1[[#This Row],[Date]])</f>
        <v>2004</v>
      </c>
      <c r="E627" s="2" t="s">
        <v>2097</v>
      </c>
      <c r="F627" s="4">
        <v>6</v>
      </c>
      <c r="G627" s="5">
        <v>20.454607256507078</v>
      </c>
      <c r="H627" s="6" t="s">
        <v>2086</v>
      </c>
    </row>
    <row r="628" spans="1:8">
      <c r="A628" s="1">
        <v>636</v>
      </c>
      <c r="B628" s="2" t="s">
        <v>2084</v>
      </c>
      <c r="C628" s="3">
        <v>38650</v>
      </c>
      <c r="D628" s="4">
        <f>YEAR(Table1[[#This Row],[Date]])</f>
        <v>2005</v>
      </c>
      <c r="E628" s="2" t="s">
        <v>2085</v>
      </c>
      <c r="F628" s="4">
        <v>6</v>
      </c>
      <c r="G628" s="5">
        <v>16.100658619760122</v>
      </c>
      <c r="H628" s="6" t="s">
        <v>2082</v>
      </c>
    </row>
    <row r="629" spans="1:8">
      <c r="A629" s="1">
        <v>637</v>
      </c>
      <c r="B629" s="2" t="s">
        <v>2084</v>
      </c>
      <c r="C629" s="3">
        <v>38540</v>
      </c>
      <c r="D629" s="4">
        <f>YEAR(Table1[[#This Row],[Date]])</f>
        <v>2005</v>
      </c>
      <c r="E629" s="2" t="s">
        <v>2094</v>
      </c>
      <c r="F629" s="4">
        <v>14</v>
      </c>
      <c r="G629" s="5">
        <v>43.396216100245972</v>
      </c>
      <c r="H629" s="6" t="s">
        <v>2086</v>
      </c>
    </row>
    <row r="630" spans="1:8">
      <c r="A630" s="1">
        <v>638</v>
      </c>
      <c r="B630" s="2" t="s">
        <v>2084</v>
      </c>
      <c r="C630" s="3">
        <v>38199</v>
      </c>
      <c r="D630" s="4">
        <f>YEAR(Table1[[#This Row],[Date]])</f>
        <v>2004</v>
      </c>
      <c r="E630" s="2" t="s">
        <v>2097</v>
      </c>
      <c r="F630" s="4">
        <v>94</v>
      </c>
      <c r="G630" s="5">
        <v>283.87519041996188</v>
      </c>
      <c r="H630" s="6" t="s">
        <v>2096</v>
      </c>
    </row>
    <row r="631" spans="1:8">
      <c r="A631" s="1">
        <v>639</v>
      </c>
      <c r="B631" s="2" t="s">
        <v>2099</v>
      </c>
      <c r="C631" s="3">
        <v>38562</v>
      </c>
      <c r="D631" s="4">
        <f>YEAR(Table1[[#This Row],[Date]])</f>
        <v>2005</v>
      </c>
      <c r="E631" s="2" t="s">
        <v>2097</v>
      </c>
      <c r="F631" s="4">
        <v>70</v>
      </c>
      <c r="G631" s="5">
        <v>212.26863794218977</v>
      </c>
      <c r="H631" s="6" t="s">
        <v>2096</v>
      </c>
    </row>
    <row r="632" spans="1:8">
      <c r="A632" s="1">
        <v>640</v>
      </c>
      <c r="B632" s="2" t="s">
        <v>2098</v>
      </c>
      <c r="C632" s="3">
        <v>38298</v>
      </c>
      <c r="D632" s="4">
        <f>YEAR(Table1[[#This Row],[Date]])</f>
        <v>2004</v>
      </c>
      <c r="E632" s="2" t="s">
        <v>2081</v>
      </c>
      <c r="F632" s="4">
        <v>8</v>
      </c>
      <c r="G632" s="5">
        <v>21.44176526239897</v>
      </c>
      <c r="H632" s="6" t="s">
        <v>2082</v>
      </c>
    </row>
    <row r="633" spans="1:8">
      <c r="A633" s="1">
        <v>641</v>
      </c>
      <c r="B633" s="2" t="s">
        <v>2098</v>
      </c>
      <c r="C633" s="3">
        <v>39024</v>
      </c>
      <c r="D633" s="4">
        <f>YEAR(Table1[[#This Row],[Date]])</f>
        <v>2006</v>
      </c>
      <c r="E633" s="2" t="s">
        <v>2081</v>
      </c>
      <c r="F633" s="4">
        <v>8</v>
      </c>
      <c r="G633" s="5">
        <v>21.90881602461678</v>
      </c>
      <c r="H633" s="6" t="s">
        <v>2082</v>
      </c>
    </row>
    <row r="634" spans="1:8">
      <c r="A634" s="1">
        <v>642</v>
      </c>
      <c r="B634" s="2" t="s">
        <v>2087</v>
      </c>
      <c r="C634" s="3">
        <v>38716</v>
      </c>
      <c r="D634" s="4">
        <f>YEAR(Table1[[#This Row],[Date]])</f>
        <v>2005</v>
      </c>
      <c r="E634" s="2" t="s">
        <v>2097</v>
      </c>
      <c r="F634" s="4">
        <v>2</v>
      </c>
      <c r="G634" s="5">
        <v>7.6416014365752867</v>
      </c>
      <c r="H634" s="6" t="s">
        <v>2086</v>
      </c>
    </row>
    <row r="635" spans="1:8">
      <c r="A635" s="1">
        <v>643</v>
      </c>
      <c r="B635" s="2" t="s">
        <v>2084</v>
      </c>
      <c r="C635" s="3">
        <v>37990</v>
      </c>
      <c r="D635" s="4">
        <f>YEAR(Table1[[#This Row],[Date]])</f>
        <v>2004</v>
      </c>
      <c r="E635" s="2" t="s">
        <v>2088</v>
      </c>
      <c r="F635" s="4">
        <v>10</v>
      </c>
      <c r="G635" s="5">
        <v>31.842188072685396</v>
      </c>
      <c r="H635" s="6" t="s">
        <v>2082</v>
      </c>
    </row>
    <row r="636" spans="1:8">
      <c r="A636" s="1">
        <v>644</v>
      </c>
      <c r="B636" s="2" t="s">
        <v>2100</v>
      </c>
      <c r="C636" s="3">
        <v>38474</v>
      </c>
      <c r="D636" s="4">
        <f>YEAR(Table1[[#This Row],[Date]])</f>
        <v>2005</v>
      </c>
      <c r="E636" s="2" t="s">
        <v>2094</v>
      </c>
      <c r="F636" s="4">
        <v>51</v>
      </c>
      <c r="G636" s="5">
        <v>154.53175695635341</v>
      </c>
      <c r="H636" s="6" t="s">
        <v>2082</v>
      </c>
    </row>
    <row r="637" spans="1:8">
      <c r="A637" s="1">
        <v>645</v>
      </c>
      <c r="B637" s="2" t="s">
        <v>2100</v>
      </c>
      <c r="C637" s="3">
        <v>38078</v>
      </c>
      <c r="D637" s="4">
        <f>YEAR(Table1[[#This Row],[Date]])</f>
        <v>2004</v>
      </c>
      <c r="E637" s="2" t="s">
        <v>2094</v>
      </c>
      <c r="F637" s="4">
        <v>5</v>
      </c>
      <c r="G637" s="5">
        <v>16.85379509706091</v>
      </c>
      <c r="H637" s="6" t="s">
        <v>2082</v>
      </c>
    </row>
    <row r="638" spans="1:8">
      <c r="A638" s="1">
        <v>646</v>
      </c>
      <c r="B638" s="2" t="s">
        <v>2098</v>
      </c>
      <c r="C638" s="3">
        <v>38870</v>
      </c>
      <c r="D638" s="4">
        <f>YEAR(Table1[[#This Row],[Date]])</f>
        <v>2006</v>
      </c>
      <c r="E638" s="2" t="s">
        <v>2094</v>
      </c>
      <c r="F638" s="4">
        <v>39</v>
      </c>
      <c r="G638" s="5">
        <v>119.48835042374725</v>
      </c>
      <c r="H638" s="6" t="s">
        <v>2082</v>
      </c>
    </row>
    <row r="639" spans="1:8">
      <c r="A639" s="1">
        <v>647</v>
      </c>
      <c r="B639" s="2" t="s">
        <v>2087</v>
      </c>
      <c r="C639" s="3">
        <v>38067</v>
      </c>
      <c r="D639" s="4">
        <f>YEAR(Table1[[#This Row],[Date]])</f>
        <v>2004</v>
      </c>
      <c r="E639" s="2" t="s">
        <v>2094</v>
      </c>
      <c r="F639" s="4">
        <v>20</v>
      </c>
      <c r="G639" s="5">
        <v>61.926239627210521</v>
      </c>
      <c r="H639" s="6" t="s">
        <v>2090</v>
      </c>
    </row>
    <row r="640" spans="1:8">
      <c r="A640" s="1">
        <v>648</v>
      </c>
      <c r="B640" s="2" t="s">
        <v>2098</v>
      </c>
      <c r="C640" s="3">
        <v>38320</v>
      </c>
      <c r="D640" s="4">
        <f>YEAR(Table1[[#This Row],[Date]])</f>
        <v>2004</v>
      </c>
      <c r="E640" s="2" t="s">
        <v>2085</v>
      </c>
      <c r="F640" s="4">
        <v>29</v>
      </c>
      <c r="G640" s="5">
        <v>88.79031532479398</v>
      </c>
      <c r="H640" s="6" t="s">
        <v>2082</v>
      </c>
    </row>
    <row r="641" spans="1:8">
      <c r="A641" s="1">
        <v>649</v>
      </c>
      <c r="B641" s="2" t="s">
        <v>2091</v>
      </c>
      <c r="C641" s="3">
        <v>38749</v>
      </c>
      <c r="D641" s="4">
        <f>YEAR(Table1[[#This Row],[Date]])</f>
        <v>2006</v>
      </c>
      <c r="E641" s="2" t="s">
        <v>2085</v>
      </c>
      <c r="F641" s="4">
        <v>43</v>
      </c>
      <c r="G641" s="5">
        <v>130.59550390758056</v>
      </c>
      <c r="H641" s="6" t="s">
        <v>2086</v>
      </c>
    </row>
    <row r="642" spans="1:8">
      <c r="A642" s="1">
        <v>650</v>
      </c>
      <c r="B642" s="2" t="s">
        <v>2087</v>
      </c>
      <c r="C642" s="3">
        <v>38232</v>
      </c>
      <c r="D642" s="4">
        <f>YEAR(Table1[[#This Row],[Date]])</f>
        <v>2004</v>
      </c>
      <c r="E642" s="2" t="s">
        <v>2097</v>
      </c>
      <c r="F642" s="4">
        <v>40</v>
      </c>
      <c r="G642" s="5">
        <v>122.34177646477217</v>
      </c>
      <c r="H642" s="6" t="s">
        <v>2086</v>
      </c>
    </row>
    <row r="643" spans="1:8">
      <c r="A643" s="1">
        <v>651</v>
      </c>
      <c r="B643" s="2" t="s">
        <v>2098</v>
      </c>
      <c r="C643" s="3">
        <v>38760</v>
      </c>
      <c r="D643" s="4">
        <f>YEAR(Table1[[#This Row],[Date]])</f>
        <v>2006</v>
      </c>
      <c r="E643" s="2" t="s">
        <v>2085</v>
      </c>
      <c r="F643" s="4">
        <v>36</v>
      </c>
      <c r="G643" s="5">
        <v>109.40924257339921</v>
      </c>
      <c r="H643" s="6" t="s">
        <v>2082</v>
      </c>
    </row>
    <row r="644" spans="1:8">
      <c r="A644" s="1">
        <v>652</v>
      </c>
      <c r="B644" s="2" t="s">
        <v>2098</v>
      </c>
      <c r="C644" s="3">
        <v>38375</v>
      </c>
      <c r="D644" s="4">
        <f>YEAR(Table1[[#This Row],[Date]])</f>
        <v>2005</v>
      </c>
      <c r="E644" s="2" t="s">
        <v>2094</v>
      </c>
      <c r="F644" s="4">
        <v>88</v>
      </c>
      <c r="G644" s="5">
        <v>265.7031232579136</v>
      </c>
      <c r="H644" s="6" t="s">
        <v>2082</v>
      </c>
    </row>
    <row r="645" spans="1:8">
      <c r="A645" s="1">
        <v>653</v>
      </c>
      <c r="B645" s="2" t="s">
        <v>2080</v>
      </c>
      <c r="C645" s="3">
        <v>38386</v>
      </c>
      <c r="D645" s="4">
        <f>YEAR(Table1[[#This Row],[Date]])</f>
        <v>2005</v>
      </c>
      <c r="E645" s="2" t="s">
        <v>2097</v>
      </c>
      <c r="F645" s="4">
        <v>55</v>
      </c>
      <c r="G645" s="5">
        <v>166.43173248267502</v>
      </c>
      <c r="H645" s="6" t="s">
        <v>2082</v>
      </c>
    </row>
    <row r="646" spans="1:8">
      <c r="A646" s="1">
        <v>654</v>
      </c>
      <c r="B646" s="2" t="s">
        <v>2099</v>
      </c>
      <c r="C646" s="3">
        <v>38342</v>
      </c>
      <c r="D646" s="4">
        <f>YEAR(Table1[[#This Row],[Date]])</f>
        <v>2004</v>
      </c>
      <c r="E646" s="2" t="s">
        <v>2094</v>
      </c>
      <c r="F646" s="4">
        <v>65</v>
      </c>
      <c r="G646" s="5">
        <v>196.86478787466569</v>
      </c>
      <c r="H646" s="6" t="s">
        <v>2090</v>
      </c>
    </row>
    <row r="647" spans="1:8">
      <c r="A647" s="1">
        <v>655</v>
      </c>
      <c r="B647" s="2" t="s">
        <v>2099</v>
      </c>
      <c r="C647" s="3">
        <v>38540</v>
      </c>
      <c r="D647" s="4">
        <f>YEAR(Table1[[#This Row],[Date]])</f>
        <v>2005</v>
      </c>
      <c r="E647" s="2" t="s">
        <v>2081</v>
      </c>
      <c r="F647" s="4">
        <v>6</v>
      </c>
      <c r="G647" s="5">
        <v>19.488992935915519</v>
      </c>
      <c r="H647" s="6" t="s">
        <v>2090</v>
      </c>
    </row>
    <row r="648" spans="1:8">
      <c r="A648" s="1">
        <v>656</v>
      </c>
      <c r="B648" s="2" t="s">
        <v>2100</v>
      </c>
      <c r="C648" s="3">
        <v>38859</v>
      </c>
      <c r="D648" s="4">
        <f>YEAR(Table1[[#This Row],[Date]])</f>
        <v>2006</v>
      </c>
      <c r="E648" s="2" t="s">
        <v>2085</v>
      </c>
      <c r="F648" s="4">
        <v>1</v>
      </c>
      <c r="G648" s="5">
        <v>1.2299707953687746</v>
      </c>
      <c r="H648" s="6" t="s">
        <v>2086</v>
      </c>
    </row>
    <row r="649" spans="1:8">
      <c r="A649" s="1">
        <v>657</v>
      </c>
      <c r="B649" s="2" t="s">
        <v>2099</v>
      </c>
      <c r="C649" s="3">
        <v>38980</v>
      </c>
      <c r="D649" s="4">
        <f>YEAR(Table1[[#This Row],[Date]])</f>
        <v>2006</v>
      </c>
      <c r="E649" s="2" t="s">
        <v>2085</v>
      </c>
      <c r="F649" s="4">
        <v>32</v>
      </c>
      <c r="G649" s="5">
        <v>97.808768000127685</v>
      </c>
      <c r="H649" s="6" t="s">
        <v>2082</v>
      </c>
    </row>
    <row r="650" spans="1:8">
      <c r="A650" s="1">
        <v>658</v>
      </c>
      <c r="B650" s="2" t="s">
        <v>2084</v>
      </c>
      <c r="C650" s="3">
        <v>38738</v>
      </c>
      <c r="D650" s="4">
        <f>YEAR(Table1[[#This Row],[Date]])</f>
        <v>2006</v>
      </c>
      <c r="E650" s="2" t="s">
        <v>2097</v>
      </c>
      <c r="F650" s="4">
        <v>17</v>
      </c>
      <c r="G650" s="5">
        <v>53.061016492331653</v>
      </c>
      <c r="H650" s="6" t="s">
        <v>2082</v>
      </c>
    </row>
    <row r="651" spans="1:8">
      <c r="A651" s="1">
        <v>659</v>
      </c>
      <c r="B651" s="2" t="s">
        <v>2091</v>
      </c>
      <c r="C651" s="3">
        <v>38177</v>
      </c>
      <c r="D651" s="4">
        <f>YEAR(Table1[[#This Row],[Date]])</f>
        <v>2004</v>
      </c>
      <c r="E651" s="2" t="s">
        <v>2094</v>
      </c>
      <c r="F651" s="4">
        <v>25</v>
      </c>
      <c r="G651" s="5">
        <v>76.378602488098551</v>
      </c>
      <c r="H651" s="6" t="s">
        <v>2096</v>
      </c>
    </row>
    <row r="652" spans="1:8">
      <c r="A652" s="1">
        <v>660</v>
      </c>
      <c r="B652" s="2" t="s">
        <v>2091</v>
      </c>
      <c r="C652" s="3">
        <v>38441</v>
      </c>
      <c r="D652" s="4">
        <f>YEAR(Table1[[#This Row],[Date]])</f>
        <v>2005</v>
      </c>
      <c r="E652" s="2" t="s">
        <v>2094</v>
      </c>
      <c r="F652" s="4">
        <v>11</v>
      </c>
      <c r="G652" s="5">
        <v>35.7534803858521</v>
      </c>
      <c r="H652" s="6" t="s">
        <v>2096</v>
      </c>
    </row>
    <row r="653" spans="1:8">
      <c r="A653" s="1">
        <v>661</v>
      </c>
      <c r="B653" s="2" t="s">
        <v>2091</v>
      </c>
      <c r="C653" s="3">
        <v>38034</v>
      </c>
      <c r="D653" s="4">
        <f>YEAR(Table1[[#This Row],[Date]])</f>
        <v>2004</v>
      </c>
      <c r="E653" s="2" t="s">
        <v>2097</v>
      </c>
      <c r="F653" s="4">
        <v>51</v>
      </c>
      <c r="G653" s="5">
        <v>155.019536467064</v>
      </c>
      <c r="H653" s="6" t="s">
        <v>2082</v>
      </c>
    </row>
    <row r="654" spans="1:8">
      <c r="A654" s="1">
        <v>662</v>
      </c>
      <c r="B654" s="2" t="s">
        <v>2098</v>
      </c>
      <c r="C654" s="3">
        <v>39024</v>
      </c>
      <c r="D654" s="4">
        <f>YEAR(Table1[[#This Row],[Date]])</f>
        <v>2006</v>
      </c>
      <c r="E654" s="2" t="s">
        <v>2088</v>
      </c>
      <c r="F654" s="4">
        <v>25</v>
      </c>
      <c r="G654" s="5">
        <v>78.068436112651099</v>
      </c>
      <c r="H654" s="6" t="s">
        <v>2090</v>
      </c>
    </row>
    <row r="655" spans="1:8">
      <c r="A655" s="1">
        <v>663</v>
      </c>
      <c r="B655" s="2" t="s">
        <v>2084</v>
      </c>
      <c r="C655" s="3">
        <v>39035</v>
      </c>
      <c r="D655" s="4">
        <f>YEAR(Table1[[#This Row],[Date]])</f>
        <v>2006</v>
      </c>
      <c r="E655" s="2" t="s">
        <v>2094</v>
      </c>
      <c r="F655" s="4">
        <v>27</v>
      </c>
      <c r="G655" s="5">
        <v>82.450851057331235</v>
      </c>
      <c r="H655" s="6" t="s">
        <v>2096</v>
      </c>
    </row>
    <row r="656" spans="1:8">
      <c r="A656" s="1">
        <v>664</v>
      </c>
      <c r="B656" s="2" t="s">
        <v>2080</v>
      </c>
      <c r="C656" s="3">
        <v>38518</v>
      </c>
      <c r="D656" s="4">
        <f>YEAR(Table1[[#This Row],[Date]])</f>
        <v>2005</v>
      </c>
      <c r="E656" s="2" t="s">
        <v>2081</v>
      </c>
      <c r="F656" s="4">
        <v>38</v>
      </c>
      <c r="G656" s="5">
        <v>116.7885336432518</v>
      </c>
      <c r="H656" s="6" t="s">
        <v>2090</v>
      </c>
    </row>
    <row r="657" spans="1:8">
      <c r="A657" s="1">
        <v>665</v>
      </c>
      <c r="B657" s="2" t="s">
        <v>2095</v>
      </c>
      <c r="C657" s="3">
        <v>38980</v>
      </c>
      <c r="D657" s="4">
        <f>YEAR(Table1[[#This Row],[Date]])</f>
        <v>2006</v>
      </c>
      <c r="E657" s="2" t="s">
        <v>2085</v>
      </c>
      <c r="F657" s="4">
        <v>27</v>
      </c>
      <c r="G657" s="5">
        <v>82.569702610812897</v>
      </c>
      <c r="H657" s="6" t="s">
        <v>2086</v>
      </c>
    </row>
    <row r="658" spans="1:8">
      <c r="A658" s="1">
        <v>666</v>
      </c>
      <c r="B658" s="2" t="s">
        <v>2099</v>
      </c>
      <c r="C658" s="3">
        <v>38881</v>
      </c>
      <c r="D658" s="4">
        <f>YEAR(Table1[[#This Row],[Date]])</f>
        <v>2006</v>
      </c>
      <c r="E658" s="2" t="s">
        <v>2094</v>
      </c>
      <c r="F658" s="4">
        <v>59</v>
      </c>
      <c r="G658" s="5">
        <v>178.6321576680669</v>
      </c>
      <c r="H658" s="6" t="s">
        <v>2090</v>
      </c>
    </row>
    <row r="659" spans="1:8">
      <c r="A659" s="1">
        <v>667</v>
      </c>
      <c r="B659" s="2" t="s">
        <v>2100</v>
      </c>
      <c r="C659" s="3">
        <v>38760</v>
      </c>
      <c r="D659" s="4">
        <f>YEAR(Table1[[#This Row],[Date]])</f>
        <v>2006</v>
      </c>
      <c r="E659" s="2" t="s">
        <v>2085</v>
      </c>
      <c r="F659" s="4">
        <v>73</v>
      </c>
      <c r="G659" s="5">
        <v>220.44792756124494</v>
      </c>
      <c r="H659" s="6" t="s">
        <v>2090</v>
      </c>
    </row>
    <row r="660" spans="1:8">
      <c r="A660" s="1">
        <v>668</v>
      </c>
      <c r="B660" s="2" t="s">
        <v>2093</v>
      </c>
      <c r="C660" s="3">
        <v>38595</v>
      </c>
      <c r="D660" s="4">
        <f>YEAR(Table1[[#This Row],[Date]])</f>
        <v>2005</v>
      </c>
      <c r="E660" s="2" t="s">
        <v>2094</v>
      </c>
      <c r="F660" s="4">
        <v>43</v>
      </c>
      <c r="G660" s="5">
        <v>131.45497532370047</v>
      </c>
      <c r="H660" s="6" t="s">
        <v>2086</v>
      </c>
    </row>
    <row r="661" spans="1:8">
      <c r="A661" s="1">
        <v>669</v>
      </c>
      <c r="B661" s="2" t="s">
        <v>2095</v>
      </c>
      <c r="C661" s="3">
        <v>38903</v>
      </c>
      <c r="D661" s="4">
        <f>YEAR(Table1[[#This Row],[Date]])</f>
        <v>2006</v>
      </c>
      <c r="E661" s="2" t="s">
        <v>2097</v>
      </c>
      <c r="F661" s="4">
        <v>51</v>
      </c>
      <c r="G661" s="5">
        <v>154.77819453893821</v>
      </c>
      <c r="H661" s="6" t="s">
        <v>2090</v>
      </c>
    </row>
    <row r="662" spans="1:8">
      <c r="A662" s="1">
        <v>670</v>
      </c>
      <c r="B662" s="2" t="s">
        <v>2080</v>
      </c>
      <c r="C662" s="3">
        <v>38243</v>
      </c>
      <c r="D662" s="4">
        <f>YEAR(Table1[[#This Row],[Date]])</f>
        <v>2004</v>
      </c>
      <c r="E662" s="2" t="s">
        <v>2081</v>
      </c>
      <c r="F662" s="4">
        <v>32</v>
      </c>
      <c r="G662" s="5">
        <v>98.006987571648764</v>
      </c>
      <c r="H662" s="6" t="s">
        <v>2086</v>
      </c>
    </row>
    <row r="663" spans="1:8">
      <c r="A663" s="1">
        <v>671</v>
      </c>
      <c r="B663" s="2" t="s">
        <v>2091</v>
      </c>
      <c r="C663" s="3">
        <v>38815</v>
      </c>
      <c r="D663" s="4">
        <f>YEAR(Table1[[#This Row],[Date]])</f>
        <v>2006</v>
      </c>
      <c r="E663" s="2" t="s">
        <v>2081</v>
      </c>
      <c r="F663" s="4">
        <v>89</v>
      </c>
      <c r="G663" s="5">
        <v>268.58829363415754</v>
      </c>
      <c r="H663" s="6" t="s">
        <v>2086</v>
      </c>
    </row>
    <row r="664" spans="1:8">
      <c r="A664" s="1">
        <v>672</v>
      </c>
      <c r="B664" s="2" t="s">
        <v>2099</v>
      </c>
      <c r="C664" s="3">
        <v>38683</v>
      </c>
      <c r="D664" s="4">
        <f>YEAR(Table1[[#This Row],[Date]])</f>
        <v>2005</v>
      </c>
      <c r="E664" s="2" t="s">
        <v>2097</v>
      </c>
      <c r="F664" s="4">
        <v>1</v>
      </c>
      <c r="G664" s="5">
        <v>0.61047743439715862</v>
      </c>
      <c r="H664" s="6" t="s">
        <v>2096</v>
      </c>
    </row>
    <row r="665" spans="1:8">
      <c r="A665" s="1">
        <v>673</v>
      </c>
      <c r="B665" s="2" t="s">
        <v>2084</v>
      </c>
      <c r="C665" s="3">
        <v>38793</v>
      </c>
      <c r="D665" s="4">
        <f>YEAR(Table1[[#This Row],[Date]])</f>
        <v>2006</v>
      </c>
      <c r="E665" s="2" t="s">
        <v>2094</v>
      </c>
      <c r="F665" s="4">
        <v>26</v>
      </c>
      <c r="G665" s="5">
        <v>81.086402502793618</v>
      </c>
      <c r="H665" s="6" t="s">
        <v>2096</v>
      </c>
    </row>
    <row r="666" spans="1:8">
      <c r="A666" s="1">
        <v>674</v>
      </c>
      <c r="B666" s="2" t="s">
        <v>2099</v>
      </c>
      <c r="C666" s="3">
        <v>38408</v>
      </c>
      <c r="D666" s="4">
        <f>YEAR(Table1[[#This Row],[Date]])</f>
        <v>2005</v>
      </c>
      <c r="E666" s="2" t="s">
        <v>2085</v>
      </c>
      <c r="F666" s="4">
        <v>56</v>
      </c>
      <c r="G666" s="5">
        <v>170.28880484978066</v>
      </c>
      <c r="H666" s="6" t="s">
        <v>2086</v>
      </c>
    </row>
    <row r="667" spans="1:8">
      <c r="A667" s="1">
        <v>675</v>
      </c>
      <c r="B667" s="2" t="s">
        <v>2080</v>
      </c>
      <c r="C667" s="3">
        <v>38221</v>
      </c>
      <c r="D667" s="4">
        <f>YEAR(Table1[[#This Row],[Date]])</f>
        <v>2004</v>
      </c>
      <c r="E667" s="2" t="s">
        <v>2081</v>
      </c>
      <c r="F667" s="4">
        <v>10</v>
      </c>
      <c r="G667" s="5">
        <v>32.446099013561927</v>
      </c>
      <c r="H667" s="6" t="s">
        <v>2086</v>
      </c>
    </row>
    <row r="668" spans="1:8">
      <c r="A668" s="1">
        <v>676</v>
      </c>
      <c r="B668" s="2" t="s">
        <v>2084</v>
      </c>
      <c r="C668" s="3">
        <v>38023</v>
      </c>
      <c r="D668" s="4">
        <f>YEAR(Table1[[#This Row],[Date]])</f>
        <v>2004</v>
      </c>
      <c r="E668" s="2" t="s">
        <v>2088</v>
      </c>
      <c r="F668" s="4">
        <v>8</v>
      </c>
      <c r="G668" s="5">
        <v>25.639457060752605</v>
      </c>
      <c r="H668" s="6" t="s">
        <v>2096</v>
      </c>
    </row>
    <row r="669" spans="1:8">
      <c r="A669" s="1">
        <v>677</v>
      </c>
      <c r="B669" s="2" t="s">
        <v>2093</v>
      </c>
      <c r="C669" s="3">
        <v>38474</v>
      </c>
      <c r="D669" s="4">
        <f>YEAR(Table1[[#This Row],[Date]])</f>
        <v>2005</v>
      </c>
      <c r="E669" s="2" t="s">
        <v>2094</v>
      </c>
      <c r="F669" s="4">
        <v>75</v>
      </c>
      <c r="G669" s="5">
        <v>226.81359807971779</v>
      </c>
      <c r="H669" s="6" t="s">
        <v>2082</v>
      </c>
    </row>
    <row r="670" spans="1:8">
      <c r="A670" s="1">
        <v>678</v>
      </c>
      <c r="B670" s="2" t="s">
        <v>2099</v>
      </c>
      <c r="C670" s="3">
        <v>38386</v>
      </c>
      <c r="D670" s="4">
        <f>YEAR(Table1[[#This Row],[Date]])</f>
        <v>2005</v>
      </c>
      <c r="E670" s="2" t="s">
        <v>2085</v>
      </c>
      <c r="F670" s="4">
        <v>79</v>
      </c>
      <c r="G670" s="5">
        <v>239.4766385714239</v>
      </c>
      <c r="H670" s="6" t="s">
        <v>2096</v>
      </c>
    </row>
    <row r="671" spans="1:8">
      <c r="A671" s="1">
        <v>679</v>
      </c>
      <c r="B671" s="2" t="s">
        <v>2093</v>
      </c>
      <c r="C671" s="3">
        <v>38485</v>
      </c>
      <c r="D671" s="4">
        <f>YEAR(Table1[[#This Row],[Date]])</f>
        <v>2005</v>
      </c>
      <c r="E671" s="2" t="s">
        <v>2085</v>
      </c>
      <c r="F671" s="4">
        <v>25</v>
      </c>
      <c r="G671" s="5">
        <v>75.944187671627063</v>
      </c>
      <c r="H671" s="6" t="s">
        <v>2082</v>
      </c>
    </row>
    <row r="672" spans="1:8">
      <c r="A672" s="1">
        <v>680</v>
      </c>
      <c r="B672" s="2" t="s">
        <v>2095</v>
      </c>
      <c r="C672" s="3">
        <v>39002</v>
      </c>
      <c r="D672" s="4">
        <f>YEAR(Table1[[#This Row],[Date]])</f>
        <v>2006</v>
      </c>
      <c r="E672" s="2" t="s">
        <v>2081</v>
      </c>
      <c r="F672" s="4">
        <v>22</v>
      </c>
      <c r="G672" s="5">
        <v>68.814390503031333</v>
      </c>
      <c r="H672" s="6" t="s">
        <v>2096</v>
      </c>
    </row>
    <row r="673" spans="1:8">
      <c r="A673" s="1">
        <v>681</v>
      </c>
      <c r="B673" s="2" t="s">
        <v>2080</v>
      </c>
      <c r="C673" s="3">
        <v>38243</v>
      </c>
      <c r="D673" s="4">
        <f>YEAR(Table1[[#This Row],[Date]])</f>
        <v>2004</v>
      </c>
      <c r="E673" s="2" t="s">
        <v>2088</v>
      </c>
      <c r="F673" s="4">
        <v>88</v>
      </c>
      <c r="G673" s="5">
        <v>265.64166976022739</v>
      </c>
      <c r="H673" s="6" t="s">
        <v>2090</v>
      </c>
    </row>
    <row r="674" spans="1:8">
      <c r="A674" s="1">
        <v>682</v>
      </c>
      <c r="B674" s="2" t="s">
        <v>2098</v>
      </c>
      <c r="C674" s="3">
        <v>38298</v>
      </c>
      <c r="D674" s="4">
        <f>YEAR(Table1[[#This Row],[Date]])</f>
        <v>2004</v>
      </c>
      <c r="E674" s="2" t="s">
        <v>2085</v>
      </c>
      <c r="F674" s="4">
        <v>94</v>
      </c>
      <c r="G674" s="5">
        <v>284.32899274536834</v>
      </c>
      <c r="H674" s="6" t="s">
        <v>2086</v>
      </c>
    </row>
    <row r="675" spans="1:8">
      <c r="A675" s="1">
        <v>683</v>
      </c>
      <c r="B675" s="2" t="s">
        <v>2099</v>
      </c>
      <c r="C675" s="3">
        <v>38628</v>
      </c>
      <c r="D675" s="4">
        <f>YEAR(Table1[[#This Row],[Date]])</f>
        <v>2005</v>
      </c>
      <c r="E675" s="2" t="s">
        <v>2097</v>
      </c>
      <c r="F675" s="4">
        <v>58</v>
      </c>
      <c r="G675" s="5">
        <v>176.72593852578336</v>
      </c>
      <c r="H675" s="6" t="s">
        <v>2082</v>
      </c>
    </row>
    <row r="676" spans="1:8">
      <c r="A676" s="1">
        <v>684</v>
      </c>
      <c r="B676" s="2" t="s">
        <v>2098</v>
      </c>
      <c r="C676" s="3">
        <v>38507</v>
      </c>
      <c r="D676" s="4">
        <f>YEAR(Table1[[#This Row],[Date]])</f>
        <v>2005</v>
      </c>
      <c r="E676" s="2" t="s">
        <v>2081</v>
      </c>
      <c r="F676" s="4">
        <v>66</v>
      </c>
      <c r="G676" s="5">
        <v>200.20830019781053</v>
      </c>
      <c r="H676" s="6" t="s">
        <v>2082</v>
      </c>
    </row>
    <row r="677" spans="1:8">
      <c r="A677" s="1">
        <v>685</v>
      </c>
      <c r="B677" s="2" t="s">
        <v>2099</v>
      </c>
      <c r="C677" s="3">
        <v>38936</v>
      </c>
      <c r="D677" s="4">
        <f>YEAR(Table1[[#This Row],[Date]])</f>
        <v>2006</v>
      </c>
      <c r="E677" s="2" t="s">
        <v>2094</v>
      </c>
      <c r="F677" s="4">
        <v>82</v>
      </c>
      <c r="G677" s="5">
        <v>247.93546068655294</v>
      </c>
      <c r="H677" s="6" t="s">
        <v>2090</v>
      </c>
    </row>
    <row r="678" spans="1:8">
      <c r="A678" s="1">
        <v>686</v>
      </c>
      <c r="B678" s="2" t="s">
        <v>2084</v>
      </c>
      <c r="C678" s="3">
        <v>38991</v>
      </c>
      <c r="D678" s="4">
        <f>YEAR(Table1[[#This Row],[Date]])</f>
        <v>2006</v>
      </c>
      <c r="E678" s="2" t="s">
        <v>2085</v>
      </c>
      <c r="F678" s="4">
        <v>94</v>
      </c>
      <c r="G678" s="5">
        <v>283.7655668516507</v>
      </c>
      <c r="H678" s="6" t="s">
        <v>2082</v>
      </c>
    </row>
    <row r="679" spans="1:8">
      <c r="A679" s="1">
        <v>687</v>
      </c>
      <c r="B679" s="2" t="s">
        <v>2087</v>
      </c>
      <c r="C679" s="3">
        <v>39079</v>
      </c>
      <c r="D679" s="4">
        <f>YEAR(Table1[[#This Row],[Date]])</f>
        <v>2006</v>
      </c>
      <c r="E679" s="2" t="s">
        <v>2081</v>
      </c>
      <c r="F679" s="4">
        <v>27</v>
      </c>
      <c r="G679" s="5">
        <v>82.883173616974645</v>
      </c>
      <c r="H679" s="6" t="s">
        <v>2090</v>
      </c>
    </row>
    <row r="680" spans="1:8">
      <c r="A680" s="1">
        <v>688</v>
      </c>
      <c r="B680" s="2" t="s">
        <v>2080</v>
      </c>
      <c r="C680" s="3">
        <v>38089</v>
      </c>
      <c r="D680" s="4">
        <f>YEAR(Table1[[#This Row],[Date]])</f>
        <v>2004</v>
      </c>
      <c r="E680" s="2" t="s">
        <v>2088</v>
      </c>
      <c r="F680" s="4">
        <v>56</v>
      </c>
      <c r="G680" s="5">
        <v>169.95658667826987</v>
      </c>
      <c r="H680" s="6" t="s">
        <v>2086</v>
      </c>
    </row>
    <row r="681" spans="1:8">
      <c r="A681" s="1">
        <v>689</v>
      </c>
      <c r="B681" s="2" t="s">
        <v>2098</v>
      </c>
      <c r="C681" s="3">
        <v>38826</v>
      </c>
      <c r="D681" s="4">
        <f>YEAR(Table1[[#This Row],[Date]])</f>
        <v>2006</v>
      </c>
      <c r="E681" s="2" t="s">
        <v>2097</v>
      </c>
      <c r="F681" s="4">
        <v>82</v>
      </c>
      <c r="G681" s="5">
        <v>247.80094907753815</v>
      </c>
      <c r="H681" s="6" t="s">
        <v>2082</v>
      </c>
    </row>
    <row r="682" spans="1:8">
      <c r="A682" s="1">
        <v>690</v>
      </c>
      <c r="B682" s="2" t="s">
        <v>2098</v>
      </c>
      <c r="C682" s="3">
        <v>38606</v>
      </c>
      <c r="D682" s="4">
        <f>YEAR(Table1[[#This Row],[Date]])</f>
        <v>2005</v>
      </c>
      <c r="E682" s="2" t="s">
        <v>2097</v>
      </c>
      <c r="F682" s="4">
        <v>7</v>
      </c>
      <c r="G682" s="5">
        <v>23.067714309015152</v>
      </c>
      <c r="H682" s="6" t="s">
        <v>2082</v>
      </c>
    </row>
    <row r="683" spans="1:8">
      <c r="A683" s="1">
        <v>691</v>
      </c>
      <c r="B683" s="2" t="s">
        <v>2080</v>
      </c>
      <c r="C683" s="3">
        <v>38727</v>
      </c>
      <c r="D683" s="4">
        <f>YEAR(Table1[[#This Row],[Date]])</f>
        <v>2006</v>
      </c>
      <c r="E683" s="2" t="s">
        <v>2081</v>
      </c>
      <c r="F683" s="4">
        <v>25</v>
      </c>
      <c r="G683" s="5">
        <v>77.367215999588439</v>
      </c>
      <c r="H683" s="6" t="s">
        <v>2090</v>
      </c>
    </row>
    <row r="684" spans="1:8">
      <c r="A684" s="1">
        <v>692</v>
      </c>
      <c r="B684" s="2" t="s">
        <v>2087</v>
      </c>
      <c r="C684" s="3">
        <v>39079</v>
      </c>
      <c r="D684" s="4">
        <f>YEAR(Table1[[#This Row],[Date]])</f>
        <v>2006</v>
      </c>
      <c r="E684" s="2" t="s">
        <v>2085</v>
      </c>
      <c r="F684" s="4">
        <v>15</v>
      </c>
      <c r="G684" s="5">
        <v>46.808970139122437</v>
      </c>
      <c r="H684" s="6" t="s">
        <v>2082</v>
      </c>
    </row>
    <row r="685" spans="1:8">
      <c r="A685" s="1">
        <v>693</v>
      </c>
      <c r="B685" s="2" t="s">
        <v>2099</v>
      </c>
      <c r="C685" s="3">
        <v>38265</v>
      </c>
      <c r="D685" s="4">
        <f>YEAR(Table1[[#This Row],[Date]])</f>
        <v>2004</v>
      </c>
      <c r="E685" s="2" t="s">
        <v>2085</v>
      </c>
      <c r="F685" s="4">
        <v>39</v>
      </c>
      <c r="G685" s="5">
        <v>118.82068608795676</v>
      </c>
      <c r="H685" s="6" t="s">
        <v>2082</v>
      </c>
    </row>
    <row r="686" spans="1:8">
      <c r="A686" s="1">
        <v>694</v>
      </c>
      <c r="B686" s="2" t="s">
        <v>2080</v>
      </c>
      <c r="C686" s="3">
        <v>38628</v>
      </c>
      <c r="D686" s="4">
        <f>YEAR(Table1[[#This Row],[Date]])</f>
        <v>2005</v>
      </c>
      <c r="E686" s="2" t="s">
        <v>2081</v>
      </c>
      <c r="F686" s="4">
        <v>22</v>
      </c>
      <c r="G686" s="5">
        <v>67.920921050637091</v>
      </c>
      <c r="H686" s="6" t="s">
        <v>2086</v>
      </c>
    </row>
    <row r="687" spans="1:8">
      <c r="A687" s="1">
        <v>695</v>
      </c>
      <c r="B687" s="2" t="s">
        <v>2091</v>
      </c>
      <c r="C687" s="3">
        <v>38430</v>
      </c>
      <c r="D687" s="4">
        <f>YEAR(Table1[[#This Row],[Date]])</f>
        <v>2005</v>
      </c>
      <c r="E687" s="2" t="s">
        <v>2088</v>
      </c>
      <c r="F687" s="4">
        <v>0</v>
      </c>
      <c r="G687" s="5">
        <v>1.5802940518086344</v>
      </c>
      <c r="H687" s="6" t="s">
        <v>2090</v>
      </c>
    </row>
    <row r="688" spans="1:8">
      <c r="A688" s="1">
        <v>696</v>
      </c>
      <c r="B688" s="2" t="s">
        <v>2080</v>
      </c>
      <c r="C688" s="3">
        <v>38188</v>
      </c>
      <c r="D688" s="4">
        <f>YEAR(Table1[[#This Row],[Date]])</f>
        <v>2004</v>
      </c>
      <c r="E688" s="2" t="s">
        <v>2097</v>
      </c>
      <c r="F688" s="4">
        <v>47</v>
      </c>
      <c r="G688" s="5">
        <v>142.62566704955398</v>
      </c>
      <c r="H688" s="6" t="s">
        <v>2082</v>
      </c>
    </row>
    <row r="689" spans="1:8">
      <c r="A689" s="1">
        <v>697</v>
      </c>
      <c r="B689" s="2" t="s">
        <v>2099</v>
      </c>
      <c r="C689" s="3">
        <v>38782</v>
      </c>
      <c r="D689" s="4">
        <f>YEAR(Table1[[#This Row],[Date]])</f>
        <v>2006</v>
      </c>
      <c r="E689" s="2" t="s">
        <v>2088</v>
      </c>
      <c r="F689" s="4">
        <v>36</v>
      </c>
      <c r="G689" s="5">
        <v>110.25851548113316</v>
      </c>
      <c r="H689" s="6" t="s">
        <v>2096</v>
      </c>
    </row>
    <row r="690" spans="1:8">
      <c r="A690" s="1">
        <v>698</v>
      </c>
      <c r="B690" s="2" t="s">
        <v>2099</v>
      </c>
      <c r="C690" s="3">
        <v>38243</v>
      </c>
      <c r="D690" s="4">
        <f>YEAR(Table1[[#This Row],[Date]])</f>
        <v>2004</v>
      </c>
      <c r="E690" s="2" t="s">
        <v>2094</v>
      </c>
      <c r="F690" s="4">
        <v>46</v>
      </c>
      <c r="G690" s="5">
        <v>139.52847109810006</v>
      </c>
      <c r="H690" s="6" t="s">
        <v>2090</v>
      </c>
    </row>
    <row r="691" spans="1:8">
      <c r="A691" s="1">
        <v>699</v>
      </c>
      <c r="B691" s="2" t="s">
        <v>2098</v>
      </c>
      <c r="C691" s="3">
        <v>38837</v>
      </c>
      <c r="D691" s="4">
        <f>YEAR(Table1[[#This Row],[Date]])</f>
        <v>2006</v>
      </c>
      <c r="E691" s="2" t="s">
        <v>2094</v>
      </c>
      <c r="F691" s="4">
        <v>84</v>
      </c>
      <c r="G691" s="5">
        <v>253.68258531303155</v>
      </c>
      <c r="H691" s="6" t="s">
        <v>2096</v>
      </c>
    </row>
    <row r="692" spans="1:8">
      <c r="A692" s="1">
        <v>700</v>
      </c>
      <c r="B692" s="2" t="s">
        <v>2095</v>
      </c>
      <c r="C692" s="3">
        <v>38067</v>
      </c>
      <c r="D692" s="4">
        <f>YEAR(Table1[[#This Row],[Date]])</f>
        <v>2004</v>
      </c>
      <c r="E692" s="2" t="s">
        <v>2081</v>
      </c>
      <c r="F692" s="4">
        <v>38</v>
      </c>
      <c r="G692" s="5">
        <v>115.76504648002317</v>
      </c>
      <c r="H692" s="6" t="s">
        <v>2096</v>
      </c>
    </row>
    <row r="693" spans="1:8">
      <c r="A693" s="1">
        <v>701</v>
      </c>
      <c r="B693" s="2" t="s">
        <v>2080</v>
      </c>
      <c r="C693" s="3">
        <v>38133</v>
      </c>
      <c r="D693" s="4">
        <f>YEAR(Table1[[#This Row],[Date]])</f>
        <v>2004</v>
      </c>
      <c r="E693" s="2" t="s">
        <v>2081</v>
      </c>
      <c r="F693" s="4">
        <v>13</v>
      </c>
      <c r="G693" s="5">
        <v>40.473506204312045</v>
      </c>
      <c r="H693" s="6" t="s">
        <v>2096</v>
      </c>
    </row>
    <row r="694" spans="1:8">
      <c r="A694" s="1">
        <v>702</v>
      </c>
      <c r="B694" s="2" t="s">
        <v>2098</v>
      </c>
      <c r="C694" s="3">
        <v>38826</v>
      </c>
      <c r="D694" s="4">
        <f>YEAR(Table1[[#This Row],[Date]])</f>
        <v>2006</v>
      </c>
      <c r="E694" s="2" t="s">
        <v>2085</v>
      </c>
      <c r="F694" s="4">
        <v>40</v>
      </c>
      <c r="G694" s="5">
        <v>122.42180451643387</v>
      </c>
      <c r="H694" s="6" t="s">
        <v>2086</v>
      </c>
    </row>
    <row r="695" spans="1:8">
      <c r="A695" s="1">
        <v>703</v>
      </c>
      <c r="B695" s="2" t="s">
        <v>2093</v>
      </c>
      <c r="C695" s="3">
        <v>38155</v>
      </c>
      <c r="D695" s="4">
        <f>YEAR(Table1[[#This Row],[Date]])</f>
        <v>2004</v>
      </c>
      <c r="E695" s="2" t="s">
        <v>2088</v>
      </c>
      <c r="F695" s="4">
        <v>46</v>
      </c>
      <c r="G695" s="5">
        <v>139.4072220659846</v>
      </c>
      <c r="H695" s="6" t="s">
        <v>2086</v>
      </c>
    </row>
    <row r="696" spans="1:8">
      <c r="A696" s="1">
        <v>704</v>
      </c>
      <c r="B696" s="2" t="s">
        <v>2100</v>
      </c>
      <c r="C696" s="3">
        <v>38199</v>
      </c>
      <c r="D696" s="4">
        <f>YEAR(Table1[[#This Row],[Date]])</f>
        <v>2004</v>
      </c>
      <c r="E696" s="2" t="s">
        <v>2094</v>
      </c>
      <c r="F696" s="4">
        <v>11</v>
      </c>
      <c r="G696" s="5">
        <v>35.105222117013575</v>
      </c>
      <c r="H696" s="6" t="s">
        <v>2096</v>
      </c>
    </row>
    <row r="697" spans="1:8">
      <c r="A697" s="1">
        <v>705</v>
      </c>
      <c r="B697" s="2" t="s">
        <v>2087</v>
      </c>
      <c r="C697" s="3">
        <v>38518</v>
      </c>
      <c r="D697" s="4">
        <f>YEAR(Table1[[#This Row],[Date]])</f>
        <v>2005</v>
      </c>
      <c r="E697" s="2" t="s">
        <v>2081</v>
      </c>
      <c r="F697" s="4">
        <v>1</v>
      </c>
      <c r="G697" s="5">
        <v>0.89822589573278755</v>
      </c>
      <c r="H697" s="6" t="s">
        <v>2090</v>
      </c>
    </row>
    <row r="698" spans="1:8">
      <c r="A698" s="1">
        <v>706</v>
      </c>
      <c r="B698" s="2" t="s">
        <v>2087</v>
      </c>
      <c r="C698" s="3">
        <v>38056</v>
      </c>
      <c r="D698" s="4">
        <f>YEAR(Table1[[#This Row],[Date]])</f>
        <v>2004</v>
      </c>
      <c r="E698" s="2" t="s">
        <v>2081</v>
      </c>
      <c r="F698" s="4">
        <v>32</v>
      </c>
      <c r="G698" s="5">
        <v>98.618549497009866</v>
      </c>
      <c r="H698" s="6" t="s">
        <v>2096</v>
      </c>
    </row>
    <row r="699" spans="1:8">
      <c r="A699" s="1">
        <v>707</v>
      </c>
      <c r="B699" s="2" t="s">
        <v>2100</v>
      </c>
      <c r="C699" s="3">
        <v>38001</v>
      </c>
      <c r="D699" s="4">
        <f>YEAR(Table1[[#This Row],[Date]])</f>
        <v>2004</v>
      </c>
      <c r="E699" s="2" t="s">
        <v>2085</v>
      </c>
      <c r="F699" s="4">
        <v>78</v>
      </c>
      <c r="G699" s="5">
        <v>235.37746360511863</v>
      </c>
      <c r="H699" s="6" t="s">
        <v>2086</v>
      </c>
    </row>
    <row r="700" spans="1:8">
      <c r="A700" s="1">
        <v>708</v>
      </c>
      <c r="B700" s="2" t="s">
        <v>2087</v>
      </c>
      <c r="C700" s="3">
        <v>38375</v>
      </c>
      <c r="D700" s="4">
        <f>YEAR(Table1[[#This Row],[Date]])</f>
        <v>2005</v>
      </c>
      <c r="E700" s="2" t="s">
        <v>2088</v>
      </c>
      <c r="F700" s="4">
        <v>71</v>
      </c>
      <c r="G700" s="5">
        <v>215.14334620644152</v>
      </c>
      <c r="H700" s="6" t="s">
        <v>2096</v>
      </c>
    </row>
    <row r="701" spans="1:8">
      <c r="A701" s="1">
        <v>709</v>
      </c>
      <c r="B701" s="2" t="s">
        <v>2093</v>
      </c>
      <c r="C701" s="3">
        <v>38100</v>
      </c>
      <c r="D701" s="4">
        <f>YEAR(Table1[[#This Row],[Date]])</f>
        <v>2004</v>
      </c>
      <c r="E701" s="2" t="s">
        <v>2081</v>
      </c>
      <c r="F701" s="4">
        <v>36</v>
      </c>
      <c r="G701" s="5">
        <v>109.79941093344995</v>
      </c>
      <c r="H701" s="6" t="s">
        <v>2086</v>
      </c>
    </row>
    <row r="702" spans="1:8">
      <c r="A702" s="1">
        <v>710</v>
      </c>
      <c r="B702" s="2" t="s">
        <v>2099</v>
      </c>
      <c r="C702" s="3">
        <v>38221</v>
      </c>
      <c r="D702" s="4">
        <f>YEAR(Table1[[#This Row],[Date]])</f>
        <v>2004</v>
      </c>
      <c r="E702" s="2" t="s">
        <v>2097</v>
      </c>
      <c r="F702" s="4">
        <v>79</v>
      </c>
      <c r="G702" s="5">
        <v>238.7528909715526</v>
      </c>
      <c r="H702" s="6" t="s">
        <v>2090</v>
      </c>
    </row>
    <row r="703" spans="1:8">
      <c r="A703" s="1">
        <v>711</v>
      </c>
      <c r="B703" s="2" t="s">
        <v>2087</v>
      </c>
      <c r="C703" s="3">
        <v>38573</v>
      </c>
      <c r="D703" s="4">
        <f>YEAR(Table1[[#This Row],[Date]])</f>
        <v>2005</v>
      </c>
      <c r="E703" s="2" t="s">
        <v>2088</v>
      </c>
      <c r="F703" s="4">
        <v>92</v>
      </c>
      <c r="G703" s="5">
        <v>278.33689319640729</v>
      </c>
      <c r="H703" s="6" t="s">
        <v>2090</v>
      </c>
    </row>
    <row r="704" spans="1:8">
      <c r="A704" s="1">
        <v>712</v>
      </c>
      <c r="B704" s="2" t="s">
        <v>2084</v>
      </c>
      <c r="C704" s="3">
        <v>38001</v>
      </c>
      <c r="D704" s="4">
        <f>YEAR(Table1[[#This Row],[Date]])</f>
        <v>2004</v>
      </c>
      <c r="E704" s="2" t="s">
        <v>2085</v>
      </c>
      <c r="F704" s="4">
        <v>38</v>
      </c>
      <c r="G704" s="5">
        <v>116.20226134841927</v>
      </c>
      <c r="H704" s="6" t="s">
        <v>2086</v>
      </c>
    </row>
    <row r="705" spans="1:8">
      <c r="A705" s="1">
        <v>713</v>
      </c>
      <c r="B705" s="2" t="s">
        <v>2080</v>
      </c>
      <c r="C705" s="3">
        <v>39057</v>
      </c>
      <c r="D705" s="4">
        <f>YEAR(Table1[[#This Row],[Date]])</f>
        <v>2006</v>
      </c>
      <c r="E705" s="2" t="s">
        <v>2097</v>
      </c>
      <c r="F705" s="4">
        <v>50</v>
      </c>
      <c r="G705" s="5">
        <v>152.08468006915191</v>
      </c>
      <c r="H705" s="6" t="s">
        <v>2096</v>
      </c>
    </row>
    <row r="706" spans="1:8">
      <c r="A706" s="1">
        <v>714</v>
      </c>
      <c r="B706" s="2" t="s">
        <v>2095</v>
      </c>
      <c r="C706" s="3">
        <v>38771</v>
      </c>
      <c r="D706" s="4">
        <f>YEAR(Table1[[#This Row],[Date]])</f>
        <v>2006</v>
      </c>
      <c r="E706" s="2" t="s">
        <v>2085</v>
      </c>
      <c r="F706" s="4">
        <v>31</v>
      </c>
      <c r="G706" s="5">
        <v>93.734083542235183</v>
      </c>
      <c r="H706" s="6" t="s">
        <v>2090</v>
      </c>
    </row>
    <row r="707" spans="1:8">
      <c r="A707" s="1">
        <v>715</v>
      </c>
      <c r="B707" s="2" t="s">
        <v>2099</v>
      </c>
      <c r="C707" s="3">
        <v>38881</v>
      </c>
      <c r="D707" s="4">
        <f>YEAR(Table1[[#This Row],[Date]])</f>
        <v>2006</v>
      </c>
      <c r="E707" s="2" t="s">
        <v>2081</v>
      </c>
      <c r="F707" s="4">
        <v>9</v>
      </c>
      <c r="G707" s="5">
        <v>29.386098665239906</v>
      </c>
      <c r="H707" s="6" t="s">
        <v>2096</v>
      </c>
    </row>
    <row r="708" spans="1:8">
      <c r="A708" s="1">
        <v>716</v>
      </c>
      <c r="B708" s="2" t="s">
        <v>2084</v>
      </c>
      <c r="C708" s="3">
        <v>38408</v>
      </c>
      <c r="D708" s="4">
        <f>YEAR(Table1[[#This Row],[Date]])</f>
        <v>2005</v>
      </c>
      <c r="E708" s="2" t="s">
        <v>2094</v>
      </c>
      <c r="F708" s="4">
        <v>24</v>
      </c>
      <c r="G708" s="5">
        <v>73.278886055388639</v>
      </c>
      <c r="H708" s="6" t="s">
        <v>2090</v>
      </c>
    </row>
    <row r="709" spans="1:8">
      <c r="A709" s="1">
        <v>717</v>
      </c>
      <c r="B709" s="2" t="s">
        <v>2087</v>
      </c>
      <c r="C709" s="3">
        <v>38364</v>
      </c>
      <c r="D709" s="4">
        <f>YEAR(Table1[[#This Row],[Date]])</f>
        <v>2005</v>
      </c>
      <c r="E709" s="2" t="s">
        <v>2081</v>
      </c>
      <c r="F709" s="4">
        <v>50</v>
      </c>
      <c r="G709" s="5">
        <v>152.58608557503928</v>
      </c>
      <c r="H709" s="6" t="s">
        <v>2090</v>
      </c>
    </row>
    <row r="710" spans="1:8">
      <c r="A710" s="1">
        <v>718</v>
      </c>
      <c r="B710" s="2" t="s">
        <v>2099</v>
      </c>
      <c r="C710" s="3">
        <v>38760</v>
      </c>
      <c r="D710" s="4">
        <f>YEAR(Table1[[#This Row],[Date]])</f>
        <v>2006</v>
      </c>
      <c r="E710" s="2" t="s">
        <v>2088</v>
      </c>
      <c r="F710" s="4">
        <v>32</v>
      </c>
      <c r="G710" s="5">
        <v>98.191983875169328</v>
      </c>
      <c r="H710" s="6" t="s">
        <v>2090</v>
      </c>
    </row>
    <row r="711" spans="1:8">
      <c r="A711" s="1">
        <v>719</v>
      </c>
      <c r="B711" s="2" t="s">
        <v>2100</v>
      </c>
      <c r="C711" s="3">
        <v>38243</v>
      </c>
      <c r="D711" s="4">
        <f>YEAR(Table1[[#This Row],[Date]])</f>
        <v>2004</v>
      </c>
      <c r="E711" s="2" t="s">
        <v>2085</v>
      </c>
      <c r="F711" s="4">
        <v>71</v>
      </c>
      <c r="G711" s="5">
        <v>214.9278284338051</v>
      </c>
      <c r="H711" s="6" t="s">
        <v>2082</v>
      </c>
    </row>
    <row r="712" spans="1:8">
      <c r="A712" s="1">
        <v>720</v>
      </c>
      <c r="B712" s="2" t="s">
        <v>2095</v>
      </c>
      <c r="C712" s="3">
        <v>39024</v>
      </c>
      <c r="D712" s="4">
        <f>YEAR(Table1[[#This Row],[Date]])</f>
        <v>2006</v>
      </c>
      <c r="E712" s="2" t="s">
        <v>2097</v>
      </c>
      <c r="F712" s="4">
        <v>28</v>
      </c>
      <c r="G712" s="5">
        <v>86.107203598905883</v>
      </c>
      <c r="H712" s="6" t="s">
        <v>2082</v>
      </c>
    </row>
    <row r="713" spans="1:8">
      <c r="A713" s="1">
        <v>721</v>
      </c>
      <c r="B713" s="2" t="s">
        <v>2087</v>
      </c>
      <c r="C713" s="3">
        <v>39013</v>
      </c>
      <c r="D713" s="4">
        <f>YEAR(Table1[[#This Row],[Date]])</f>
        <v>2006</v>
      </c>
      <c r="E713" s="2" t="s">
        <v>2081</v>
      </c>
      <c r="F713" s="4">
        <v>40</v>
      </c>
      <c r="G713" s="5">
        <v>121.83146625489913</v>
      </c>
      <c r="H713" s="6" t="s">
        <v>2096</v>
      </c>
    </row>
    <row r="714" spans="1:8">
      <c r="A714" s="1">
        <v>722</v>
      </c>
      <c r="B714" s="2" t="s">
        <v>2095</v>
      </c>
      <c r="C714" s="3">
        <v>38001</v>
      </c>
      <c r="D714" s="4">
        <f>YEAR(Table1[[#This Row],[Date]])</f>
        <v>2004</v>
      </c>
      <c r="E714" s="2" t="s">
        <v>2094</v>
      </c>
      <c r="F714" s="4">
        <v>75</v>
      </c>
      <c r="G714" s="5">
        <v>226.98711570221042</v>
      </c>
      <c r="H714" s="6" t="s">
        <v>2096</v>
      </c>
    </row>
    <row r="715" spans="1:8">
      <c r="A715" s="1">
        <v>723</v>
      </c>
      <c r="B715" s="2" t="s">
        <v>2091</v>
      </c>
      <c r="C715" s="3">
        <v>38221</v>
      </c>
      <c r="D715" s="4">
        <f>YEAR(Table1[[#This Row],[Date]])</f>
        <v>2004</v>
      </c>
      <c r="E715" s="2" t="s">
        <v>2081</v>
      </c>
      <c r="F715" s="4">
        <v>30</v>
      </c>
      <c r="G715" s="5">
        <v>92.030625673172352</v>
      </c>
      <c r="H715" s="6" t="s">
        <v>2086</v>
      </c>
    </row>
    <row r="716" spans="1:8">
      <c r="A716" s="1">
        <v>724</v>
      </c>
      <c r="B716" s="2" t="s">
        <v>2099</v>
      </c>
      <c r="C716" s="3">
        <v>38694</v>
      </c>
      <c r="D716" s="4">
        <f>YEAR(Table1[[#This Row],[Date]])</f>
        <v>2005</v>
      </c>
      <c r="E716" s="2" t="s">
        <v>2081</v>
      </c>
      <c r="F716" s="4">
        <v>78</v>
      </c>
      <c r="G716" s="5">
        <v>235.89718296494317</v>
      </c>
      <c r="H716" s="6" t="s">
        <v>2082</v>
      </c>
    </row>
    <row r="717" spans="1:8">
      <c r="A717" s="1">
        <v>725</v>
      </c>
      <c r="B717" s="2" t="s">
        <v>2093</v>
      </c>
      <c r="C717" s="3">
        <v>38573</v>
      </c>
      <c r="D717" s="4">
        <f>YEAR(Table1[[#This Row],[Date]])</f>
        <v>2005</v>
      </c>
      <c r="E717" s="2" t="s">
        <v>2097</v>
      </c>
      <c r="F717" s="4">
        <v>15</v>
      </c>
      <c r="G717" s="5">
        <v>47.09802134338382</v>
      </c>
      <c r="H717" s="6" t="s">
        <v>2082</v>
      </c>
    </row>
    <row r="718" spans="1:8">
      <c r="A718" s="1">
        <v>726</v>
      </c>
      <c r="B718" s="2" t="s">
        <v>2095</v>
      </c>
      <c r="C718" s="3">
        <v>38298</v>
      </c>
      <c r="D718" s="4">
        <f>YEAR(Table1[[#This Row],[Date]])</f>
        <v>2004</v>
      </c>
      <c r="E718" s="2" t="s">
        <v>2088</v>
      </c>
      <c r="F718" s="4">
        <v>30</v>
      </c>
      <c r="G718" s="5">
        <v>91.800989942743342</v>
      </c>
      <c r="H718" s="6" t="s">
        <v>2090</v>
      </c>
    </row>
    <row r="719" spans="1:8">
      <c r="A719" s="1">
        <v>727</v>
      </c>
      <c r="B719" s="2" t="s">
        <v>2091</v>
      </c>
      <c r="C719" s="3">
        <v>38628</v>
      </c>
      <c r="D719" s="4">
        <f>YEAR(Table1[[#This Row],[Date]])</f>
        <v>2005</v>
      </c>
      <c r="E719" s="2" t="s">
        <v>2085</v>
      </c>
      <c r="F719" s="4">
        <v>27</v>
      </c>
      <c r="G719" s="5">
        <v>83.564417753264919</v>
      </c>
      <c r="H719" s="6" t="s">
        <v>2090</v>
      </c>
    </row>
    <row r="720" spans="1:8">
      <c r="A720" s="1">
        <v>728</v>
      </c>
      <c r="B720" s="2" t="s">
        <v>2084</v>
      </c>
      <c r="C720" s="3">
        <v>38881</v>
      </c>
      <c r="D720" s="4">
        <f>YEAR(Table1[[#This Row],[Date]])</f>
        <v>2006</v>
      </c>
      <c r="E720" s="2" t="s">
        <v>2081</v>
      </c>
      <c r="F720" s="4">
        <v>95</v>
      </c>
      <c r="G720" s="5">
        <v>286.68421658470419</v>
      </c>
      <c r="H720" s="6" t="s">
        <v>2086</v>
      </c>
    </row>
    <row r="721" spans="1:8">
      <c r="A721" s="1">
        <v>729</v>
      </c>
      <c r="B721" s="2" t="s">
        <v>2099</v>
      </c>
      <c r="C721" s="3">
        <v>38034</v>
      </c>
      <c r="D721" s="4">
        <f>YEAR(Table1[[#This Row],[Date]])</f>
        <v>2004</v>
      </c>
      <c r="E721" s="2" t="s">
        <v>2085</v>
      </c>
      <c r="F721" s="4">
        <v>62</v>
      </c>
      <c r="G721" s="5">
        <v>188.69979320640692</v>
      </c>
      <c r="H721" s="6" t="s">
        <v>2082</v>
      </c>
    </row>
    <row r="722" spans="1:8">
      <c r="A722" s="1">
        <v>730</v>
      </c>
      <c r="B722" s="2" t="s">
        <v>2095</v>
      </c>
      <c r="C722" s="3">
        <v>38793</v>
      </c>
      <c r="D722" s="4">
        <f>YEAR(Table1[[#This Row],[Date]])</f>
        <v>2006</v>
      </c>
      <c r="E722" s="2" t="s">
        <v>2081</v>
      </c>
      <c r="F722" s="4">
        <v>4</v>
      </c>
      <c r="G722" s="5">
        <v>10.151413084603679</v>
      </c>
      <c r="H722" s="6" t="s">
        <v>2090</v>
      </c>
    </row>
    <row r="723" spans="1:8">
      <c r="A723" s="1">
        <v>731</v>
      </c>
      <c r="B723" s="2" t="s">
        <v>2080</v>
      </c>
      <c r="C723" s="3">
        <v>38188</v>
      </c>
      <c r="D723" s="4">
        <f>YEAR(Table1[[#This Row],[Date]])</f>
        <v>2004</v>
      </c>
      <c r="E723" s="2" t="s">
        <v>2097</v>
      </c>
      <c r="F723" s="4">
        <v>3</v>
      </c>
      <c r="G723" s="5">
        <v>7.2263762915654137</v>
      </c>
      <c r="H723" s="6" t="s">
        <v>2090</v>
      </c>
    </row>
    <row r="724" spans="1:8">
      <c r="A724" s="1">
        <v>732</v>
      </c>
      <c r="B724" s="2" t="s">
        <v>2084</v>
      </c>
      <c r="C724" s="3">
        <v>38540</v>
      </c>
      <c r="D724" s="4">
        <f>YEAR(Table1[[#This Row],[Date]])</f>
        <v>2005</v>
      </c>
      <c r="E724" s="2" t="s">
        <v>2097</v>
      </c>
      <c r="F724" s="4">
        <v>62</v>
      </c>
      <c r="G724" s="5">
        <v>187.71484715081846</v>
      </c>
      <c r="H724" s="6" t="s">
        <v>2086</v>
      </c>
    </row>
    <row r="725" spans="1:8">
      <c r="A725" s="1">
        <v>733</v>
      </c>
      <c r="B725" s="2" t="s">
        <v>2080</v>
      </c>
      <c r="C725" s="3">
        <v>38210</v>
      </c>
      <c r="D725" s="4">
        <f>YEAR(Table1[[#This Row],[Date]])</f>
        <v>2004</v>
      </c>
      <c r="E725" s="2" t="s">
        <v>2088</v>
      </c>
      <c r="F725" s="4">
        <v>92</v>
      </c>
      <c r="G725" s="5">
        <v>277.67657907264578</v>
      </c>
      <c r="H725" s="6" t="s">
        <v>2086</v>
      </c>
    </row>
    <row r="726" spans="1:8">
      <c r="A726" s="1">
        <v>734</v>
      </c>
      <c r="B726" s="2" t="s">
        <v>2091</v>
      </c>
      <c r="C726" s="3">
        <v>39068</v>
      </c>
      <c r="D726" s="4">
        <f>YEAR(Table1[[#This Row],[Date]])</f>
        <v>2006</v>
      </c>
      <c r="E726" s="2" t="s">
        <v>2085</v>
      </c>
      <c r="F726" s="4">
        <v>35</v>
      </c>
      <c r="G726" s="5">
        <v>107.09519938129719</v>
      </c>
      <c r="H726" s="6" t="s">
        <v>2082</v>
      </c>
    </row>
    <row r="727" spans="1:8">
      <c r="A727" s="1">
        <v>735</v>
      </c>
      <c r="B727" s="2" t="s">
        <v>2080</v>
      </c>
      <c r="C727" s="3">
        <v>38474</v>
      </c>
      <c r="D727" s="4">
        <f>YEAR(Table1[[#This Row],[Date]])</f>
        <v>2005</v>
      </c>
      <c r="E727" s="2" t="s">
        <v>2094</v>
      </c>
      <c r="F727" s="4">
        <v>91</v>
      </c>
      <c r="G727" s="5">
        <v>274.96271641831527</v>
      </c>
      <c r="H727" s="6" t="s">
        <v>2090</v>
      </c>
    </row>
    <row r="728" spans="1:8">
      <c r="A728" s="1">
        <v>736</v>
      </c>
      <c r="B728" s="2" t="s">
        <v>2095</v>
      </c>
      <c r="C728" s="3">
        <v>38177</v>
      </c>
      <c r="D728" s="4">
        <f>YEAR(Table1[[#This Row],[Date]])</f>
        <v>2004</v>
      </c>
      <c r="E728" s="2" t="s">
        <v>2097</v>
      </c>
      <c r="F728" s="4">
        <v>21</v>
      </c>
      <c r="G728" s="5">
        <v>64.321884288799509</v>
      </c>
      <c r="H728" s="6" t="s">
        <v>2082</v>
      </c>
    </row>
    <row r="729" spans="1:8">
      <c r="A729" s="1">
        <v>737</v>
      </c>
      <c r="B729" s="2" t="s">
        <v>2093</v>
      </c>
      <c r="C729" s="3">
        <v>38738</v>
      </c>
      <c r="D729" s="4">
        <f>YEAR(Table1[[#This Row],[Date]])</f>
        <v>2006</v>
      </c>
      <c r="E729" s="2" t="s">
        <v>2097</v>
      </c>
      <c r="F729" s="4">
        <v>49</v>
      </c>
      <c r="G729" s="5">
        <v>148.73893149445496</v>
      </c>
      <c r="H729" s="6" t="s">
        <v>2082</v>
      </c>
    </row>
    <row r="730" spans="1:8">
      <c r="A730" s="1">
        <v>738</v>
      </c>
      <c r="B730" s="2" t="s">
        <v>2091</v>
      </c>
      <c r="C730" s="3">
        <v>38430</v>
      </c>
      <c r="D730" s="4">
        <f>YEAR(Table1[[#This Row],[Date]])</f>
        <v>2005</v>
      </c>
      <c r="E730" s="2" t="s">
        <v>2085</v>
      </c>
      <c r="F730" s="4">
        <v>34</v>
      </c>
      <c r="G730" s="5">
        <v>103.34843435833068</v>
      </c>
      <c r="H730" s="6" t="s">
        <v>2086</v>
      </c>
    </row>
    <row r="731" spans="1:8">
      <c r="A731" s="1">
        <v>739</v>
      </c>
      <c r="B731" s="2" t="s">
        <v>2084</v>
      </c>
      <c r="C731" s="3">
        <v>38375</v>
      </c>
      <c r="D731" s="4">
        <f>YEAR(Table1[[#This Row],[Date]])</f>
        <v>2005</v>
      </c>
      <c r="E731" s="2" t="s">
        <v>2081</v>
      </c>
      <c r="F731" s="4">
        <v>56</v>
      </c>
      <c r="G731" s="5">
        <v>170.12124352907122</v>
      </c>
      <c r="H731" s="6" t="s">
        <v>2096</v>
      </c>
    </row>
    <row r="732" spans="1:8">
      <c r="A732" s="1">
        <v>740</v>
      </c>
      <c r="B732" s="2" t="s">
        <v>2095</v>
      </c>
      <c r="C732" s="3">
        <v>38133</v>
      </c>
      <c r="D732" s="4">
        <f>YEAR(Table1[[#This Row],[Date]])</f>
        <v>2004</v>
      </c>
      <c r="E732" s="2" t="s">
        <v>2094</v>
      </c>
      <c r="F732" s="4">
        <v>81</v>
      </c>
      <c r="G732" s="5">
        <v>244.85421438007515</v>
      </c>
      <c r="H732" s="6" t="s">
        <v>2090</v>
      </c>
    </row>
    <row r="733" spans="1:8">
      <c r="A733" s="1">
        <v>741</v>
      </c>
      <c r="B733" s="2" t="s">
        <v>2080</v>
      </c>
      <c r="C733" s="3">
        <v>38089</v>
      </c>
      <c r="D733" s="4">
        <f>YEAR(Table1[[#This Row],[Date]])</f>
        <v>2004</v>
      </c>
      <c r="E733" s="2" t="s">
        <v>2094</v>
      </c>
      <c r="F733" s="4">
        <v>63</v>
      </c>
      <c r="G733" s="5">
        <v>191.24656039127012</v>
      </c>
      <c r="H733" s="6" t="s">
        <v>2090</v>
      </c>
    </row>
    <row r="734" spans="1:8">
      <c r="A734" s="1">
        <v>742</v>
      </c>
      <c r="B734" s="2" t="s">
        <v>2095</v>
      </c>
      <c r="C734" s="3">
        <v>38474</v>
      </c>
      <c r="D734" s="4">
        <f>YEAR(Table1[[#This Row],[Date]])</f>
        <v>2005</v>
      </c>
      <c r="E734" s="2" t="s">
        <v>2085</v>
      </c>
      <c r="F734" s="4">
        <v>3</v>
      </c>
      <c r="G734" s="5">
        <v>7.3657850032017285</v>
      </c>
      <c r="H734" s="6" t="s">
        <v>2086</v>
      </c>
    </row>
    <row r="735" spans="1:8">
      <c r="A735" s="1">
        <v>743</v>
      </c>
      <c r="B735" s="2" t="s">
        <v>2093</v>
      </c>
      <c r="C735" s="3">
        <v>38540</v>
      </c>
      <c r="D735" s="4">
        <f>YEAR(Table1[[#This Row],[Date]])</f>
        <v>2005</v>
      </c>
      <c r="E735" s="2" t="s">
        <v>2085</v>
      </c>
      <c r="F735" s="4">
        <v>8</v>
      </c>
      <c r="G735" s="5">
        <v>25.810666689825588</v>
      </c>
      <c r="H735" s="6" t="s">
        <v>2096</v>
      </c>
    </row>
    <row r="736" spans="1:8">
      <c r="A736" s="1">
        <v>744</v>
      </c>
      <c r="B736" s="2" t="s">
        <v>2099</v>
      </c>
      <c r="C736" s="3">
        <v>38078</v>
      </c>
      <c r="D736" s="4">
        <f>YEAR(Table1[[#This Row],[Date]])</f>
        <v>2004</v>
      </c>
      <c r="E736" s="2" t="s">
        <v>2081</v>
      </c>
      <c r="F736" s="4">
        <v>46</v>
      </c>
      <c r="G736" s="5">
        <v>139.61633299698832</v>
      </c>
      <c r="H736" s="6" t="s">
        <v>2090</v>
      </c>
    </row>
    <row r="737" spans="1:8">
      <c r="A737" s="1">
        <v>745</v>
      </c>
      <c r="B737" s="2" t="s">
        <v>2093</v>
      </c>
      <c r="C737" s="3">
        <v>38397</v>
      </c>
      <c r="D737" s="4">
        <f>YEAR(Table1[[#This Row],[Date]])</f>
        <v>2005</v>
      </c>
      <c r="E737" s="2" t="s">
        <v>2081</v>
      </c>
      <c r="F737" s="4">
        <v>3</v>
      </c>
      <c r="G737" s="5">
        <v>10.87686297512148</v>
      </c>
      <c r="H737" s="6" t="s">
        <v>2082</v>
      </c>
    </row>
    <row r="738" spans="1:8">
      <c r="A738" s="1">
        <v>746</v>
      </c>
      <c r="B738" s="2" t="s">
        <v>2093</v>
      </c>
      <c r="C738" s="3">
        <v>38859</v>
      </c>
      <c r="D738" s="4">
        <f>YEAR(Table1[[#This Row],[Date]])</f>
        <v>2006</v>
      </c>
      <c r="E738" s="2" t="s">
        <v>2085</v>
      </c>
      <c r="F738" s="4">
        <v>68</v>
      </c>
      <c r="G738" s="5">
        <v>205.86039765882776</v>
      </c>
      <c r="H738" s="6" t="s">
        <v>2090</v>
      </c>
    </row>
    <row r="739" spans="1:8">
      <c r="A739" s="1">
        <v>747</v>
      </c>
      <c r="B739" s="2" t="s">
        <v>2080</v>
      </c>
      <c r="C739" s="3">
        <v>38826</v>
      </c>
      <c r="D739" s="4">
        <f>YEAR(Table1[[#This Row],[Date]])</f>
        <v>2006</v>
      </c>
      <c r="E739" s="2" t="s">
        <v>2085</v>
      </c>
      <c r="F739" s="4">
        <v>83</v>
      </c>
      <c r="G739" s="5">
        <v>251.06283096017734</v>
      </c>
      <c r="H739" s="6" t="s">
        <v>2096</v>
      </c>
    </row>
    <row r="740" spans="1:8">
      <c r="A740" s="1">
        <v>748</v>
      </c>
      <c r="B740" s="2" t="s">
        <v>2095</v>
      </c>
      <c r="C740" s="3">
        <v>38397</v>
      </c>
      <c r="D740" s="4">
        <f>YEAR(Table1[[#This Row],[Date]])</f>
        <v>2005</v>
      </c>
      <c r="E740" s="2" t="s">
        <v>2094</v>
      </c>
      <c r="F740" s="4">
        <v>51</v>
      </c>
      <c r="G740" s="5">
        <v>155.12341917228474</v>
      </c>
      <c r="H740" s="6" t="s">
        <v>2090</v>
      </c>
    </row>
    <row r="741" spans="1:8">
      <c r="A741" s="1">
        <v>749</v>
      </c>
      <c r="B741" s="2" t="s">
        <v>2100</v>
      </c>
      <c r="C741" s="3">
        <v>38826</v>
      </c>
      <c r="D741" s="4">
        <f>YEAR(Table1[[#This Row],[Date]])</f>
        <v>2006</v>
      </c>
      <c r="E741" s="2" t="s">
        <v>2085</v>
      </c>
      <c r="F741" s="4">
        <v>16</v>
      </c>
      <c r="G741" s="5">
        <v>50.203538747394113</v>
      </c>
      <c r="H741" s="6" t="s">
        <v>2090</v>
      </c>
    </row>
    <row r="742" spans="1:8">
      <c r="A742" s="1">
        <v>750</v>
      </c>
      <c r="B742" s="2" t="s">
        <v>2100</v>
      </c>
      <c r="C742" s="3">
        <v>38848</v>
      </c>
      <c r="D742" s="4">
        <f>YEAR(Table1[[#This Row],[Date]])</f>
        <v>2006</v>
      </c>
      <c r="E742" s="2" t="s">
        <v>2094</v>
      </c>
      <c r="F742" s="4">
        <v>2</v>
      </c>
      <c r="G742" s="5">
        <v>3.9135627833735267</v>
      </c>
      <c r="H742" s="6" t="s">
        <v>2082</v>
      </c>
    </row>
    <row r="743" spans="1:8">
      <c r="A743" s="1">
        <v>751</v>
      </c>
      <c r="B743" s="2" t="s">
        <v>2095</v>
      </c>
      <c r="C743" s="3">
        <v>38320</v>
      </c>
      <c r="D743" s="4">
        <f>YEAR(Table1[[#This Row],[Date]])</f>
        <v>2004</v>
      </c>
      <c r="E743" s="2" t="s">
        <v>2081</v>
      </c>
      <c r="F743" s="4">
        <v>6</v>
      </c>
      <c r="G743" s="5">
        <v>20.370424027363761</v>
      </c>
      <c r="H743" s="6" t="s">
        <v>2082</v>
      </c>
    </row>
    <row r="744" spans="1:8">
      <c r="A744" s="1">
        <v>752</v>
      </c>
      <c r="B744" s="2" t="s">
        <v>2093</v>
      </c>
      <c r="C744" s="3">
        <v>38650</v>
      </c>
      <c r="D744" s="4">
        <f>YEAR(Table1[[#This Row],[Date]])</f>
        <v>2005</v>
      </c>
      <c r="E744" s="2" t="s">
        <v>2081</v>
      </c>
      <c r="F744" s="4">
        <v>5</v>
      </c>
      <c r="G744" s="5">
        <v>12.571701775011148</v>
      </c>
      <c r="H744" s="6" t="s">
        <v>2096</v>
      </c>
    </row>
    <row r="745" spans="1:8">
      <c r="A745" s="1">
        <v>753</v>
      </c>
      <c r="B745" s="2" t="s">
        <v>2080</v>
      </c>
      <c r="C745" s="3">
        <v>38738</v>
      </c>
      <c r="D745" s="4">
        <f>YEAR(Table1[[#This Row],[Date]])</f>
        <v>2006</v>
      </c>
      <c r="E745" s="2" t="s">
        <v>2094</v>
      </c>
      <c r="F745" s="4">
        <v>42</v>
      </c>
      <c r="G745" s="5">
        <v>127.71123178411425</v>
      </c>
      <c r="H745" s="6" t="s">
        <v>2082</v>
      </c>
    </row>
    <row r="746" spans="1:8">
      <c r="A746" s="1">
        <v>754</v>
      </c>
      <c r="B746" s="2" t="s">
        <v>2095</v>
      </c>
      <c r="C746" s="3">
        <v>38364</v>
      </c>
      <c r="D746" s="4">
        <f>YEAR(Table1[[#This Row],[Date]])</f>
        <v>2005</v>
      </c>
      <c r="E746" s="2" t="s">
        <v>2094</v>
      </c>
      <c r="F746" s="4">
        <v>47</v>
      </c>
      <c r="G746" s="5">
        <v>143.38409457230034</v>
      </c>
      <c r="H746" s="6" t="s">
        <v>2086</v>
      </c>
    </row>
    <row r="747" spans="1:8">
      <c r="A747" s="1">
        <v>755</v>
      </c>
      <c r="B747" s="2" t="s">
        <v>2084</v>
      </c>
      <c r="C747" s="3">
        <v>38925</v>
      </c>
      <c r="D747" s="4">
        <f>YEAR(Table1[[#This Row],[Date]])</f>
        <v>2006</v>
      </c>
      <c r="E747" s="2" t="s">
        <v>2097</v>
      </c>
      <c r="F747" s="4">
        <v>16</v>
      </c>
      <c r="G747" s="5">
        <v>50.193862989445165</v>
      </c>
      <c r="H747" s="6" t="s">
        <v>2090</v>
      </c>
    </row>
    <row r="748" spans="1:8">
      <c r="A748" s="1">
        <v>756</v>
      </c>
      <c r="B748" s="2" t="s">
        <v>2100</v>
      </c>
      <c r="C748" s="3">
        <v>38122</v>
      </c>
      <c r="D748" s="4">
        <f>YEAR(Table1[[#This Row],[Date]])</f>
        <v>2004</v>
      </c>
      <c r="E748" s="2" t="s">
        <v>2081</v>
      </c>
      <c r="F748" s="4">
        <v>11</v>
      </c>
      <c r="G748" s="5">
        <v>35.356196404749518</v>
      </c>
      <c r="H748" s="6" t="s">
        <v>2090</v>
      </c>
    </row>
    <row r="749" spans="1:8">
      <c r="A749" s="1">
        <v>757</v>
      </c>
      <c r="B749" s="2" t="s">
        <v>2080</v>
      </c>
      <c r="C749" s="3">
        <v>38320</v>
      </c>
      <c r="D749" s="4">
        <f>YEAR(Table1[[#This Row],[Date]])</f>
        <v>2004</v>
      </c>
      <c r="E749" s="2" t="s">
        <v>2094</v>
      </c>
      <c r="F749" s="4">
        <v>10</v>
      </c>
      <c r="G749" s="5">
        <v>27.896760549483552</v>
      </c>
      <c r="H749" s="6" t="s">
        <v>2096</v>
      </c>
    </row>
    <row r="750" spans="1:8">
      <c r="A750" s="1">
        <v>758</v>
      </c>
      <c r="B750" s="2" t="s">
        <v>2087</v>
      </c>
      <c r="C750" s="3">
        <v>38056</v>
      </c>
      <c r="D750" s="4">
        <f>YEAR(Table1[[#This Row],[Date]])</f>
        <v>2004</v>
      </c>
      <c r="E750" s="2" t="s">
        <v>2094</v>
      </c>
      <c r="F750" s="4">
        <v>21</v>
      </c>
      <c r="G750" s="5">
        <v>65.379195576752196</v>
      </c>
      <c r="H750" s="6" t="s">
        <v>2082</v>
      </c>
    </row>
    <row r="751" spans="1:8">
      <c r="A751" s="1">
        <v>759</v>
      </c>
      <c r="B751" s="2" t="s">
        <v>2100</v>
      </c>
      <c r="C751" s="3">
        <v>38650</v>
      </c>
      <c r="D751" s="4">
        <f>YEAR(Table1[[#This Row],[Date]])</f>
        <v>2005</v>
      </c>
      <c r="E751" s="2" t="s">
        <v>2097</v>
      </c>
      <c r="F751" s="4">
        <v>52</v>
      </c>
      <c r="G751" s="5">
        <v>157.72596503790041</v>
      </c>
      <c r="H751" s="6" t="s">
        <v>2096</v>
      </c>
    </row>
    <row r="752" spans="1:8">
      <c r="A752" s="1">
        <v>760</v>
      </c>
      <c r="B752" s="2" t="s">
        <v>2095</v>
      </c>
      <c r="C752" s="3">
        <v>38089</v>
      </c>
      <c r="D752" s="4">
        <f>YEAR(Table1[[#This Row],[Date]])</f>
        <v>2004</v>
      </c>
      <c r="E752" s="2" t="s">
        <v>2088</v>
      </c>
      <c r="F752" s="4">
        <v>5</v>
      </c>
      <c r="G752" s="5">
        <v>17.005120052550815</v>
      </c>
      <c r="H752" s="6" t="s">
        <v>2082</v>
      </c>
    </row>
    <row r="753" spans="1:8">
      <c r="A753" s="1">
        <v>761</v>
      </c>
      <c r="B753" s="2" t="s">
        <v>2095</v>
      </c>
      <c r="C753" s="3">
        <v>38562</v>
      </c>
      <c r="D753" s="4">
        <f>YEAR(Table1[[#This Row],[Date]])</f>
        <v>2005</v>
      </c>
      <c r="E753" s="2" t="s">
        <v>2094</v>
      </c>
      <c r="F753" s="4">
        <v>52</v>
      </c>
      <c r="G753" s="5">
        <v>158.43447603180036</v>
      </c>
      <c r="H753" s="6" t="s">
        <v>2086</v>
      </c>
    </row>
    <row r="754" spans="1:8">
      <c r="A754" s="1">
        <v>762</v>
      </c>
      <c r="B754" s="2" t="s">
        <v>2093</v>
      </c>
      <c r="C754" s="3">
        <v>38441</v>
      </c>
      <c r="D754" s="4">
        <f>YEAR(Table1[[#This Row],[Date]])</f>
        <v>2005</v>
      </c>
      <c r="E754" s="2" t="s">
        <v>2097</v>
      </c>
      <c r="F754" s="4">
        <v>38</v>
      </c>
      <c r="G754" s="5">
        <v>115.38889596804569</v>
      </c>
      <c r="H754" s="6" t="s">
        <v>2082</v>
      </c>
    </row>
    <row r="755" spans="1:8">
      <c r="A755" s="1">
        <v>763</v>
      </c>
      <c r="B755" s="2" t="s">
        <v>2098</v>
      </c>
      <c r="C755" s="3">
        <v>38848</v>
      </c>
      <c r="D755" s="4">
        <f>YEAR(Table1[[#This Row],[Date]])</f>
        <v>2006</v>
      </c>
      <c r="E755" s="2" t="s">
        <v>2097</v>
      </c>
      <c r="F755" s="4">
        <v>84</v>
      </c>
      <c r="G755" s="5">
        <v>254.2621659223083</v>
      </c>
      <c r="H755" s="6" t="s">
        <v>2096</v>
      </c>
    </row>
    <row r="756" spans="1:8">
      <c r="A756" s="1">
        <v>764</v>
      </c>
      <c r="B756" s="2" t="s">
        <v>2100</v>
      </c>
      <c r="C756" s="3">
        <v>39057</v>
      </c>
      <c r="D756" s="4">
        <f>YEAR(Table1[[#This Row],[Date]])</f>
        <v>2006</v>
      </c>
      <c r="E756" s="2" t="s">
        <v>2088</v>
      </c>
      <c r="F756" s="4">
        <v>18</v>
      </c>
      <c r="G756" s="5">
        <v>55.343428443559006</v>
      </c>
      <c r="H756" s="6" t="s">
        <v>2082</v>
      </c>
    </row>
    <row r="757" spans="1:8">
      <c r="A757" s="1">
        <v>765</v>
      </c>
      <c r="B757" s="2" t="s">
        <v>2099</v>
      </c>
      <c r="C757" s="3">
        <v>38111</v>
      </c>
      <c r="D757" s="4">
        <f>YEAR(Table1[[#This Row],[Date]])</f>
        <v>2004</v>
      </c>
      <c r="E757" s="2" t="s">
        <v>2081</v>
      </c>
      <c r="F757" s="4">
        <v>6</v>
      </c>
      <c r="G757" s="5">
        <v>15.742829763147856</v>
      </c>
      <c r="H757" s="6" t="s">
        <v>2090</v>
      </c>
    </row>
    <row r="758" spans="1:8">
      <c r="A758" s="1">
        <v>766</v>
      </c>
      <c r="B758" s="2" t="s">
        <v>2100</v>
      </c>
      <c r="C758" s="3">
        <v>38078</v>
      </c>
      <c r="D758" s="4">
        <f>YEAR(Table1[[#This Row],[Date]])</f>
        <v>2004</v>
      </c>
      <c r="E758" s="2" t="s">
        <v>2081</v>
      </c>
      <c r="F758" s="4">
        <v>5</v>
      </c>
      <c r="G758" s="5">
        <v>16.913541625810112</v>
      </c>
      <c r="H758" s="6" t="s">
        <v>2090</v>
      </c>
    </row>
    <row r="759" spans="1:8">
      <c r="A759" s="1">
        <v>767</v>
      </c>
      <c r="B759" s="2" t="s">
        <v>2093</v>
      </c>
      <c r="C759" s="3">
        <v>39057</v>
      </c>
      <c r="D759" s="4">
        <f>YEAR(Table1[[#This Row],[Date]])</f>
        <v>2006</v>
      </c>
      <c r="E759" s="2" t="s">
        <v>2085</v>
      </c>
      <c r="F759" s="4">
        <v>59</v>
      </c>
      <c r="G759" s="5">
        <v>178.89597357687876</v>
      </c>
      <c r="H759" s="6" t="s">
        <v>2082</v>
      </c>
    </row>
    <row r="760" spans="1:8">
      <c r="A760" s="1">
        <v>768</v>
      </c>
      <c r="B760" s="2" t="s">
        <v>2093</v>
      </c>
      <c r="C760" s="3">
        <v>38529</v>
      </c>
      <c r="D760" s="4">
        <f>YEAR(Table1[[#This Row],[Date]])</f>
        <v>2005</v>
      </c>
      <c r="E760" s="2" t="s">
        <v>2097</v>
      </c>
      <c r="F760" s="4">
        <v>1</v>
      </c>
      <c r="G760" s="5">
        <v>1.4317242178607446</v>
      </c>
      <c r="H760" s="6" t="s">
        <v>2096</v>
      </c>
    </row>
    <row r="761" spans="1:8">
      <c r="A761" s="1">
        <v>769</v>
      </c>
      <c r="B761" s="2" t="s">
        <v>2099</v>
      </c>
      <c r="C761" s="3">
        <v>38375</v>
      </c>
      <c r="D761" s="4">
        <f>YEAR(Table1[[#This Row],[Date]])</f>
        <v>2005</v>
      </c>
      <c r="E761" s="2" t="s">
        <v>2088</v>
      </c>
      <c r="F761" s="4">
        <v>12</v>
      </c>
      <c r="G761" s="5">
        <v>37.854496358374917</v>
      </c>
      <c r="H761" s="6" t="s">
        <v>2096</v>
      </c>
    </row>
    <row r="762" spans="1:8">
      <c r="A762" s="1">
        <v>770</v>
      </c>
      <c r="B762" s="2" t="s">
        <v>2093</v>
      </c>
      <c r="C762" s="3">
        <v>38067</v>
      </c>
      <c r="D762" s="4">
        <f>YEAR(Table1[[#This Row],[Date]])</f>
        <v>2004</v>
      </c>
      <c r="E762" s="2" t="s">
        <v>2088</v>
      </c>
      <c r="F762" s="4">
        <v>25</v>
      </c>
      <c r="G762" s="5">
        <v>76.808458339015715</v>
      </c>
      <c r="H762" s="6" t="s">
        <v>2096</v>
      </c>
    </row>
    <row r="763" spans="1:8">
      <c r="A763" s="1">
        <v>771</v>
      </c>
      <c r="B763" s="2" t="s">
        <v>2095</v>
      </c>
      <c r="C763" s="3">
        <v>38529</v>
      </c>
      <c r="D763" s="4">
        <f>YEAR(Table1[[#This Row],[Date]])</f>
        <v>2005</v>
      </c>
      <c r="E763" s="2" t="s">
        <v>2097</v>
      </c>
      <c r="F763" s="4">
        <v>33</v>
      </c>
      <c r="G763" s="5">
        <v>101.42418309364238</v>
      </c>
      <c r="H763" s="6" t="s">
        <v>2096</v>
      </c>
    </row>
    <row r="764" spans="1:8">
      <c r="A764" s="1">
        <v>772</v>
      </c>
      <c r="B764" s="2" t="s">
        <v>2080</v>
      </c>
      <c r="C764" s="3">
        <v>38045</v>
      </c>
      <c r="D764" s="4">
        <f>YEAR(Table1[[#This Row],[Date]])</f>
        <v>2004</v>
      </c>
      <c r="E764" s="2" t="s">
        <v>2097</v>
      </c>
      <c r="F764" s="4">
        <v>12</v>
      </c>
      <c r="G764" s="5">
        <v>37.887038047747772</v>
      </c>
      <c r="H764" s="6" t="s">
        <v>2090</v>
      </c>
    </row>
    <row r="765" spans="1:8">
      <c r="A765" s="1">
        <v>773</v>
      </c>
      <c r="B765" s="2" t="s">
        <v>2098</v>
      </c>
      <c r="C765" s="3">
        <v>38573</v>
      </c>
      <c r="D765" s="4">
        <f>YEAR(Table1[[#This Row],[Date]])</f>
        <v>2005</v>
      </c>
      <c r="E765" s="2" t="s">
        <v>2094</v>
      </c>
      <c r="F765" s="4">
        <v>52</v>
      </c>
      <c r="G765" s="5">
        <v>158.30772051149228</v>
      </c>
      <c r="H765" s="6" t="s">
        <v>2096</v>
      </c>
    </row>
    <row r="766" spans="1:8">
      <c r="A766" s="1">
        <v>774</v>
      </c>
      <c r="B766" s="2" t="s">
        <v>2099</v>
      </c>
      <c r="C766" s="3">
        <v>38441</v>
      </c>
      <c r="D766" s="4">
        <f>YEAR(Table1[[#This Row],[Date]])</f>
        <v>2005</v>
      </c>
      <c r="E766" s="2" t="s">
        <v>2094</v>
      </c>
      <c r="F766" s="4">
        <v>34</v>
      </c>
      <c r="G766" s="5">
        <v>103.62316183025368</v>
      </c>
      <c r="H766" s="6" t="s">
        <v>2090</v>
      </c>
    </row>
    <row r="767" spans="1:8">
      <c r="A767" s="1">
        <v>775</v>
      </c>
      <c r="B767" s="2" t="s">
        <v>2095</v>
      </c>
      <c r="C767" s="3">
        <v>38562</v>
      </c>
      <c r="D767" s="4">
        <f>YEAR(Table1[[#This Row],[Date]])</f>
        <v>2005</v>
      </c>
      <c r="E767" s="2" t="s">
        <v>2085</v>
      </c>
      <c r="F767" s="4">
        <v>66</v>
      </c>
      <c r="G767" s="5">
        <v>200.65880996778469</v>
      </c>
      <c r="H767" s="6" t="s">
        <v>2082</v>
      </c>
    </row>
    <row r="768" spans="1:8">
      <c r="A768" s="1">
        <v>776</v>
      </c>
      <c r="B768" s="2" t="s">
        <v>2095</v>
      </c>
      <c r="C768" s="3">
        <v>38199</v>
      </c>
      <c r="D768" s="4">
        <f>YEAR(Table1[[#This Row],[Date]])</f>
        <v>2004</v>
      </c>
      <c r="E768" s="2" t="s">
        <v>2088</v>
      </c>
      <c r="F768" s="4">
        <v>10</v>
      </c>
      <c r="G768" s="5">
        <v>31.853247271934272</v>
      </c>
      <c r="H768" s="6" t="s">
        <v>2082</v>
      </c>
    </row>
    <row r="769" spans="1:8">
      <c r="A769" s="1">
        <v>777</v>
      </c>
      <c r="B769" s="2" t="s">
        <v>2100</v>
      </c>
      <c r="C769" s="3">
        <v>38045</v>
      </c>
      <c r="D769" s="4">
        <f>YEAR(Table1[[#This Row],[Date]])</f>
        <v>2004</v>
      </c>
      <c r="E769" s="2" t="s">
        <v>2085</v>
      </c>
      <c r="F769" s="4">
        <v>5</v>
      </c>
      <c r="G769" s="5">
        <v>12.547627479219663</v>
      </c>
      <c r="H769" s="6" t="s">
        <v>2086</v>
      </c>
    </row>
    <row r="770" spans="1:8">
      <c r="A770" s="1">
        <v>778</v>
      </c>
      <c r="B770" s="2" t="s">
        <v>2087</v>
      </c>
      <c r="C770" s="3">
        <v>38573</v>
      </c>
      <c r="D770" s="4">
        <f>YEAR(Table1[[#This Row],[Date]])</f>
        <v>2005</v>
      </c>
      <c r="E770" s="2" t="s">
        <v>2097</v>
      </c>
      <c r="F770" s="4">
        <v>89</v>
      </c>
      <c r="G770" s="5">
        <v>269.48918997457559</v>
      </c>
      <c r="H770" s="6" t="s">
        <v>2082</v>
      </c>
    </row>
    <row r="771" spans="1:8">
      <c r="A771" s="1">
        <v>779</v>
      </c>
      <c r="B771" s="2" t="s">
        <v>2100</v>
      </c>
      <c r="C771" s="3">
        <v>38452</v>
      </c>
      <c r="D771" s="4">
        <f>YEAR(Table1[[#This Row],[Date]])</f>
        <v>2005</v>
      </c>
      <c r="E771" s="2" t="s">
        <v>2085</v>
      </c>
      <c r="F771" s="4">
        <v>5</v>
      </c>
      <c r="G771" s="5">
        <v>16.818206363269947</v>
      </c>
      <c r="H771" s="6" t="s">
        <v>2082</v>
      </c>
    </row>
    <row r="772" spans="1:8">
      <c r="A772" s="1">
        <v>780</v>
      </c>
      <c r="B772" s="2" t="s">
        <v>2099</v>
      </c>
      <c r="C772" s="3">
        <v>39002</v>
      </c>
      <c r="D772" s="4">
        <f>YEAR(Table1[[#This Row],[Date]])</f>
        <v>2006</v>
      </c>
      <c r="E772" s="2" t="s">
        <v>2097</v>
      </c>
      <c r="F772" s="4">
        <v>48</v>
      </c>
      <c r="G772" s="5">
        <v>145.98516396408215</v>
      </c>
      <c r="H772" s="6" t="s">
        <v>2086</v>
      </c>
    </row>
    <row r="773" spans="1:8">
      <c r="A773" s="1">
        <v>781</v>
      </c>
      <c r="B773" s="2" t="s">
        <v>2080</v>
      </c>
      <c r="C773" s="3">
        <v>39057</v>
      </c>
      <c r="D773" s="4">
        <f>YEAR(Table1[[#This Row],[Date]])</f>
        <v>2006</v>
      </c>
      <c r="E773" s="2" t="s">
        <v>2097</v>
      </c>
      <c r="F773" s="4">
        <v>36</v>
      </c>
      <c r="G773" s="5">
        <v>109.92397437204225</v>
      </c>
      <c r="H773" s="6" t="s">
        <v>2086</v>
      </c>
    </row>
    <row r="774" spans="1:8">
      <c r="A774" s="1">
        <v>782</v>
      </c>
      <c r="B774" s="2" t="s">
        <v>2095</v>
      </c>
      <c r="C774" s="3">
        <v>39035</v>
      </c>
      <c r="D774" s="4">
        <f>YEAR(Table1[[#This Row],[Date]])</f>
        <v>2006</v>
      </c>
      <c r="E774" s="2" t="s">
        <v>2097</v>
      </c>
      <c r="F774" s="4">
        <v>80</v>
      </c>
      <c r="G774" s="5">
        <v>241.99741515278305</v>
      </c>
      <c r="H774" s="6" t="s">
        <v>2090</v>
      </c>
    </row>
    <row r="775" spans="1:8">
      <c r="A775" s="1">
        <v>783</v>
      </c>
      <c r="B775" s="2" t="s">
        <v>2080</v>
      </c>
      <c r="C775" s="3">
        <v>39046</v>
      </c>
      <c r="D775" s="4">
        <f>YEAR(Table1[[#This Row],[Date]])</f>
        <v>2006</v>
      </c>
      <c r="E775" s="2" t="s">
        <v>2081</v>
      </c>
      <c r="F775" s="4">
        <v>64</v>
      </c>
      <c r="G775" s="5">
        <v>193.891081917441</v>
      </c>
      <c r="H775" s="6" t="s">
        <v>2090</v>
      </c>
    </row>
    <row r="776" spans="1:8">
      <c r="A776" s="1">
        <v>784</v>
      </c>
      <c r="B776" s="2" t="s">
        <v>2080</v>
      </c>
      <c r="C776" s="3">
        <v>38639</v>
      </c>
      <c r="D776" s="4">
        <f>YEAR(Table1[[#This Row],[Date]])</f>
        <v>2005</v>
      </c>
      <c r="E776" s="2" t="s">
        <v>2085</v>
      </c>
      <c r="F776" s="4">
        <v>51</v>
      </c>
      <c r="G776" s="5">
        <v>155.49981680350626</v>
      </c>
      <c r="H776" s="6" t="s">
        <v>2096</v>
      </c>
    </row>
    <row r="777" spans="1:8">
      <c r="A777" s="1">
        <v>785</v>
      </c>
      <c r="B777" s="2" t="s">
        <v>2087</v>
      </c>
      <c r="C777" s="3">
        <v>38452</v>
      </c>
      <c r="D777" s="4">
        <f>YEAR(Table1[[#This Row],[Date]])</f>
        <v>2005</v>
      </c>
      <c r="E777" s="2" t="s">
        <v>2094</v>
      </c>
      <c r="F777" s="4">
        <v>92</v>
      </c>
      <c r="G777" s="5">
        <v>278.34020387718806</v>
      </c>
      <c r="H777" s="6" t="s">
        <v>2096</v>
      </c>
    </row>
    <row r="778" spans="1:8">
      <c r="A778" s="1">
        <v>786</v>
      </c>
      <c r="B778" s="2" t="s">
        <v>2100</v>
      </c>
      <c r="C778" s="3">
        <v>38463</v>
      </c>
      <c r="D778" s="4">
        <f>YEAR(Table1[[#This Row],[Date]])</f>
        <v>2005</v>
      </c>
      <c r="E778" s="2" t="s">
        <v>2094</v>
      </c>
      <c r="F778" s="4">
        <v>93</v>
      </c>
      <c r="G778" s="5">
        <v>280.85575758245068</v>
      </c>
      <c r="H778" s="6" t="s">
        <v>2086</v>
      </c>
    </row>
    <row r="779" spans="1:8">
      <c r="A779" s="1">
        <v>787</v>
      </c>
      <c r="B779" s="2" t="s">
        <v>2099</v>
      </c>
      <c r="C779" s="3">
        <v>38386</v>
      </c>
      <c r="D779" s="4">
        <f>YEAR(Table1[[#This Row],[Date]])</f>
        <v>2005</v>
      </c>
      <c r="E779" s="2" t="s">
        <v>2085</v>
      </c>
      <c r="F779" s="4">
        <v>36</v>
      </c>
      <c r="G779" s="5">
        <v>110.48116735303131</v>
      </c>
      <c r="H779" s="6" t="s">
        <v>2090</v>
      </c>
    </row>
    <row r="780" spans="1:8">
      <c r="A780" s="1">
        <v>788</v>
      </c>
      <c r="B780" s="2" t="s">
        <v>2087</v>
      </c>
      <c r="C780" s="3">
        <v>39002</v>
      </c>
      <c r="D780" s="4">
        <f>YEAR(Table1[[#This Row],[Date]])</f>
        <v>2006</v>
      </c>
      <c r="E780" s="2" t="s">
        <v>2081</v>
      </c>
      <c r="F780" s="4">
        <v>9</v>
      </c>
      <c r="G780" s="5">
        <v>24.826904970027119</v>
      </c>
      <c r="H780" s="6" t="s">
        <v>2086</v>
      </c>
    </row>
    <row r="781" spans="1:8">
      <c r="A781" s="1">
        <v>789</v>
      </c>
      <c r="B781" s="2" t="s">
        <v>2099</v>
      </c>
      <c r="C781" s="3">
        <v>38496</v>
      </c>
      <c r="D781" s="4">
        <f>YEAR(Table1[[#This Row],[Date]])</f>
        <v>2005</v>
      </c>
      <c r="E781" s="2" t="s">
        <v>2081</v>
      </c>
      <c r="F781" s="4">
        <v>48</v>
      </c>
      <c r="G781" s="5">
        <v>146.23287015814799</v>
      </c>
      <c r="H781" s="6" t="s">
        <v>2090</v>
      </c>
    </row>
    <row r="782" spans="1:8">
      <c r="A782" s="1">
        <v>790</v>
      </c>
      <c r="B782" s="2" t="s">
        <v>2100</v>
      </c>
      <c r="C782" s="3">
        <v>38672</v>
      </c>
      <c r="D782" s="4">
        <f>YEAR(Table1[[#This Row],[Date]])</f>
        <v>2005</v>
      </c>
      <c r="E782" s="2" t="s">
        <v>2094</v>
      </c>
      <c r="F782" s="4">
        <v>11</v>
      </c>
      <c r="G782" s="5">
        <v>34.54792782212121</v>
      </c>
      <c r="H782" s="6" t="s">
        <v>2096</v>
      </c>
    </row>
    <row r="783" spans="1:8">
      <c r="A783" s="1">
        <v>791</v>
      </c>
      <c r="B783" s="2" t="s">
        <v>2100</v>
      </c>
      <c r="C783" s="3">
        <v>38188</v>
      </c>
      <c r="D783" s="4">
        <f>YEAR(Table1[[#This Row],[Date]])</f>
        <v>2004</v>
      </c>
      <c r="E783" s="2" t="s">
        <v>2088</v>
      </c>
      <c r="F783" s="4">
        <v>8</v>
      </c>
      <c r="G783" s="5">
        <v>25.453618816298423</v>
      </c>
      <c r="H783" s="6" t="s">
        <v>2090</v>
      </c>
    </row>
    <row r="784" spans="1:8">
      <c r="A784" s="1">
        <v>792</v>
      </c>
      <c r="B784" s="2" t="s">
        <v>2093</v>
      </c>
      <c r="C784" s="3">
        <v>38089</v>
      </c>
      <c r="D784" s="4">
        <f>YEAR(Table1[[#This Row],[Date]])</f>
        <v>2004</v>
      </c>
      <c r="E784" s="2" t="s">
        <v>2085</v>
      </c>
      <c r="F784" s="4">
        <v>36</v>
      </c>
      <c r="G784" s="5">
        <v>110.09171904672033</v>
      </c>
      <c r="H784" s="6" t="s">
        <v>2096</v>
      </c>
    </row>
    <row r="785" spans="1:8">
      <c r="A785" s="1">
        <v>793</v>
      </c>
      <c r="B785" s="2" t="s">
        <v>2100</v>
      </c>
      <c r="C785" s="3">
        <v>38661</v>
      </c>
      <c r="D785" s="4">
        <f>YEAR(Table1[[#This Row],[Date]])</f>
        <v>2005</v>
      </c>
      <c r="E785" s="2" t="s">
        <v>2097</v>
      </c>
      <c r="F785" s="4">
        <v>93</v>
      </c>
      <c r="G785" s="5">
        <v>280.77976287020761</v>
      </c>
      <c r="H785" s="6" t="s">
        <v>2090</v>
      </c>
    </row>
    <row r="786" spans="1:8">
      <c r="A786" s="1">
        <v>794</v>
      </c>
      <c r="B786" s="2" t="s">
        <v>2084</v>
      </c>
      <c r="C786" s="3">
        <v>38089</v>
      </c>
      <c r="D786" s="4">
        <f>YEAR(Table1[[#This Row],[Date]])</f>
        <v>2004</v>
      </c>
      <c r="E786" s="2" t="s">
        <v>2081</v>
      </c>
      <c r="F786" s="4">
        <v>39</v>
      </c>
      <c r="G786" s="5">
        <v>119.20284079894812</v>
      </c>
      <c r="H786" s="6" t="s">
        <v>2096</v>
      </c>
    </row>
    <row r="787" spans="1:8">
      <c r="A787" s="1">
        <v>795</v>
      </c>
      <c r="B787" s="2" t="s">
        <v>2084</v>
      </c>
      <c r="C787" s="3">
        <v>38133</v>
      </c>
      <c r="D787" s="4">
        <f>YEAR(Table1[[#This Row],[Date]])</f>
        <v>2004</v>
      </c>
      <c r="E787" s="2" t="s">
        <v>2094</v>
      </c>
      <c r="F787" s="4">
        <v>72</v>
      </c>
      <c r="G787" s="5">
        <v>218.07728873022205</v>
      </c>
      <c r="H787" s="6" t="s">
        <v>2082</v>
      </c>
    </row>
    <row r="788" spans="1:8">
      <c r="A788" s="1">
        <v>796</v>
      </c>
      <c r="B788" s="2" t="s">
        <v>2098</v>
      </c>
      <c r="C788" s="3">
        <v>38782</v>
      </c>
      <c r="D788" s="4">
        <f>YEAR(Table1[[#This Row],[Date]])</f>
        <v>2006</v>
      </c>
      <c r="E788" s="2" t="s">
        <v>2081</v>
      </c>
      <c r="F788" s="4">
        <v>3</v>
      </c>
      <c r="G788" s="5">
        <v>10.416176420457935</v>
      </c>
      <c r="H788" s="6" t="s">
        <v>2086</v>
      </c>
    </row>
    <row r="789" spans="1:8">
      <c r="A789" s="1">
        <v>797</v>
      </c>
      <c r="B789" s="2" t="s">
        <v>2091</v>
      </c>
      <c r="C789" s="3">
        <v>38353</v>
      </c>
      <c r="D789" s="4">
        <f>YEAR(Table1[[#This Row],[Date]])</f>
        <v>2005</v>
      </c>
      <c r="E789" s="2" t="s">
        <v>2097</v>
      </c>
      <c r="F789" s="4">
        <v>47</v>
      </c>
      <c r="G789" s="5">
        <v>142.8388636236887</v>
      </c>
      <c r="H789" s="6" t="s">
        <v>2096</v>
      </c>
    </row>
    <row r="790" spans="1:8">
      <c r="A790" s="1">
        <v>798</v>
      </c>
      <c r="B790" s="2" t="s">
        <v>2095</v>
      </c>
      <c r="C790" s="3">
        <v>39079</v>
      </c>
      <c r="D790" s="4">
        <f>YEAR(Table1[[#This Row],[Date]])</f>
        <v>2006</v>
      </c>
      <c r="E790" s="2" t="s">
        <v>2097</v>
      </c>
      <c r="F790" s="4">
        <v>72</v>
      </c>
      <c r="G790" s="5">
        <v>217.32445132799407</v>
      </c>
      <c r="H790" s="6" t="s">
        <v>2090</v>
      </c>
    </row>
    <row r="791" spans="1:8">
      <c r="A791" s="1">
        <v>799</v>
      </c>
      <c r="B791" s="2" t="s">
        <v>2093</v>
      </c>
      <c r="C791" s="3">
        <v>39057</v>
      </c>
      <c r="D791" s="4">
        <f>YEAR(Table1[[#This Row],[Date]])</f>
        <v>2006</v>
      </c>
      <c r="E791" s="2" t="s">
        <v>2097</v>
      </c>
      <c r="F791" s="4">
        <v>26</v>
      </c>
      <c r="G791" s="5">
        <v>79.748589199087291</v>
      </c>
      <c r="H791" s="6" t="s">
        <v>2086</v>
      </c>
    </row>
    <row r="792" spans="1:8">
      <c r="A792" s="1">
        <v>800</v>
      </c>
      <c r="B792" s="2" t="s">
        <v>2091</v>
      </c>
      <c r="C792" s="3">
        <v>38265</v>
      </c>
      <c r="D792" s="4">
        <f>YEAR(Table1[[#This Row],[Date]])</f>
        <v>2004</v>
      </c>
      <c r="E792" s="2" t="s">
        <v>2094</v>
      </c>
      <c r="F792" s="4">
        <v>47</v>
      </c>
      <c r="G792" s="5">
        <v>142.48755479367787</v>
      </c>
      <c r="H792" s="6" t="s">
        <v>2082</v>
      </c>
    </row>
    <row r="793" spans="1:8">
      <c r="A793" s="1">
        <v>801</v>
      </c>
      <c r="B793" s="2" t="s">
        <v>2095</v>
      </c>
      <c r="C793" s="3">
        <v>38727</v>
      </c>
      <c r="D793" s="4">
        <f>YEAR(Table1[[#This Row],[Date]])</f>
        <v>2006</v>
      </c>
      <c r="E793" s="2" t="s">
        <v>2081</v>
      </c>
      <c r="F793" s="4">
        <v>14</v>
      </c>
      <c r="G793" s="5">
        <v>43.403824731122626</v>
      </c>
      <c r="H793" s="6" t="s">
        <v>2096</v>
      </c>
    </row>
    <row r="794" spans="1:8">
      <c r="A794" s="1">
        <v>802</v>
      </c>
      <c r="B794" s="2" t="s">
        <v>2091</v>
      </c>
      <c r="C794" s="3">
        <v>38529</v>
      </c>
      <c r="D794" s="4">
        <f>YEAR(Table1[[#This Row],[Date]])</f>
        <v>2005</v>
      </c>
      <c r="E794" s="2" t="s">
        <v>2097</v>
      </c>
      <c r="F794" s="4">
        <v>71</v>
      </c>
      <c r="G794" s="5">
        <v>215.07582310104507</v>
      </c>
      <c r="H794" s="6" t="s">
        <v>2082</v>
      </c>
    </row>
    <row r="795" spans="1:8">
      <c r="A795" s="1">
        <v>803</v>
      </c>
      <c r="B795" s="2" t="s">
        <v>2084</v>
      </c>
      <c r="C795" s="3">
        <v>38947</v>
      </c>
      <c r="D795" s="4">
        <f>YEAR(Table1[[#This Row],[Date]])</f>
        <v>2006</v>
      </c>
      <c r="E795" s="2" t="s">
        <v>2085</v>
      </c>
      <c r="F795" s="4">
        <v>95</v>
      </c>
      <c r="G795" s="5">
        <v>287.79738255613682</v>
      </c>
      <c r="H795" s="6" t="s">
        <v>2086</v>
      </c>
    </row>
    <row r="796" spans="1:8">
      <c r="A796" s="1">
        <v>804</v>
      </c>
      <c r="B796" s="2" t="s">
        <v>2100</v>
      </c>
      <c r="C796" s="3">
        <v>38782</v>
      </c>
      <c r="D796" s="4">
        <f>YEAR(Table1[[#This Row],[Date]])</f>
        <v>2006</v>
      </c>
      <c r="E796" s="2" t="s">
        <v>2097</v>
      </c>
      <c r="F796" s="4">
        <v>37</v>
      </c>
      <c r="G796" s="5">
        <v>112.77919739726129</v>
      </c>
      <c r="H796" s="6" t="s">
        <v>2082</v>
      </c>
    </row>
    <row r="797" spans="1:8">
      <c r="A797" s="1">
        <v>805</v>
      </c>
      <c r="B797" s="2" t="s">
        <v>2084</v>
      </c>
      <c r="C797" s="3">
        <v>38694</v>
      </c>
      <c r="D797" s="4">
        <f>YEAR(Table1[[#This Row],[Date]])</f>
        <v>2005</v>
      </c>
      <c r="E797" s="2" t="s">
        <v>2081</v>
      </c>
      <c r="F797" s="4">
        <v>1</v>
      </c>
      <c r="G797" s="5">
        <v>0.39117514400995779</v>
      </c>
      <c r="H797" s="6" t="s">
        <v>2096</v>
      </c>
    </row>
    <row r="798" spans="1:8">
      <c r="A798" s="1">
        <v>806</v>
      </c>
      <c r="B798" s="2" t="s">
        <v>2098</v>
      </c>
      <c r="C798" s="3">
        <v>38947</v>
      </c>
      <c r="D798" s="4">
        <f>YEAR(Table1[[#This Row],[Date]])</f>
        <v>2006</v>
      </c>
      <c r="E798" s="2" t="s">
        <v>2094</v>
      </c>
      <c r="F798" s="4">
        <v>26</v>
      </c>
      <c r="G798" s="5">
        <v>80.208589830999188</v>
      </c>
      <c r="H798" s="6" t="s">
        <v>2086</v>
      </c>
    </row>
    <row r="799" spans="1:8">
      <c r="A799" s="1">
        <v>807</v>
      </c>
      <c r="B799" s="2" t="s">
        <v>2091</v>
      </c>
      <c r="C799" s="3">
        <v>37990</v>
      </c>
      <c r="D799" s="4">
        <f>YEAR(Table1[[#This Row],[Date]])</f>
        <v>2004</v>
      </c>
      <c r="E799" s="2" t="s">
        <v>2094</v>
      </c>
      <c r="F799" s="4">
        <v>67</v>
      </c>
      <c r="G799" s="5">
        <v>203.54299038710067</v>
      </c>
      <c r="H799" s="6" t="s">
        <v>2096</v>
      </c>
    </row>
    <row r="800" spans="1:8">
      <c r="A800" s="1">
        <v>808</v>
      </c>
      <c r="B800" s="2" t="s">
        <v>2098</v>
      </c>
      <c r="C800" s="3">
        <v>38034</v>
      </c>
      <c r="D800" s="4">
        <f>YEAR(Table1[[#This Row],[Date]])</f>
        <v>2004</v>
      </c>
      <c r="E800" s="2" t="s">
        <v>2081</v>
      </c>
      <c r="F800" s="4">
        <v>15</v>
      </c>
      <c r="G800" s="5">
        <v>47.198351483731813</v>
      </c>
      <c r="H800" s="6" t="s">
        <v>2086</v>
      </c>
    </row>
    <row r="801" spans="1:8">
      <c r="A801" s="1">
        <v>809</v>
      </c>
      <c r="B801" s="2" t="s">
        <v>2099</v>
      </c>
      <c r="C801" s="3">
        <v>38771</v>
      </c>
      <c r="D801" s="4">
        <f>YEAR(Table1[[#This Row],[Date]])</f>
        <v>2006</v>
      </c>
      <c r="E801" s="2" t="s">
        <v>2081</v>
      </c>
      <c r="F801" s="4">
        <v>73</v>
      </c>
      <c r="G801" s="5">
        <v>221.33612349849449</v>
      </c>
      <c r="H801" s="6" t="s">
        <v>2082</v>
      </c>
    </row>
    <row r="802" spans="1:8">
      <c r="A802" s="1">
        <v>810</v>
      </c>
      <c r="B802" s="2" t="s">
        <v>2099</v>
      </c>
      <c r="C802" s="3">
        <v>38265</v>
      </c>
      <c r="D802" s="4">
        <f>YEAR(Table1[[#This Row],[Date]])</f>
        <v>2004</v>
      </c>
      <c r="E802" s="2" t="s">
        <v>2097</v>
      </c>
      <c r="F802" s="4">
        <v>13</v>
      </c>
      <c r="G802" s="5">
        <v>40.899875452377259</v>
      </c>
      <c r="H802" s="6" t="s">
        <v>2090</v>
      </c>
    </row>
    <row r="803" spans="1:8">
      <c r="A803" s="1">
        <v>811</v>
      </c>
      <c r="B803" s="2" t="s">
        <v>2098</v>
      </c>
      <c r="C803" s="3">
        <v>38067</v>
      </c>
      <c r="D803" s="4">
        <f>YEAR(Table1[[#This Row],[Date]])</f>
        <v>2004</v>
      </c>
      <c r="E803" s="2" t="s">
        <v>2085</v>
      </c>
      <c r="F803" s="4">
        <v>76</v>
      </c>
      <c r="G803" s="5">
        <v>229.55812152109252</v>
      </c>
      <c r="H803" s="6" t="s">
        <v>2096</v>
      </c>
    </row>
    <row r="804" spans="1:8">
      <c r="A804" s="1">
        <v>812</v>
      </c>
      <c r="B804" s="2" t="s">
        <v>2100</v>
      </c>
      <c r="C804" s="3">
        <v>38144</v>
      </c>
      <c r="D804" s="4">
        <f>YEAR(Table1[[#This Row],[Date]])</f>
        <v>2004</v>
      </c>
      <c r="E804" s="2" t="s">
        <v>2094</v>
      </c>
      <c r="F804" s="4">
        <v>9</v>
      </c>
      <c r="G804" s="5">
        <v>24.933082918901754</v>
      </c>
      <c r="H804" s="6" t="s">
        <v>2082</v>
      </c>
    </row>
    <row r="805" spans="1:8">
      <c r="A805" s="1">
        <v>813</v>
      </c>
      <c r="B805" s="2" t="s">
        <v>2093</v>
      </c>
      <c r="C805" s="3">
        <v>38507</v>
      </c>
      <c r="D805" s="4">
        <f>YEAR(Table1[[#This Row],[Date]])</f>
        <v>2005</v>
      </c>
      <c r="E805" s="2" t="s">
        <v>2088</v>
      </c>
      <c r="F805" s="4">
        <v>36</v>
      </c>
      <c r="G805" s="5">
        <v>109.53328220052806</v>
      </c>
      <c r="H805" s="6" t="s">
        <v>2090</v>
      </c>
    </row>
    <row r="806" spans="1:8">
      <c r="A806" s="1">
        <v>814</v>
      </c>
      <c r="B806" s="2" t="s">
        <v>2087</v>
      </c>
      <c r="C806" s="3">
        <v>38133</v>
      </c>
      <c r="D806" s="4">
        <f>YEAR(Table1[[#This Row],[Date]])</f>
        <v>2004</v>
      </c>
      <c r="E806" s="2" t="s">
        <v>2085</v>
      </c>
      <c r="F806" s="4">
        <v>11</v>
      </c>
      <c r="G806" s="5">
        <v>35.52180509936634</v>
      </c>
      <c r="H806" s="6" t="s">
        <v>2082</v>
      </c>
    </row>
    <row r="807" spans="1:8">
      <c r="A807" s="1">
        <v>815</v>
      </c>
      <c r="B807" s="2" t="s">
        <v>2093</v>
      </c>
      <c r="C807" s="3">
        <v>38738</v>
      </c>
      <c r="D807" s="4">
        <f>YEAR(Table1[[#This Row],[Date]])</f>
        <v>2006</v>
      </c>
      <c r="E807" s="2" t="s">
        <v>2081</v>
      </c>
      <c r="F807" s="4">
        <v>73</v>
      </c>
      <c r="G807" s="5">
        <v>220.50049794203733</v>
      </c>
      <c r="H807" s="6" t="s">
        <v>2096</v>
      </c>
    </row>
    <row r="808" spans="1:8">
      <c r="A808" s="1">
        <v>816</v>
      </c>
      <c r="B808" s="2" t="s">
        <v>2099</v>
      </c>
      <c r="C808" s="3">
        <v>38276</v>
      </c>
      <c r="D808" s="4">
        <f>YEAR(Table1[[#This Row],[Date]])</f>
        <v>2004</v>
      </c>
      <c r="E808" s="2" t="s">
        <v>2088</v>
      </c>
      <c r="F808" s="4">
        <v>93</v>
      </c>
      <c r="G808" s="5">
        <v>280.26544889145606</v>
      </c>
      <c r="H808" s="6" t="s">
        <v>2082</v>
      </c>
    </row>
    <row r="809" spans="1:8">
      <c r="A809" s="1">
        <v>817</v>
      </c>
      <c r="B809" s="2" t="s">
        <v>2080</v>
      </c>
      <c r="C809" s="3">
        <v>38815</v>
      </c>
      <c r="D809" s="4">
        <f>YEAR(Table1[[#This Row],[Date]])</f>
        <v>2006</v>
      </c>
      <c r="E809" s="2" t="s">
        <v>2085</v>
      </c>
      <c r="F809" s="4">
        <v>69</v>
      </c>
      <c r="G809" s="5">
        <v>209.31670948874884</v>
      </c>
      <c r="H809" s="6" t="s">
        <v>2096</v>
      </c>
    </row>
    <row r="810" spans="1:8">
      <c r="A810" s="1">
        <v>818</v>
      </c>
      <c r="B810" s="2" t="s">
        <v>2084</v>
      </c>
      <c r="C810" s="3">
        <v>38089</v>
      </c>
      <c r="D810" s="4">
        <f>YEAR(Table1[[#This Row],[Date]])</f>
        <v>2004</v>
      </c>
      <c r="E810" s="2" t="s">
        <v>2094</v>
      </c>
      <c r="F810" s="4">
        <v>86</v>
      </c>
      <c r="G810" s="5">
        <v>259.4849368720744</v>
      </c>
      <c r="H810" s="6" t="s">
        <v>2086</v>
      </c>
    </row>
    <row r="811" spans="1:8">
      <c r="A811" s="1">
        <v>819</v>
      </c>
      <c r="B811" s="2" t="s">
        <v>2080</v>
      </c>
      <c r="C811" s="3">
        <v>38870</v>
      </c>
      <c r="D811" s="4">
        <f>YEAR(Table1[[#This Row],[Date]])</f>
        <v>2006</v>
      </c>
      <c r="E811" s="2" t="s">
        <v>2097</v>
      </c>
      <c r="F811" s="4">
        <v>54</v>
      </c>
      <c r="G811" s="5">
        <v>164.37938973773885</v>
      </c>
      <c r="H811" s="6" t="s">
        <v>2082</v>
      </c>
    </row>
    <row r="812" spans="1:8">
      <c r="A812" s="1">
        <v>820</v>
      </c>
      <c r="B812" s="2" t="s">
        <v>2095</v>
      </c>
      <c r="C812" s="3">
        <v>38463</v>
      </c>
      <c r="D812" s="4">
        <f>YEAR(Table1[[#This Row],[Date]])</f>
        <v>2005</v>
      </c>
      <c r="E812" s="2" t="s">
        <v>2097</v>
      </c>
      <c r="F812" s="4">
        <v>2</v>
      </c>
      <c r="G812" s="5">
        <v>4.040363555098244</v>
      </c>
      <c r="H812" s="6" t="s">
        <v>2086</v>
      </c>
    </row>
    <row r="813" spans="1:8">
      <c r="A813" s="1">
        <v>821</v>
      </c>
      <c r="B813" s="2" t="s">
        <v>2091</v>
      </c>
      <c r="C813" s="3">
        <v>38980</v>
      </c>
      <c r="D813" s="4">
        <f>YEAR(Table1[[#This Row],[Date]])</f>
        <v>2006</v>
      </c>
      <c r="E813" s="2" t="s">
        <v>2085</v>
      </c>
      <c r="F813" s="4">
        <v>83</v>
      </c>
      <c r="G813" s="5">
        <v>250.16533632828239</v>
      </c>
      <c r="H813" s="6" t="s">
        <v>2090</v>
      </c>
    </row>
    <row r="814" spans="1:8">
      <c r="A814" s="1">
        <v>822</v>
      </c>
      <c r="B814" s="2" t="s">
        <v>2100</v>
      </c>
      <c r="C814" s="3">
        <v>38639</v>
      </c>
      <c r="D814" s="4">
        <f>YEAR(Table1[[#This Row],[Date]])</f>
        <v>2005</v>
      </c>
      <c r="E814" s="2" t="s">
        <v>2097</v>
      </c>
      <c r="F814" s="4">
        <v>2</v>
      </c>
      <c r="G814" s="5">
        <v>8.0012184182764319</v>
      </c>
      <c r="H814" s="6" t="s">
        <v>2090</v>
      </c>
    </row>
    <row r="815" spans="1:8">
      <c r="A815" s="1">
        <v>823</v>
      </c>
      <c r="B815" s="2" t="s">
        <v>2093</v>
      </c>
      <c r="C815" s="3">
        <v>38947</v>
      </c>
      <c r="D815" s="4">
        <f>YEAR(Table1[[#This Row],[Date]])</f>
        <v>2006</v>
      </c>
      <c r="E815" s="2" t="s">
        <v>2094</v>
      </c>
      <c r="F815" s="4">
        <v>54</v>
      </c>
      <c r="G815" s="5">
        <v>164.14962862314266</v>
      </c>
      <c r="H815" s="6" t="s">
        <v>2086</v>
      </c>
    </row>
    <row r="816" spans="1:8">
      <c r="A816" s="1">
        <v>824</v>
      </c>
      <c r="B816" s="2" t="s">
        <v>2084</v>
      </c>
      <c r="C816" s="3">
        <v>38078</v>
      </c>
      <c r="D816" s="4">
        <f>YEAR(Table1[[#This Row],[Date]])</f>
        <v>2004</v>
      </c>
      <c r="E816" s="2" t="s">
        <v>2085</v>
      </c>
      <c r="F816" s="4">
        <v>76</v>
      </c>
      <c r="G816" s="5">
        <v>230.41943809745561</v>
      </c>
      <c r="H816" s="6" t="s">
        <v>2096</v>
      </c>
    </row>
    <row r="817" spans="1:8">
      <c r="A817" s="1">
        <v>825</v>
      </c>
      <c r="B817" s="2" t="s">
        <v>2080</v>
      </c>
      <c r="C817" s="3">
        <v>38595</v>
      </c>
      <c r="D817" s="4">
        <f>YEAR(Table1[[#This Row],[Date]])</f>
        <v>2005</v>
      </c>
      <c r="E817" s="2" t="s">
        <v>2094</v>
      </c>
      <c r="F817" s="4">
        <v>10</v>
      </c>
      <c r="G817" s="5">
        <v>32.250567590543547</v>
      </c>
      <c r="H817" s="6" t="s">
        <v>2086</v>
      </c>
    </row>
    <row r="818" spans="1:8">
      <c r="A818" s="1">
        <v>826</v>
      </c>
      <c r="B818" s="2" t="s">
        <v>2099</v>
      </c>
      <c r="C818" s="3">
        <v>39002</v>
      </c>
      <c r="D818" s="4">
        <f>YEAR(Table1[[#This Row],[Date]])</f>
        <v>2006</v>
      </c>
      <c r="E818" s="2" t="s">
        <v>2085</v>
      </c>
      <c r="F818" s="4">
        <v>81</v>
      </c>
      <c r="G818" s="5">
        <v>245.03936147229382</v>
      </c>
      <c r="H818" s="6" t="s">
        <v>2090</v>
      </c>
    </row>
    <row r="819" spans="1:8">
      <c r="A819" s="1">
        <v>827</v>
      </c>
      <c r="B819" s="2" t="s">
        <v>2099</v>
      </c>
      <c r="C819" s="3">
        <v>38980</v>
      </c>
      <c r="D819" s="4">
        <f>YEAR(Table1[[#This Row],[Date]])</f>
        <v>2006</v>
      </c>
      <c r="E819" s="2" t="s">
        <v>2094</v>
      </c>
      <c r="F819" s="4">
        <v>83</v>
      </c>
      <c r="G819" s="5">
        <v>251.14060708825255</v>
      </c>
      <c r="H819" s="6" t="s">
        <v>2086</v>
      </c>
    </row>
    <row r="820" spans="1:8">
      <c r="A820" s="1">
        <v>828</v>
      </c>
      <c r="B820" s="2" t="s">
        <v>2091</v>
      </c>
      <c r="C820" s="3">
        <v>39024</v>
      </c>
      <c r="D820" s="4">
        <f>YEAR(Table1[[#This Row],[Date]])</f>
        <v>2006</v>
      </c>
      <c r="E820" s="2" t="s">
        <v>2085</v>
      </c>
      <c r="F820" s="4">
        <v>6</v>
      </c>
      <c r="G820" s="5">
        <v>19.522370228620925</v>
      </c>
      <c r="H820" s="6" t="s">
        <v>2082</v>
      </c>
    </row>
    <row r="821" spans="1:8">
      <c r="A821" s="1">
        <v>829</v>
      </c>
      <c r="B821" s="2" t="s">
        <v>2093</v>
      </c>
      <c r="C821" s="3">
        <v>39035</v>
      </c>
      <c r="D821" s="4">
        <f>YEAR(Table1[[#This Row],[Date]])</f>
        <v>2006</v>
      </c>
      <c r="E821" s="2" t="s">
        <v>2097</v>
      </c>
      <c r="F821" s="4">
        <v>77</v>
      </c>
      <c r="G821" s="5">
        <v>233.15631874033514</v>
      </c>
      <c r="H821" s="6" t="s">
        <v>2096</v>
      </c>
    </row>
    <row r="822" spans="1:8">
      <c r="A822" s="1">
        <v>830</v>
      </c>
      <c r="B822" s="2" t="s">
        <v>2099</v>
      </c>
      <c r="C822" s="3">
        <v>38804</v>
      </c>
      <c r="D822" s="4">
        <f>YEAR(Table1[[#This Row],[Date]])</f>
        <v>2006</v>
      </c>
      <c r="E822" s="2" t="s">
        <v>2097</v>
      </c>
      <c r="F822" s="4">
        <v>41</v>
      </c>
      <c r="G822" s="5">
        <v>125.28397193085664</v>
      </c>
      <c r="H822" s="6" t="s">
        <v>2090</v>
      </c>
    </row>
    <row r="823" spans="1:8">
      <c r="A823" s="1">
        <v>831</v>
      </c>
      <c r="B823" s="2" t="s">
        <v>2087</v>
      </c>
      <c r="C823" s="3">
        <v>39057</v>
      </c>
      <c r="D823" s="4">
        <f>YEAR(Table1[[#This Row],[Date]])</f>
        <v>2006</v>
      </c>
      <c r="E823" s="2" t="s">
        <v>2081</v>
      </c>
      <c r="F823" s="4">
        <v>80</v>
      </c>
      <c r="G823" s="5">
        <v>241.70735878482179</v>
      </c>
      <c r="H823" s="6" t="s">
        <v>2082</v>
      </c>
    </row>
    <row r="824" spans="1:8">
      <c r="A824" s="1">
        <v>832</v>
      </c>
      <c r="B824" s="2" t="s">
        <v>2091</v>
      </c>
      <c r="C824" s="3">
        <v>38859</v>
      </c>
      <c r="D824" s="4">
        <f>YEAR(Table1[[#This Row],[Date]])</f>
        <v>2006</v>
      </c>
      <c r="E824" s="2" t="s">
        <v>2094</v>
      </c>
      <c r="F824" s="4">
        <v>20</v>
      </c>
      <c r="G824" s="5">
        <v>62.210097856811508</v>
      </c>
      <c r="H824" s="6" t="s">
        <v>2096</v>
      </c>
    </row>
    <row r="825" spans="1:8">
      <c r="A825" s="1">
        <v>833</v>
      </c>
      <c r="B825" s="2" t="s">
        <v>2098</v>
      </c>
      <c r="C825" s="3">
        <v>38012</v>
      </c>
      <c r="D825" s="4">
        <f>YEAR(Table1[[#This Row],[Date]])</f>
        <v>2004</v>
      </c>
      <c r="E825" s="2" t="s">
        <v>2094</v>
      </c>
      <c r="F825" s="4">
        <v>31</v>
      </c>
      <c r="G825" s="5">
        <v>95.327196648200925</v>
      </c>
      <c r="H825" s="6" t="s">
        <v>2086</v>
      </c>
    </row>
    <row r="826" spans="1:8">
      <c r="A826" s="1">
        <v>834</v>
      </c>
      <c r="B826" s="2" t="s">
        <v>2084</v>
      </c>
      <c r="C826" s="3">
        <v>38727</v>
      </c>
      <c r="D826" s="4">
        <f>YEAR(Table1[[#This Row],[Date]])</f>
        <v>2006</v>
      </c>
      <c r="E826" s="2" t="s">
        <v>2085</v>
      </c>
      <c r="F826" s="4">
        <v>34</v>
      </c>
      <c r="G826" s="5">
        <v>103.89654308960344</v>
      </c>
      <c r="H826" s="6" t="s">
        <v>2096</v>
      </c>
    </row>
    <row r="827" spans="1:8">
      <c r="A827" s="1">
        <v>835</v>
      </c>
      <c r="B827" s="2" t="s">
        <v>2087</v>
      </c>
      <c r="C827" s="3">
        <v>38595</v>
      </c>
      <c r="D827" s="4">
        <f>YEAR(Table1[[#This Row],[Date]])</f>
        <v>2005</v>
      </c>
      <c r="E827" s="2" t="s">
        <v>2085</v>
      </c>
      <c r="F827" s="4">
        <v>2</v>
      </c>
      <c r="G827" s="5">
        <v>8.0342514695562706</v>
      </c>
      <c r="H827" s="6" t="s">
        <v>2090</v>
      </c>
    </row>
    <row r="828" spans="1:8">
      <c r="A828" s="1">
        <v>836</v>
      </c>
      <c r="B828" s="2" t="s">
        <v>2099</v>
      </c>
      <c r="C828" s="3">
        <v>38760</v>
      </c>
      <c r="D828" s="4">
        <f>YEAR(Table1[[#This Row],[Date]])</f>
        <v>2006</v>
      </c>
      <c r="E828" s="2" t="s">
        <v>2085</v>
      </c>
      <c r="F828" s="4">
        <v>17</v>
      </c>
      <c r="G828" s="5">
        <v>53.331838418625381</v>
      </c>
      <c r="H828" s="6" t="s">
        <v>2082</v>
      </c>
    </row>
    <row r="829" spans="1:8">
      <c r="A829" s="1">
        <v>837</v>
      </c>
      <c r="B829" s="2" t="s">
        <v>2098</v>
      </c>
      <c r="C829" s="3">
        <v>38870</v>
      </c>
      <c r="D829" s="4">
        <f>YEAR(Table1[[#This Row],[Date]])</f>
        <v>2006</v>
      </c>
      <c r="E829" s="2" t="s">
        <v>2094</v>
      </c>
      <c r="F829" s="4">
        <v>16</v>
      </c>
      <c r="G829" s="5">
        <v>50.310894482412991</v>
      </c>
      <c r="H829" s="6" t="s">
        <v>2082</v>
      </c>
    </row>
    <row r="830" spans="1:8">
      <c r="A830" s="1">
        <v>838</v>
      </c>
      <c r="B830" s="2" t="s">
        <v>2095</v>
      </c>
      <c r="C830" s="3">
        <v>38782</v>
      </c>
      <c r="D830" s="4">
        <f>YEAR(Table1[[#This Row],[Date]])</f>
        <v>2006</v>
      </c>
      <c r="E830" s="2" t="s">
        <v>2085</v>
      </c>
      <c r="F830" s="4">
        <v>54</v>
      </c>
      <c r="G830" s="5">
        <v>163.70197903495185</v>
      </c>
      <c r="H830" s="6" t="s">
        <v>2090</v>
      </c>
    </row>
    <row r="831" spans="1:8">
      <c r="A831" s="1">
        <v>839</v>
      </c>
      <c r="B831" s="2" t="s">
        <v>2091</v>
      </c>
      <c r="C831" s="3">
        <v>38034</v>
      </c>
      <c r="D831" s="4">
        <f>YEAR(Table1[[#This Row],[Date]])</f>
        <v>2004</v>
      </c>
      <c r="E831" s="2" t="s">
        <v>2081</v>
      </c>
      <c r="F831" s="4">
        <v>9</v>
      </c>
      <c r="G831" s="5">
        <v>24.921999927055641</v>
      </c>
      <c r="H831" s="6" t="s">
        <v>2096</v>
      </c>
    </row>
    <row r="832" spans="1:8">
      <c r="A832" s="1">
        <v>840</v>
      </c>
      <c r="B832" s="2" t="s">
        <v>2091</v>
      </c>
      <c r="C832" s="3">
        <v>38837</v>
      </c>
      <c r="D832" s="4">
        <f>YEAR(Table1[[#This Row],[Date]])</f>
        <v>2006</v>
      </c>
      <c r="E832" s="2" t="s">
        <v>2094</v>
      </c>
      <c r="F832" s="4">
        <v>94</v>
      </c>
      <c r="G832" s="5">
        <v>284.53575317756747</v>
      </c>
      <c r="H832" s="6" t="s">
        <v>2090</v>
      </c>
    </row>
    <row r="833" spans="1:8">
      <c r="A833" s="1">
        <v>841</v>
      </c>
      <c r="B833" s="2" t="s">
        <v>2099</v>
      </c>
      <c r="C833" s="3">
        <v>38232</v>
      </c>
      <c r="D833" s="4">
        <f>YEAR(Table1[[#This Row],[Date]])</f>
        <v>2004</v>
      </c>
      <c r="E833" s="2" t="s">
        <v>2085</v>
      </c>
      <c r="F833" s="4">
        <v>3</v>
      </c>
      <c r="G833" s="5">
        <v>7.4497114042005954</v>
      </c>
      <c r="H833" s="6" t="s">
        <v>2086</v>
      </c>
    </row>
    <row r="834" spans="1:8">
      <c r="A834" s="1">
        <v>842</v>
      </c>
      <c r="B834" s="2" t="s">
        <v>2095</v>
      </c>
      <c r="C834" s="3">
        <v>38298</v>
      </c>
      <c r="D834" s="4">
        <f>YEAR(Table1[[#This Row],[Date]])</f>
        <v>2004</v>
      </c>
      <c r="E834" s="2" t="s">
        <v>2097</v>
      </c>
      <c r="F834" s="4">
        <v>9</v>
      </c>
      <c r="G834" s="5">
        <v>28.830809944248564</v>
      </c>
      <c r="H834" s="6" t="s">
        <v>2090</v>
      </c>
    </row>
    <row r="835" spans="1:8">
      <c r="A835" s="1">
        <v>843</v>
      </c>
      <c r="B835" s="2" t="s">
        <v>2084</v>
      </c>
      <c r="C835" s="3">
        <v>38067</v>
      </c>
      <c r="D835" s="4">
        <f>YEAR(Table1[[#This Row],[Date]])</f>
        <v>2004</v>
      </c>
      <c r="E835" s="2" t="s">
        <v>2085</v>
      </c>
      <c r="F835" s="4">
        <v>25</v>
      </c>
      <c r="G835" s="5">
        <v>77.108203405128648</v>
      </c>
      <c r="H835" s="6" t="s">
        <v>2096</v>
      </c>
    </row>
    <row r="836" spans="1:8">
      <c r="A836" s="1">
        <v>844</v>
      </c>
      <c r="B836" s="2" t="s">
        <v>2087</v>
      </c>
      <c r="C836" s="3">
        <v>39013</v>
      </c>
      <c r="D836" s="4">
        <f>YEAR(Table1[[#This Row],[Date]])</f>
        <v>2006</v>
      </c>
      <c r="E836" s="2" t="s">
        <v>2081</v>
      </c>
      <c r="F836" s="4">
        <v>29</v>
      </c>
      <c r="G836" s="5">
        <v>89.310545900397301</v>
      </c>
      <c r="H836" s="6" t="s">
        <v>2082</v>
      </c>
    </row>
    <row r="837" spans="1:8">
      <c r="A837" s="1">
        <v>845</v>
      </c>
      <c r="B837" s="2" t="s">
        <v>2100</v>
      </c>
      <c r="C837" s="3">
        <v>38221</v>
      </c>
      <c r="D837" s="4">
        <f>YEAR(Table1[[#This Row],[Date]])</f>
        <v>2004</v>
      </c>
      <c r="E837" s="2" t="s">
        <v>2094</v>
      </c>
      <c r="F837" s="4">
        <v>37</v>
      </c>
      <c r="G837" s="5">
        <v>113.21323460768004</v>
      </c>
      <c r="H837" s="6" t="s">
        <v>2096</v>
      </c>
    </row>
    <row r="838" spans="1:8">
      <c r="A838" s="1">
        <v>846</v>
      </c>
      <c r="B838" s="2" t="s">
        <v>2091</v>
      </c>
      <c r="C838" s="3">
        <v>38529</v>
      </c>
      <c r="D838" s="4">
        <f>YEAR(Table1[[#This Row],[Date]])</f>
        <v>2005</v>
      </c>
      <c r="E838" s="2" t="s">
        <v>2085</v>
      </c>
      <c r="F838" s="4">
        <v>19</v>
      </c>
      <c r="G838" s="5">
        <v>59.003760475925063</v>
      </c>
      <c r="H838" s="6" t="s">
        <v>2090</v>
      </c>
    </row>
    <row r="839" spans="1:8">
      <c r="A839" s="1">
        <v>847</v>
      </c>
      <c r="B839" s="2" t="s">
        <v>2095</v>
      </c>
      <c r="C839" s="3">
        <v>38089</v>
      </c>
      <c r="D839" s="4">
        <f>YEAR(Table1[[#This Row],[Date]])</f>
        <v>2004</v>
      </c>
      <c r="E839" s="2" t="s">
        <v>2081</v>
      </c>
      <c r="F839" s="4">
        <v>28</v>
      </c>
      <c r="G839" s="5">
        <v>86.04518510559123</v>
      </c>
      <c r="H839" s="6" t="s">
        <v>2086</v>
      </c>
    </row>
    <row r="840" spans="1:8">
      <c r="A840" s="1">
        <v>848</v>
      </c>
      <c r="B840" s="2" t="s">
        <v>2099</v>
      </c>
      <c r="C840" s="3">
        <v>38144</v>
      </c>
      <c r="D840" s="4">
        <f>YEAR(Table1[[#This Row],[Date]])</f>
        <v>2004</v>
      </c>
      <c r="E840" s="2" t="s">
        <v>2094</v>
      </c>
      <c r="F840" s="4">
        <v>18</v>
      </c>
      <c r="G840" s="5">
        <v>55.858549479616173</v>
      </c>
      <c r="H840" s="6" t="s">
        <v>2090</v>
      </c>
    </row>
    <row r="841" spans="1:8">
      <c r="A841" s="1">
        <v>849</v>
      </c>
      <c r="B841" s="2" t="s">
        <v>2087</v>
      </c>
      <c r="C841" s="3">
        <v>38870</v>
      </c>
      <c r="D841" s="4">
        <f>YEAR(Table1[[#This Row],[Date]])</f>
        <v>2006</v>
      </c>
      <c r="E841" s="2" t="s">
        <v>2088</v>
      </c>
      <c r="F841" s="4">
        <v>84</v>
      </c>
      <c r="G841" s="5">
        <v>254.04302513210774</v>
      </c>
      <c r="H841" s="6" t="s">
        <v>2082</v>
      </c>
    </row>
    <row r="842" spans="1:8">
      <c r="A842" s="1">
        <v>850</v>
      </c>
      <c r="B842" s="2" t="s">
        <v>2098</v>
      </c>
      <c r="C842" s="3">
        <v>38276</v>
      </c>
      <c r="D842" s="4">
        <f>YEAR(Table1[[#This Row],[Date]])</f>
        <v>2004</v>
      </c>
      <c r="E842" s="2" t="s">
        <v>2085</v>
      </c>
      <c r="F842" s="4">
        <v>79</v>
      </c>
      <c r="G842" s="5">
        <v>238.82743961542425</v>
      </c>
      <c r="H842" s="6" t="s">
        <v>2090</v>
      </c>
    </row>
    <row r="843" spans="1:8">
      <c r="A843" s="1">
        <v>851</v>
      </c>
      <c r="B843" s="2" t="s">
        <v>2100</v>
      </c>
      <c r="C843" s="3">
        <v>38298</v>
      </c>
      <c r="D843" s="4">
        <f>YEAR(Table1[[#This Row],[Date]])</f>
        <v>2004</v>
      </c>
      <c r="E843" s="2" t="s">
        <v>2085</v>
      </c>
      <c r="F843" s="4">
        <v>31</v>
      </c>
      <c r="G843" s="5">
        <v>94.972961203791044</v>
      </c>
      <c r="H843" s="6" t="s">
        <v>2086</v>
      </c>
    </row>
    <row r="844" spans="1:8">
      <c r="A844" s="1">
        <v>852</v>
      </c>
      <c r="B844" s="2" t="s">
        <v>2099</v>
      </c>
      <c r="C844" s="3">
        <v>38925</v>
      </c>
      <c r="D844" s="4">
        <f>YEAR(Table1[[#This Row],[Date]])</f>
        <v>2006</v>
      </c>
      <c r="E844" s="2" t="s">
        <v>2088</v>
      </c>
      <c r="F844" s="4">
        <v>34</v>
      </c>
      <c r="G844" s="5">
        <v>103.39863614232333</v>
      </c>
      <c r="H844" s="6" t="s">
        <v>2096</v>
      </c>
    </row>
    <row r="845" spans="1:8">
      <c r="A845" s="1">
        <v>853</v>
      </c>
      <c r="B845" s="2" t="s">
        <v>2100</v>
      </c>
      <c r="C845" s="3">
        <v>38672</v>
      </c>
      <c r="D845" s="4">
        <f>YEAR(Table1[[#This Row],[Date]])</f>
        <v>2005</v>
      </c>
      <c r="E845" s="2" t="s">
        <v>2097</v>
      </c>
      <c r="F845" s="4">
        <v>66</v>
      </c>
      <c r="G845" s="5">
        <v>201.25536797949457</v>
      </c>
      <c r="H845" s="6" t="s">
        <v>2082</v>
      </c>
    </row>
    <row r="846" spans="1:8">
      <c r="A846" s="1">
        <v>854</v>
      </c>
      <c r="B846" s="2" t="s">
        <v>2098</v>
      </c>
      <c r="C846" s="3">
        <v>38859</v>
      </c>
      <c r="D846" s="4">
        <f>YEAR(Table1[[#This Row],[Date]])</f>
        <v>2006</v>
      </c>
      <c r="E846" s="2" t="s">
        <v>2097</v>
      </c>
      <c r="F846" s="4">
        <v>44</v>
      </c>
      <c r="G846" s="5">
        <v>134.44985862590835</v>
      </c>
      <c r="H846" s="6" t="s">
        <v>2096</v>
      </c>
    </row>
    <row r="847" spans="1:8">
      <c r="A847" s="1">
        <v>855</v>
      </c>
      <c r="B847" s="2" t="s">
        <v>2080</v>
      </c>
      <c r="C847" s="3">
        <v>38375</v>
      </c>
      <c r="D847" s="4">
        <f>YEAR(Table1[[#This Row],[Date]])</f>
        <v>2005</v>
      </c>
      <c r="E847" s="2" t="s">
        <v>2094</v>
      </c>
      <c r="F847" s="4">
        <v>94</v>
      </c>
      <c r="G847" s="5">
        <v>284.41944495958916</v>
      </c>
      <c r="H847" s="6" t="s">
        <v>2082</v>
      </c>
    </row>
    <row r="848" spans="1:8">
      <c r="A848" s="1">
        <v>856</v>
      </c>
      <c r="B848" s="2" t="s">
        <v>2093</v>
      </c>
      <c r="C848" s="3">
        <v>38089</v>
      </c>
      <c r="D848" s="4">
        <f>YEAR(Table1[[#This Row],[Date]])</f>
        <v>2004</v>
      </c>
      <c r="E848" s="2" t="s">
        <v>2085</v>
      </c>
      <c r="F848" s="4">
        <v>11</v>
      </c>
      <c r="G848" s="5">
        <v>35.299860689817372</v>
      </c>
      <c r="H848" s="6" t="s">
        <v>2096</v>
      </c>
    </row>
    <row r="849" spans="1:8">
      <c r="A849" s="1">
        <v>857</v>
      </c>
      <c r="B849" s="2" t="s">
        <v>2084</v>
      </c>
      <c r="C849" s="3">
        <v>38221</v>
      </c>
      <c r="D849" s="4">
        <f>YEAR(Table1[[#This Row],[Date]])</f>
        <v>2004</v>
      </c>
      <c r="E849" s="2" t="s">
        <v>2081</v>
      </c>
      <c r="F849" s="4">
        <v>74</v>
      </c>
      <c r="G849" s="5">
        <v>223.97457991298864</v>
      </c>
      <c r="H849" s="6" t="s">
        <v>2096</v>
      </c>
    </row>
    <row r="850" spans="1:8">
      <c r="A850" s="1">
        <v>858</v>
      </c>
      <c r="B850" s="2" t="s">
        <v>2099</v>
      </c>
      <c r="C850" s="3">
        <v>39057</v>
      </c>
      <c r="D850" s="4">
        <f>YEAR(Table1[[#This Row],[Date]])</f>
        <v>2006</v>
      </c>
      <c r="E850" s="2" t="s">
        <v>2097</v>
      </c>
      <c r="F850" s="4">
        <v>28</v>
      </c>
      <c r="G850" s="5">
        <v>86.485564911199845</v>
      </c>
      <c r="H850" s="6" t="s">
        <v>2090</v>
      </c>
    </row>
    <row r="851" spans="1:8">
      <c r="A851" s="1">
        <v>859</v>
      </c>
      <c r="B851" s="2" t="s">
        <v>2095</v>
      </c>
      <c r="C851" s="3">
        <v>38507</v>
      </c>
      <c r="D851" s="4">
        <f>YEAR(Table1[[#This Row],[Date]])</f>
        <v>2005</v>
      </c>
      <c r="E851" s="2" t="s">
        <v>2081</v>
      </c>
      <c r="F851" s="4">
        <v>40</v>
      </c>
      <c r="G851" s="5">
        <v>121.92180749554807</v>
      </c>
      <c r="H851" s="6" t="s">
        <v>2090</v>
      </c>
    </row>
    <row r="852" spans="1:8">
      <c r="A852" s="1">
        <v>860</v>
      </c>
      <c r="B852" s="2" t="s">
        <v>2095</v>
      </c>
      <c r="C852" s="3">
        <v>38023</v>
      </c>
      <c r="D852" s="4">
        <f>YEAR(Table1[[#This Row],[Date]])</f>
        <v>2004</v>
      </c>
      <c r="E852" s="2" t="s">
        <v>2081</v>
      </c>
      <c r="F852" s="4">
        <v>34</v>
      </c>
      <c r="G852" s="5">
        <v>104.1689153871453</v>
      </c>
      <c r="H852" s="6" t="s">
        <v>2082</v>
      </c>
    </row>
    <row r="853" spans="1:8">
      <c r="A853" s="1">
        <v>861</v>
      </c>
      <c r="B853" s="2" t="s">
        <v>2080</v>
      </c>
      <c r="C853" s="3">
        <v>38606</v>
      </c>
      <c r="D853" s="4">
        <f>YEAR(Table1[[#This Row],[Date]])</f>
        <v>2005</v>
      </c>
      <c r="E853" s="2" t="s">
        <v>2094</v>
      </c>
      <c r="F853" s="4">
        <v>38</v>
      </c>
      <c r="G853" s="5">
        <v>115.85180148886141</v>
      </c>
      <c r="H853" s="6" t="s">
        <v>2082</v>
      </c>
    </row>
    <row r="854" spans="1:8">
      <c r="A854" s="1">
        <v>862</v>
      </c>
      <c r="B854" s="2" t="s">
        <v>2084</v>
      </c>
      <c r="C854" s="3">
        <v>38518</v>
      </c>
      <c r="D854" s="4">
        <f>YEAR(Table1[[#This Row],[Date]])</f>
        <v>2005</v>
      </c>
      <c r="E854" s="2" t="s">
        <v>2097</v>
      </c>
      <c r="F854" s="4">
        <v>69</v>
      </c>
      <c r="G854" s="5">
        <v>209.14336391515394</v>
      </c>
      <c r="H854" s="6" t="s">
        <v>2086</v>
      </c>
    </row>
    <row r="855" spans="1:8">
      <c r="A855" s="1">
        <v>863</v>
      </c>
      <c r="B855" s="2" t="s">
        <v>2087</v>
      </c>
      <c r="C855" s="3">
        <v>38584</v>
      </c>
      <c r="D855" s="4">
        <f>YEAR(Table1[[#This Row],[Date]])</f>
        <v>2005</v>
      </c>
      <c r="E855" s="2" t="s">
        <v>2094</v>
      </c>
      <c r="F855" s="4">
        <v>34</v>
      </c>
      <c r="G855" s="5">
        <v>103.97058317140277</v>
      </c>
      <c r="H855" s="6" t="s">
        <v>2086</v>
      </c>
    </row>
    <row r="856" spans="1:8">
      <c r="A856" s="1">
        <v>864</v>
      </c>
      <c r="B856" s="2" t="s">
        <v>2080</v>
      </c>
      <c r="C856" s="3">
        <v>38573</v>
      </c>
      <c r="D856" s="4">
        <f>YEAR(Table1[[#This Row],[Date]])</f>
        <v>2005</v>
      </c>
      <c r="E856" s="2" t="s">
        <v>2097</v>
      </c>
      <c r="F856" s="4">
        <v>29</v>
      </c>
      <c r="G856" s="5">
        <v>89.383943739445868</v>
      </c>
      <c r="H856" s="6" t="s">
        <v>2086</v>
      </c>
    </row>
    <row r="857" spans="1:8">
      <c r="A857" s="1">
        <v>865</v>
      </c>
      <c r="B857" s="2" t="s">
        <v>2093</v>
      </c>
      <c r="C857" s="3">
        <v>38034</v>
      </c>
      <c r="D857" s="4">
        <f>YEAR(Table1[[#This Row],[Date]])</f>
        <v>2004</v>
      </c>
      <c r="E857" s="2" t="s">
        <v>2085</v>
      </c>
      <c r="F857" s="4">
        <v>10</v>
      </c>
      <c r="G857" s="5">
        <v>27.724939048319342</v>
      </c>
      <c r="H857" s="6" t="s">
        <v>2086</v>
      </c>
    </row>
    <row r="858" spans="1:8">
      <c r="A858" s="1">
        <v>866</v>
      </c>
      <c r="B858" s="2" t="s">
        <v>2100</v>
      </c>
      <c r="C858" s="3">
        <v>38287</v>
      </c>
      <c r="D858" s="4">
        <f>YEAR(Table1[[#This Row],[Date]])</f>
        <v>2004</v>
      </c>
      <c r="E858" s="2" t="s">
        <v>2088</v>
      </c>
      <c r="F858" s="4">
        <v>42</v>
      </c>
      <c r="G858" s="5">
        <v>128.42870398782102</v>
      </c>
      <c r="H858" s="6" t="s">
        <v>2086</v>
      </c>
    </row>
    <row r="859" spans="1:8">
      <c r="A859" s="1">
        <v>867</v>
      </c>
      <c r="B859" s="2" t="s">
        <v>2091</v>
      </c>
      <c r="C859" s="3">
        <v>38793</v>
      </c>
      <c r="D859" s="4">
        <f>YEAR(Table1[[#This Row],[Date]])</f>
        <v>2006</v>
      </c>
      <c r="E859" s="2" t="s">
        <v>2097</v>
      </c>
      <c r="F859" s="4">
        <v>58</v>
      </c>
      <c r="G859" s="5">
        <v>175.97423505292562</v>
      </c>
      <c r="H859" s="6" t="s">
        <v>2090</v>
      </c>
    </row>
    <row r="860" spans="1:8">
      <c r="A860" s="1">
        <v>868</v>
      </c>
      <c r="B860" s="2" t="s">
        <v>2098</v>
      </c>
      <c r="C860" s="3">
        <v>38056</v>
      </c>
      <c r="D860" s="4">
        <f>YEAR(Table1[[#This Row],[Date]])</f>
        <v>2004</v>
      </c>
      <c r="E860" s="2" t="s">
        <v>2085</v>
      </c>
      <c r="F860" s="4">
        <v>27</v>
      </c>
      <c r="G860" s="5">
        <v>83.01665013993393</v>
      </c>
      <c r="H860" s="6" t="s">
        <v>2086</v>
      </c>
    </row>
    <row r="861" spans="1:8">
      <c r="A861" s="1">
        <v>869</v>
      </c>
      <c r="B861" s="2" t="s">
        <v>2100</v>
      </c>
      <c r="C861" s="3">
        <v>38903</v>
      </c>
      <c r="D861" s="4">
        <f>YEAR(Table1[[#This Row],[Date]])</f>
        <v>2006</v>
      </c>
      <c r="E861" s="2" t="s">
        <v>2094</v>
      </c>
      <c r="F861" s="4">
        <v>47</v>
      </c>
      <c r="G861" s="5">
        <v>143.2742036645771</v>
      </c>
      <c r="H861" s="6" t="s">
        <v>2096</v>
      </c>
    </row>
    <row r="862" spans="1:8">
      <c r="A862" s="1">
        <v>870</v>
      </c>
      <c r="B862" s="2" t="s">
        <v>2098</v>
      </c>
      <c r="C862" s="3">
        <v>38023</v>
      </c>
      <c r="D862" s="4">
        <f>YEAR(Table1[[#This Row],[Date]])</f>
        <v>2004</v>
      </c>
      <c r="E862" s="2" t="s">
        <v>2085</v>
      </c>
      <c r="F862" s="4">
        <v>29</v>
      </c>
      <c r="G862" s="5">
        <v>88.696716331090727</v>
      </c>
      <c r="H862" s="6" t="s">
        <v>2082</v>
      </c>
    </row>
    <row r="863" spans="1:8">
      <c r="A863" s="1">
        <v>871</v>
      </c>
      <c r="B863" s="2" t="s">
        <v>2100</v>
      </c>
      <c r="C863" s="3">
        <v>38848</v>
      </c>
      <c r="D863" s="4">
        <f>YEAR(Table1[[#This Row],[Date]])</f>
        <v>2006</v>
      </c>
      <c r="E863" s="2" t="s">
        <v>2097</v>
      </c>
      <c r="F863" s="4">
        <v>28</v>
      </c>
      <c r="G863" s="5">
        <v>86.226420950611285</v>
      </c>
      <c r="H863" s="6" t="s">
        <v>2082</v>
      </c>
    </row>
    <row r="864" spans="1:8">
      <c r="A864" s="1">
        <v>872</v>
      </c>
      <c r="B864" s="2" t="s">
        <v>2080</v>
      </c>
      <c r="C864" s="3">
        <v>38980</v>
      </c>
      <c r="D864" s="4">
        <f>YEAR(Table1[[#This Row],[Date]])</f>
        <v>2006</v>
      </c>
      <c r="E864" s="2" t="s">
        <v>2094</v>
      </c>
      <c r="F864" s="4">
        <v>79</v>
      </c>
      <c r="G864" s="5">
        <v>239.05774059830441</v>
      </c>
      <c r="H864" s="6" t="s">
        <v>2082</v>
      </c>
    </row>
    <row r="865" spans="1:8">
      <c r="A865" s="1">
        <v>873</v>
      </c>
      <c r="B865" s="2" t="s">
        <v>2087</v>
      </c>
      <c r="C865" s="3">
        <v>38298</v>
      </c>
      <c r="D865" s="4">
        <f>YEAR(Table1[[#This Row],[Date]])</f>
        <v>2004</v>
      </c>
      <c r="E865" s="2" t="s">
        <v>2094</v>
      </c>
      <c r="F865" s="4">
        <v>41</v>
      </c>
      <c r="G865" s="5">
        <v>124.81786407447923</v>
      </c>
      <c r="H865" s="6" t="s">
        <v>2096</v>
      </c>
    </row>
    <row r="866" spans="1:8">
      <c r="A866" s="1">
        <v>874</v>
      </c>
      <c r="B866" s="2" t="s">
        <v>2098</v>
      </c>
      <c r="C866" s="3">
        <v>38540</v>
      </c>
      <c r="D866" s="4">
        <f>YEAR(Table1[[#This Row],[Date]])</f>
        <v>2005</v>
      </c>
      <c r="E866" s="2" t="s">
        <v>2088</v>
      </c>
      <c r="F866" s="4">
        <v>57</v>
      </c>
      <c r="G866" s="5">
        <v>172.96188521453885</v>
      </c>
      <c r="H866" s="6" t="s">
        <v>2086</v>
      </c>
    </row>
    <row r="867" spans="1:8">
      <c r="A867" s="1">
        <v>875</v>
      </c>
      <c r="B867" s="2" t="s">
        <v>2100</v>
      </c>
      <c r="C867" s="3">
        <v>38914</v>
      </c>
      <c r="D867" s="4">
        <f>YEAR(Table1[[#This Row],[Date]])</f>
        <v>2006</v>
      </c>
      <c r="E867" s="2" t="s">
        <v>2081</v>
      </c>
      <c r="F867" s="4">
        <v>45</v>
      </c>
      <c r="G867" s="5">
        <v>137.62002289021942</v>
      </c>
      <c r="H867" s="6" t="s">
        <v>2090</v>
      </c>
    </row>
    <row r="868" spans="1:8">
      <c r="A868" s="1">
        <v>876</v>
      </c>
      <c r="B868" s="2" t="s">
        <v>2099</v>
      </c>
      <c r="C868" s="3">
        <v>38793</v>
      </c>
      <c r="D868" s="4">
        <f>YEAR(Table1[[#This Row],[Date]])</f>
        <v>2006</v>
      </c>
      <c r="E868" s="2" t="s">
        <v>2097</v>
      </c>
      <c r="F868" s="4">
        <v>91</v>
      </c>
      <c r="G868" s="5">
        <v>274.91230216083113</v>
      </c>
      <c r="H868" s="6" t="s">
        <v>2090</v>
      </c>
    </row>
    <row r="869" spans="1:8">
      <c r="A869" s="1">
        <v>877</v>
      </c>
      <c r="B869" s="2" t="s">
        <v>2098</v>
      </c>
      <c r="C869" s="3">
        <v>38375</v>
      </c>
      <c r="D869" s="4">
        <f>YEAR(Table1[[#This Row],[Date]])</f>
        <v>2005</v>
      </c>
      <c r="E869" s="2" t="s">
        <v>2097</v>
      </c>
      <c r="F869" s="4">
        <v>49</v>
      </c>
      <c r="G869" s="5">
        <v>149.04131306617498</v>
      </c>
      <c r="H869" s="6" t="s">
        <v>2090</v>
      </c>
    </row>
    <row r="870" spans="1:8">
      <c r="A870" s="1">
        <v>878</v>
      </c>
      <c r="B870" s="2" t="s">
        <v>2080</v>
      </c>
      <c r="C870" s="3">
        <v>38254</v>
      </c>
      <c r="D870" s="4">
        <f>YEAR(Table1[[#This Row],[Date]])</f>
        <v>2004</v>
      </c>
      <c r="E870" s="2" t="s">
        <v>2081</v>
      </c>
      <c r="F870" s="4">
        <v>68</v>
      </c>
      <c r="G870" s="5">
        <v>206.16097800045316</v>
      </c>
      <c r="H870" s="6" t="s">
        <v>2090</v>
      </c>
    </row>
    <row r="871" spans="1:8">
      <c r="A871" s="1">
        <v>879</v>
      </c>
      <c r="B871" s="2" t="s">
        <v>2093</v>
      </c>
      <c r="C871" s="3">
        <v>38397</v>
      </c>
      <c r="D871" s="4">
        <f>YEAR(Table1[[#This Row],[Date]])</f>
        <v>2005</v>
      </c>
      <c r="E871" s="2" t="s">
        <v>2088</v>
      </c>
      <c r="F871" s="4">
        <v>38</v>
      </c>
      <c r="G871" s="5">
        <v>116.64480895861564</v>
      </c>
      <c r="H871" s="6" t="s">
        <v>2090</v>
      </c>
    </row>
    <row r="872" spans="1:8">
      <c r="A872" s="1">
        <v>880</v>
      </c>
      <c r="B872" s="2" t="s">
        <v>2087</v>
      </c>
      <c r="C872" s="3">
        <v>38980</v>
      </c>
      <c r="D872" s="4">
        <f>YEAR(Table1[[#This Row],[Date]])</f>
        <v>2006</v>
      </c>
      <c r="E872" s="2" t="s">
        <v>2085</v>
      </c>
      <c r="F872" s="4">
        <v>4</v>
      </c>
      <c r="G872" s="5">
        <v>15.205643253032669</v>
      </c>
      <c r="H872" s="6" t="s">
        <v>2082</v>
      </c>
    </row>
    <row r="873" spans="1:8">
      <c r="A873" s="1">
        <v>881</v>
      </c>
      <c r="B873" s="2" t="s">
        <v>2098</v>
      </c>
      <c r="C873" s="3">
        <v>38452</v>
      </c>
      <c r="D873" s="4">
        <f>YEAR(Table1[[#This Row],[Date]])</f>
        <v>2005</v>
      </c>
      <c r="E873" s="2" t="s">
        <v>2097</v>
      </c>
      <c r="F873" s="4">
        <v>45</v>
      </c>
      <c r="G873" s="5">
        <v>137.05484034063696</v>
      </c>
      <c r="H873" s="6" t="s">
        <v>2096</v>
      </c>
    </row>
    <row r="874" spans="1:8">
      <c r="A874" s="1">
        <v>882</v>
      </c>
      <c r="B874" s="2" t="s">
        <v>2095</v>
      </c>
      <c r="C874" s="3">
        <v>38331</v>
      </c>
      <c r="D874" s="4">
        <f>YEAR(Table1[[#This Row],[Date]])</f>
        <v>2004</v>
      </c>
      <c r="E874" s="2" t="s">
        <v>2097</v>
      </c>
      <c r="F874" s="4">
        <v>85</v>
      </c>
      <c r="G874" s="5">
        <v>256.6581063828105</v>
      </c>
      <c r="H874" s="6" t="s">
        <v>2086</v>
      </c>
    </row>
    <row r="875" spans="1:8">
      <c r="A875" s="1">
        <v>883</v>
      </c>
      <c r="B875" s="2" t="s">
        <v>2098</v>
      </c>
      <c r="C875" s="3">
        <v>38540</v>
      </c>
      <c r="D875" s="4">
        <f>YEAR(Table1[[#This Row],[Date]])</f>
        <v>2005</v>
      </c>
      <c r="E875" s="2" t="s">
        <v>2088</v>
      </c>
      <c r="F875" s="4">
        <v>57</v>
      </c>
      <c r="G875" s="5">
        <v>173.05666995199584</v>
      </c>
      <c r="H875" s="6" t="s">
        <v>2086</v>
      </c>
    </row>
    <row r="876" spans="1:8">
      <c r="A876" s="1">
        <v>884</v>
      </c>
      <c r="B876" s="2" t="s">
        <v>2091</v>
      </c>
      <c r="C876" s="3">
        <v>38672</v>
      </c>
      <c r="D876" s="4">
        <f>YEAR(Table1[[#This Row],[Date]])</f>
        <v>2005</v>
      </c>
      <c r="E876" s="2" t="s">
        <v>2097</v>
      </c>
      <c r="F876" s="4">
        <v>3</v>
      </c>
      <c r="G876" s="5">
        <v>6.3637861287644046</v>
      </c>
      <c r="H876" s="6" t="s">
        <v>2096</v>
      </c>
    </row>
    <row r="877" spans="1:8">
      <c r="A877" s="1">
        <v>885</v>
      </c>
      <c r="B877" s="2" t="s">
        <v>2100</v>
      </c>
      <c r="C877" s="3">
        <v>38936</v>
      </c>
      <c r="D877" s="4">
        <f>YEAR(Table1[[#This Row],[Date]])</f>
        <v>2006</v>
      </c>
      <c r="E877" s="2" t="s">
        <v>2085</v>
      </c>
      <c r="F877" s="4">
        <v>9</v>
      </c>
      <c r="G877" s="5">
        <v>24.858670230760346</v>
      </c>
      <c r="H877" s="6" t="s">
        <v>2086</v>
      </c>
    </row>
    <row r="878" spans="1:8">
      <c r="A878" s="1">
        <v>886</v>
      </c>
      <c r="B878" s="2" t="s">
        <v>2091</v>
      </c>
      <c r="C878" s="3">
        <v>38100</v>
      </c>
      <c r="D878" s="4">
        <f>YEAR(Table1[[#This Row],[Date]])</f>
        <v>2004</v>
      </c>
      <c r="E878" s="2" t="s">
        <v>2094</v>
      </c>
      <c r="F878" s="4">
        <v>86</v>
      </c>
      <c r="G878" s="5">
        <v>260.29381913398618</v>
      </c>
      <c r="H878" s="6" t="s">
        <v>2086</v>
      </c>
    </row>
    <row r="879" spans="1:8">
      <c r="A879" s="1">
        <v>887</v>
      </c>
      <c r="B879" s="2" t="s">
        <v>2099</v>
      </c>
      <c r="C879" s="3">
        <v>38419</v>
      </c>
      <c r="D879" s="4">
        <f>YEAR(Table1[[#This Row],[Date]])</f>
        <v>2005</v>
      </c>
      <c r="E879" s="2" t="s">
        <v>2085</v>
      </c>
      <c r="F879" s="4">
        <v>11</v>
      </c>
      <c r="G879" s="5">
        <v>35.041684359746164</v>
      </c>
      <c r="H879" s="6" t="s">
        <v>2096</v>
      </c>
    </row>
    <row r="880" spans="1:8">
      <c r="A880" s="1">
        <v>888</v>
      </c>
      <c r="B880" s="2" t="s">
        <v>2093</v>
      </c>
      <c r="C880" s="3">
        <v>38001</v>
      </c>
      <c r="D880" s="4">
        <f>YEAR(Table1[[#This Row],[Date]])</f>
        <v>2004</v>
      </c>
      <c r="E880" s="2" t="s">
        <v>2097</v>
      </c>
      <c r="F880" s="4">
        <v>87</v>
      </c>
      <c r="G880" s="5">
        <v>262.7592489136066</v>
      </c>
      <c r="H880" s="6" t="s">
        <v>2086</v>
      </c>
    </row>
    <row r="881" spans="1:8">
      <c r="A881" s="1">
        <v>889</v>
      </c>
      <c r="B881" s="2" t="s">
        <v>2093</v>
      </c>
      <c r="C881" s="3">
        <v>38199</v>
      </c>
      <c r="D881" s="4">
        <f>YEAR(Table1[[#This Row],[Date]])</f>
        <v>2004</v>
      </c>
      <c r="E881" s="2" t="s">
        <v>2094</v>
      </c>
      <c r="F881" s="4">
        <v>86</v>
      </c>
      <c r="G881" s="5">
        <v>260.00914889996403</v>
      </c>
      <c r="H881" s="6" t="s">
        <v>2082</v>
      </c>
    </row>
    <row r="882" spans="1:8">
      <c r="A882" s="1">
        <v>890</v>
      </c>
      <c r="B882" s="2" t="s">
        <v>2080</v>
      </c>
      <c r="C882" s="3">
        <v>38749</v>
      </c>
      <c r="D882" s="4">
        <f>YEAR(Table1[[#This Row],[Date]])</f>
        <v>2006</v>
      </c>
      <c r="E882" s="2" t="s">
        <v>2081</v>
      </c>
      <c r="F882" s="4">
        <v>62</v>
      </c>
      <c r="G882" s="5">
        <v>187.81034616092504</v>
      </c>
      <c r="H882" s="6" t="s">
        <v>2090</v>
      </c>
    </row>
    <row r="883" spans="1:8">
      <c r="A883" s="1">
        <v>891</v>
      </c>
      <c r="B883" s="2" t="s">
        <v>2098</v>
      </c>
      <c r="C883" s="3">
        <v>38914</v>
      </c>
      <c r="D883" s="4">
        <f>YEAR(Table1[[#This Row],[Date]])</f>
        <v>2006</v>
      </c>
      <c r="E883" s="2" t="s">
        <v>2097</v>
      </c>
      <c r="F883" s="4">
        <v>80</v>
      </c>
      <c r="G883" s="5">
        <v>241.85917425037732</v>
      </c>
      <c r="H883" s="6" t="s">
        <v>2090</v>
      </c>
    </row>
    <row r="884" spans="1:8">
      <c r="A884" s="1">
        <v>892</v>
      </c>
      <c r="B884" s="2" t="s">
        <v>2093</v>
      </c>
      <c r="C884" s="3">
        <v>38188</v>
      </c>
      <c r="D884" s="4">
        <f>YEAR(Table1[[#This Row],[Date]])</f>
        <v>2004</v>
      </c>
      <c r="E884" s="2" t="s">
        <v>2088</v>
      </c>
      <c r="F884" s="4">
        <v>11</v>
      </c>
      <c r="G884" s="5">
        <v>34.782314831792192</v>
      </c>
      <c r="H884" s="6" t="s">
        <v>2082</v>
      </c>
    </row>
    <row r="885" spans="1:8">
      <c r="A885" s="1">
        <v>893</v>
      </c>
      <c r="B885" s="2" t="s">
        <v>2093</v>
      </c>
      <c r="C885" s="3">
        <v>38694</v>
      </c>
      <c r="D885" s="4">
        <f>YEAR(Table1[[#This Row],[Date]])</f>
        <v>2005</v>
      </c>
      <c r="E885" s="2" t="s">
        <v>2088</v>
      </c>
      <c r="F885" s="4">
        <v>11</v>
      </c>
      <c r="G885" s="5">
        <v>34.680822827797087</v>
      </c>
      <c r="H885" s="6" t="s">
        <v>2086</v>
      </c>
    </row>
    <row r="886" spans="1:8">
      <c r="A886" s="1">
        <v>894</v>
      </c>
      <c r="B886" s="2" t="s">
        <v>2100</v>
      </c>
      <c r="C886" s="3">
        <v>38661</v>
      </c>
      <c r="D886" s="4">
        <f>YEAR(Table1[[#This Row],[Date]])</f>
        <v>2005</v>
      </c>
      <c r="E886" s="2" t="s">
        <v>2094</v>
      </c>
      <c r="F886" s="4">
        <v>4</v>
      </c>
      <c r="G886" s="5">
        <v>9.7904020756587578</v>
      </c>
      <c r="H886" s="6" t="s">
        <v>2082</v>
      </c>
    </row>
    <row r="887" spans="1:8">
      <c r="A887" s="1">
        <v>895</v>
      </c>
      <c r="B887" s="2" t="s">
        <v>2095</v>
      </c>
      <c r="C887" s="3">
        <v>38331</v>
      </c>
      <c r="D887" s="4">
        <f>YEAR(Table1[[#This Row],[Date]])</f>
        <v>2004</v>
      </c>
      <c r="E887" s="2" t="s">
        <v>2088</v>
      </c>
      <c r="F887" s="4">
        <v>42</v>
      </c>
      <c r="G887" s="5">
        <v>128.02610607664568</v>
      </c>
      <c r="H887" s="6" t="s">
        <v>2090</v>
      </c>
    </row>
    <row r="888" spans="1:8">
      <c r="A888" s="1">
        <v>896</v>
      </c>
      <c r="B888" s="2" t="s">
        <v>2095</v>
      </c>
      <c r="C888" s="3">
        <v>38166</v>
      </c>
      <c r="D888" s="4">
        <f>YEAR(Table1[[#This Row],[Date]])</f>
        <v>2004</v>
      </c>
      <c r="E888" s="2" t="s">
        <v>2081</v>
      </c>
      <c r="F888" s="4">
        <v>51</v>
      </c>
      <c r="G888" s="5">
        <v>154.71800722699501</v>
      </c>
      <c r="H888" s="6" t="s">
        <v>2082</v>
      </c>
    </row>
    <row r="889" spans="1:8">
      <c r="A889" s="1">
        <v>897</v>
      </c>
      <c r="B889" s="2" t="s">
        <v>2093</v>
      </c>
      <c r="C889" s="3">
        <v>38188</v>
      </c>
      <c r="D889" s="4">
        <f>YEAR(Table1[[#This Row],[Date]])</f>
        <v>2004</v>
      </c>
      <c r="E889" s="2" t="s">
        <v>2085</v>
      </c>
      <c r="F889" s="4">
        <v>91</v>
      </c>
      <c r="G889" s="5">
        <v>274.77216405152751</v>
      </c>
      <c r="H889" s="6" t="s">
        <v>2082</v>
      </c>
    </row>
    <row r="890" spans="1:8">
      <c r="A890" s="1">
        <v>898</v>
      </c>
      <c r="B890" s="2" t="s">
        <v>2098</v>
      </c>
      <c r="C890" s="3">
        <v>38947</v>
      </c>
      <c r="D890" s="4">
        <f>YEAR(Table1[[#This Row],[Date]])</f>
        <v>2006</v>
      </c>
      <c r="E890" s="2" t="s">
        <v>2081</v>
      </c>
      <c r="F890" s="4">
        <v>24</v>
      </c>
      <c r="G890" s="5">
        <v>73.406307306618515</v>
      </c>
      <c r="H890" s="6" t="s">
        <v>2090</v>
      </c>
    </row>
    <row r="891" spans="1:8">
      <c r="A891" s="1">
        <v>899</v>
      </c>
      <c r="B891" s="2" t="s">
        <v>2098</v>
      </c>
      <c r="C891" s="3">
        <v>38012</v>
      </c>
      <c r="D891" s="4">
        <f>YEAR(Table1[[#This Row],[Date]])</f>
        <v>2004</v>
      </c>
      <c r="E891" s="2" t="s">
        <v>2094</v>
      </c>
      <c r="F891" s="4">
        <v>19</v>
      </c>
      <c r="G891" s="5">
        <v>59.122730804832166</v>
      </c>
      <c r="H891" s="6" t="s">
        <v>2086</v>
      </c>
    </row>
    <row r="892" spans="1:8">
      <c r="A892" s="1">
        <v>900</v>
      </c>
      <c r="B892" s="2" t="s">
        <v>2093</v>
      </c>
      <c r="C892" s="3">
        <v>38067</v>
      </c>
      <c r="D892" s="4">
        <f>YEAR(Table1[[#This Row],[Date]])</f>
        <v>2004</v>
      </c>
      <c r="E892" s="2" t="s">
        <v>2081</v>
      </c>
      <c r="F892" s="4">
        <v>80</v>
      </c>
      <c r="G892" s="5">
        <v>241.74723336571216</v>
      </c>
      <c r="H892" s="6" t="s">
        <v>2086</v>
      </c>
    </row>
    <row r="893" spans="1:8">
      <c r="A893" s="1">
        <v>901</v>
      </c>
      <c r="B893" s="2" t="s">
        <v>2080</v>
      </c>
      <c r="C893" s="3">
        <v>39057</v>
      </c>
      <c r="D893" s="4">
        <f>YEAR(Table1[[#This Row],[Date]])</f>
        <v>2006</v>
      </c>
      <c r="E893" s="2" t="s">
        <v>2085</v>
      </c>
      <c r="F893" s="4">
        <v>0</v>
      </c>
      <c r="G893" s="5">
        <v>1.6796900586638657</v>
      </c>
      <c r="H893" s="6" t="s">
        <v>2096</v>
      </c>
    </row>
    <row r="894" spans="1:8">
      <c r="A894" s="1">
        <v>902</v>
      </c>
      <c r="B894" s="2" t="s">
        <v>2099</v>
      </c>
      <c r="C894" s="3">
        <v>38991</v>
      </c>
      <c r="D894" s="4">
        <f>YEAR(Table1[[#This Row],[Date]])</f>
        <v>2006</v>
      </c>
      <c r="E894" s="2" t="s">
        <v>2085</v>
      </c>
      <c r="F894" s="4">
        <v>69</v>
      </c>
      <c r="G894" s="5">
        <v>209.14203916980014</v>
      </c>
      <c r="H894" s="6" t="s">
        <v>2096</v>
      </c>
    </row>
    <row r="895" spans="1:8">
      <c r="A895" s="1">
        <v>903</v>
      </c>
      <c r="B895" s="2" t="s">
        <v>2098</v>
      </c>
      <c r="C895" s="3">
        <v>38914</v>
      </c>
      <c r="D895" s="4">
        <f>YEAR(Table1[[#This Row],[Date]])</f>
        <v>2006</v>
      </c>
      <c r="E895" s="2" t="s">
        <v>2097</v>
      </c>
      <c r="F895" s="4">
        <v>84</v>
      </c>
      <c r="G895" s="5">
        <v>253.78421313059829</v>
      </c>
      <c r="H895" s="6" t="s">
        <v>2086</v>
      </c>
    </row>
    <row r="896" spans="1:8">
      <c r="A896" s="1">
        <v>904</v>
      </c>
      <c r="B896" s="2" t="s">
        <v>2084</v>
      </c>
      <c r="C896" s="3">
        <v>38584</v>
      </c>
      <c r="D896" s="4">
        <f>YEAR(Table1[[#This Row],[Date]])</f>
        <v>2005</v>
      </c>
      <c r="E896" s="2" t="s">
        <v>2088</v>
      </c>
      <c r="F896" s="4">
        <v>31</v>
      </c>
      <c r="G896" s="5">
        <v>94.752143463742286</v>
      </c>
      <c r="H896" s="6" t="s">
        <v>2090</v>
      </c>
    </row>
    <row r="897" spans="1:8">
      <c r="A897" s="1">
        <v>905</v>
      </c>
      <c r="B897" s="2" t="s">
        <v>2091</v>
      </c>
      <c r="C897" s="3">
        <v>38595</v>
      </c>
      <c r="D897" s="4">
        <f>YEAR(Table1[[#This Row],[Date]])</f>
        <v>2005</v>
      </c>
      <c r="E897" s="2" t="s">
        <v>2094</v>
      </c>
      <c r="F897" s="4">
        <v>11</v>
      </c>
      <c r="G897" s="5">
        <v>35.274537093655269</v>
      </c>
      <c r="H897" s="6" t="s">
        <v>2082</v>
      </c>
    </row>
    <row r="898" spans="1:8">
      <c r="A898" s="1">
        <v>906</v>
      </c>
      <c r="B898" s="2" t="s">
        <v>2087</v>
      </c>
      <c r="C898" s="3">
        <v>38441</v>
      </c>
      <c r="D898" s="4">
        <f>YEAR(Table1[[#This Row],[Date]])</f>
        <v>2005</v>
      </c>
      <c r="E898" s="2" t="s">
        <v>2081</v>
      </c>
      <c r="F898" s="4">
        <v>79</v>
      </c>
      <c r="G898" s="5">
        <v>239.3445563093955</v>
      </c>
      <c r="H898" s="6" t="s">
        <v>2086</v>
      </c>
    </row>
    <row r="899" spans="1:8">
      <c r="A899" s="1">
        <v>907</v>
      </c>
      <c r="B899" s="2" t="s">
        <v>2099</v>
      </c>
      <c r="C899" s="3">
        <v>38892</v>
      </c>
      <c r="D899" s="4">
        <f>YEAR(Table1[[#This Row],[Date]])</f>
        <v>2006</v>
      </c>
      <c r="E899" s="2" t="s">
        <v>2094</v>
      </c>
      <c r="F899" s="4">
        <v>22</v>
      </c>
      <c r="G899" s="5">
        <v>68.549031242200385</v>
      </c>
      <c r="H899" s="6" t="s">
        <v>2086</v>
      </c>
    </row>
    <row r="900" spans="1:8">
      <c r="A900" s="1">
        <v>908</v>
      </c>
      <c r="B900" s="2" t="s">
        <v>2080</v>
      </c>
      <c r="C900" s="3">
        <v>38386</v>
      </c>
      <c r="D900" s="4">
        <f>YEAR(Table1[[#This Row],[Date]])</f>
        <v>2005</v>
      </c>
      <c r="E900" s="2" t="s">
        <v>2085</v>
      </c>
      <c r="F900" s="4">
        <v>76</v>
      </c>
      <c r="G900" s="5">
        <v>231.1298624050425</v>
      </c>
      <c r="H900" s="6" t="s">
        <v>2096</v>
      </c>
    </row>
    <row r="901" spans="1:8">
      <c r="A901" s="1">
        <v>909</v>
      </c>
      <c r="B901" s="2" t="s">
        <v>2087</v>
      </c>
      <c r="C901" s="3">
        <v>38265</v>
      </c>
      <c r="D901" s="4">
        <f>YEAR(Table1[[#This Row],[Date]])</f>
        <v>2004</v>
      </c>
      <c r="E901" s="2" t="s">
        <v>2094</v>
      </c>
      <c r="F901" s="4">
        <v>0</v>
      </c>
      <c r="G901" s="5">
        <v>2.7444174420335523</v>
      </c>
      <c r="H901" s="6" t="s">
        <v>2086</v>
      </c>
    </row>
    <row r="902" spans="1:8">
      <c r="A902" s="1">
        <v>910</v>
      </c>
      <c r="B902" s="2" t="s">
        <v>2098</v>
      </c>
      <c r="C902" s="3">
        <v>38430</v>
      </c>
      <c r="D902" s="4">
        <f>YEAR(Table1[[#This Row],[Date]])</f>
        <v>2005</v>
      </c>
      <c r="E902" s="2" t="s">
        <v>2081</v>
      </c>
      <c r="F902" s="4">
        <v>94</v>
      </c>
      <c r="G902" s="5">
        <v>283.56226306241973</v>
      </c>
      <c r="H902" s="6" t="s">
        <v>2090</v>
      </c>
    </row>
    <row r="903" spans="1:8">
      <c r="A903" s="1">
        <v>911</v>
      </c>
      <c r="B903" s="2" t="s">
        <v>2091</v>
      </c>
      <c r="C903" s="3">
        <v>38298</v>
      </c>
      <c r="D903" s="4">
        <f>YEAR(Table1[[#This Row],[Date]])</f>
        <v>2004</v>
      </c>
      <c r="E903" s="2" t="s">
        <v>2085</v>
      </c>
      <c r="F903" s="4">
        <v>14</v>
      </c>
      <c r="G903" s="5">
        <v>44.2457022640235</v>
      </c>
      <c r="H903" s="6" t="s">
        <v>2082</v>
      </c>
    </row>
    <row r="904" spans="1:8">
      <c r="A904" s="1">
        <v>912</v>
      </c>
      <c r="B904" s="2" t="s">
        <v>2098</v>
      </c>
      <c r="C904" s="3">
        <v>38903</v>
      </c>
      <c r="D904" s="4">
        <f>YEAR(Table1[[#This Row],[Date]])</f>
        <v>2006</v>
      </c>
      <c r="E904" s="2" t="s">
        <v>2097</v>
      </c>
      <c r="F904" s="4">
        <v>57</v>
      </c>
      <c r="G904" s="5">
        <v>172.69724242963656</v>
      </c>
      <c r="H904" s="6" t="s">
        <v>2090</v>
      </c>
    </row>
    <row r="905" spans="1:8">
      <c r="A905" s="1">
        <v>913</v>
      </c>
      <c r="B905" s="2" t="s">
        <v>2099</v>
      </c>
      <c r="C905" s="3">
        <v>38463</v>
      </c>
      <c r="D905" s="4">
        <f>YEAR(Table1[[#This Row],[Date]])</f>
        <v>2005</v>
      </c>
      <c r="E905" s="2" t="s">
        <v>2081</v>
      </c>
      <c r="F905" s="4">
        <v>3</v>
      </c>
      <c r="G905" s="5">
        <v>11.082849552887902</v>
      </c>
      <c r="H905" s="6" t="s">
        <v>2096</v>
      </c>
    </row>
    <row r="906" spans="1:8">
      <c r="A906" s="1">
        <v>914</v>
      </c>
      <c r="B906" s="2" t="s">
        <v>2100</v>
      </c>
      <c r="C906" s="3">
        <v>38903</v>
      </c>
      <c r="D906" s="4">
        <f>YEAR(Table1[[#This Row],[Date]])</f>
        <v>2006</v>
      </c>
      <c r="E906" s="2" t="s">
        <v>2081</v>
      </c>
      <c r="F906" s="4">
        <v>50</v>
      </c>
      <c r="G906" s="5">
        <v>151.95954978745411</v>
      </c>
      <c r="H906" s="6" t="s">
        <v>2090</v>
      </c>
    </row>
    <row r="907" spans="1:8">
      <c r="A907" s="1">
        <v>915</v>
      </c>
      <c r="B907" s="2" t="s">
        <v>2087</v>
      </c>
      <c r="C907" s="3">
        <v>38881</v>
      </c>
      <c r="D907" s="4">
        <f>YEAR(Table1[[#This Row],[Date]])</f>
        <v>2006</v>
      </c>
      <c r="E907" s="2" t="s">
        <v>2094</v>
      </c>
      <c r="F907" s="4">
        <v>25</v>
      </c>
      <c r="G907" s="5">
        <v>76.624560231864265</v>
      </c>
      <c r="H907" s="6" t="s">
        <v>2096</v>
      </c>
    </row>
    <row r="908" spans="1:8">
      <c r="A908" s="1">
        <v>916</v>
      </c>
      <c r="B908" s="2" t="s">
        <v>2095</v>
      </c>
      <c r="C908" s="3">
        <v>38595</v>
      </c>
      <c r="D908" s="4">
        <f>YEAR(Table1[[#This Row],[Date]])</f>
        <v>2005</v>
      </c>
      <c r="E908" s="2" t="s">
        <v>2085</v>
      </c>
      <c r="F908" s="4">
        <v>46</v>
      </c>
      <c r="G908" s="5">
        <v>140.2736912488281</v>
      </c>
      <c r="H908" s="6" t="s">
        <v>2082</v>
      </c>
    </row>
    <row r="909" spans="1:8">
      <c r="A909" s="1">
        <v>917</v>
      </c>
      <c r="B909" s="2" t="s">
        <v>2091</v>
      </c>
      <c r="C909" s="3">
        <v>38914</v>
      </c>
      <c r="D909" s="4">
        <f>YEAR(Table1[[#This Row],[Date]])</f>
        <v>2006</v>
      </c>
      <c r="E909" s="2" t="s">
        <v>2081</v>
      </c>
      <c r="F909" s="4">
        <v>19</v>
      </c>
      <c r="G909" s="5">
        <v>58.735580557472737</v>
      </c>
      <c r="H909" s="6" t="s">
        <v>2096</v>
      </c>
    </row>
    <row r="910" spans="1:8">
      <c r="A910" s="1">
        <v>918</v>
      </c>
      <c r="B910" s="2" t="s">
        <v>2098</v>
      </c>
      <c r="C910" s="3">
        <v>38859</v>
      </c>
      <c r="D910" s="4">
        <f>YEAR(Table1[[#This Row],[Date]])</f>
        <v>2006</v>
      </c>
      <c r="E910" s="2" t="s">
        <v>2094</v>
      </c>
      <c r="F910" s="4">
        <v>6</v>
      </c>
      <c r="G910" s="5">
        <v>20.099629096975125</v>
      </c>
      <c r="H910" s="6" t="s">
        <v>2090</v>
      </c>
    </row>
    <row r="911" spans="1:8">
      <c r="A911" s="1">
        <v>919</v>
      </c>
      <c r="B911" s="2" t="s">
        <v>2099</v>
      </c>
      <c r="C911" s="3">
        <v>38903</v>
      </c>
      <c r="D911" s="4">
        <f>YEAR(Table1[[#This Row],[Date]])</f>
        <v>2006</v>
      </c>
      <c r="E911" s="2" t="s">
        <v>2088</v>
      </c>
      <c r="F911" s="4">
        <v>8</v>
      </c>
      <c r="G911" s="5">
        <v>26.084862644671222</v>
      </c>
      <c r="H911" s="6" t="s">
        <v>2086</v>
      </c>
    </row>
    <row r="912" spans="1:8">
      <c r="A912" s="1">
        <v>920</v>
      </c>
      <c r="B912" s="2" t="s">
        <v>2098</v>
      </c>
      <c r="C912" s="3">
        <v>38727</v>
      </c>
      <c r="D912" s="4">
        <f>YEAR(Table1[[#This Row],[Date]])</f>
        <v>2006</v>
      </c>
      <c r="E912" s="2" t="s">
        <v>2097</v>
      </c>
      <c r="F912" s="4">
        <v>2</v>
      </c>
      <c r="G912" s="5">
        <v>3.7309676865630421</v>
      </c>
      <c r="H912" s="6" t="s">
        <v>2086</v>
      </c>
    </row>
    <row r="913" spans="1:8">
      <c r="A913" s="1">
        <v>921</v>
      </c>
      <c r="B913" s="2" t="s">
        <v>2091</v>
      </c>
      <c r="C913" s="3">
        <v>38452</v>
      </c>
      <c r="D913" s="4">
        <f>YEAR(Table1[[#This Row],[Date]])</f>
        <v>2005</v>
      </c>
      <c r="E913" s="2" t="s">
        <v>2081</v>
      </c>
      <c r="F913" s="4">
        <v>80</v>
      </c>
      <c r="G913" s="5">
        <v>240.69010526776344</v>
      </c>
      <c r="H913" s="6" t="s">
        <v>2096</v>
      </c>
    </row>
    <row r="914" spans="1:8">
      <c r="A914" s="1">
        <v>922</v>
      </c>
      <c r="B914" s="2" t="s">
        <v>2099</v>
      </c>
      <c r="C914" s="3">
        <v>38474</v>
      </c>
      <c r="D914" s="4">
        <f>YEAR(Table1[[#This Row],[Date]])</f>
        <v>2005</v>
      </c>
      <c r="E914" s="2" t="s">
        <v>2085</v>
      </c>
      <c r="F914" s="4">
        <v>19</v>
      </c>
      <c r="G914" s="5">
        <v>58.904121420487954</v>
      </c>
      <c r="H914" s="6" t="s">
        <v>2082</v>
      </c>
    </row>
    <row r="915" spans="1:8">
      <c r="A915" s="1">
        <v>923</v>
      </c>
      <c r="B915" s="2" t="s">
        <v>2080</v>
      </c>
      <c r="C915" s="3">
        <v>38452</v>
      </c>
      <c r="D915" s="4">
        <f>YEAR(Table1[[#This Row],[Date]])</f>
        <v>2005</v>
      </c>
      <c r="E915" s="2" t="s">
        <v>2088</v>
      </c>
      <c r="F915" s="4">
        <v>27</v>
      </c>
      <c r="G915" s="5">
        <v>82.994094545634482</v>
      </c>
      <c r="H915" s="6" t="s">
        <v>2082</v>
      </c>
    </row>
    <row r="916" spans="1:8">
      <c r="A916" s="1">
        <v>924</v>
      </c>
      <c r="B916" s="2" t="s">
        <v>2087</v>
      </c>
      <c r="C916" s="3">
        <v>38023</v>
      </c>
      <c r="D916" s="4">
        <f>YEAR(Table1[[#This Row],[Date]])</f>
        <v>2004</v>
      </c>
      <c r="E916" s="2" t="s">
        <v>2097</v>
      </c>
      <c r="F916" s="4">
        <v>79</v>
      </c>
      <c r="G916" s="5">
        <v>239.44869651132598</v>
      </c>
      <c r="H916" s="6" t="s">
        <v>2090</v>
      </c>
    </row>
    <row r="917" spans="1:8">
      <c r="A917" s="1">
        <v>925</v>
      </c>
      <c r="B917" s="2" t="s">
        <v>2099</v>
      </c>
      <c r="C917" s="3">
        <v>38727</v>
      </c>
      <c r="D917" s="4">
        <f>YEAR(Table1[[#This Row],[Date]])</f>
        <v>2006</v>
      </c>
      <c r="E917" s="2" t="s">
        <v>2085</v>
      </c>
      <c r="F917" s="4">
        <v>57</v>
      </c>
      <c r="G917" s="5">
        <v>173.32970466821706</v>
      </c>
      <c r="H917" s="6" t="s">
        <v>2082</v>
      </c>
    </row>
    <row r="918" spans="1:8">
      <c r="A918" s="1">
        <v>926</v>
      </c>
      <c r="B918" s="2" t="s">
        <v>2100</v>
      </c>
      <c r="C918" s="3">
        <v>38705</v>
      </c>
      <c r="D918" s="4">
        <f>YEAR(Table1[[#This Row],[Date]])</f>
        <v>2005</v>
      </c>
      <c r="E918" s="2" t="s">
        <v>2081</v>
      </c>
      <c r="F918" s="4">
        <v>47</v>
      </c>
      <c r="G918" s="5">
        <v>143.60165141540284</v>
      </c>
      <c r="H918" s="6" t="s">
        <v>2096</v>
      </c>
    </row>
    <row r="919" spans="1:8">
      <c r="A919" s="1">
        <v>927</v>
      </c>
      <c r="B919" s="2" t="s">
        <v>2100</v>
      </c>
      <c r="C919" s="3">
        <v>38298</v>
      </c>
      <c r="D919" s="4">
        <f>YEAR(Table1[[#This Row],[Date]])</f>
        <v>2004</v>
      </c>
      <c r="E919" s="2" t="s">
        <v>2081</v>
      </c>
      <c r="F919" s="4">
        <v>9</v>
      </c>
      <c r="G919" s="5">
        <v>28.827091013525987</v>
      </c>
      <c r="H919" s="6" t="s">
        <v>2082</v>
      </c>
    </row>
    <row r="920" spans="1:8">
      <c r="A920" s="1">
        <v>928</v>
      </c>
      <c r="B920" s="2" t="s">
        <v>2099</v>
      </c>
      <c r="C920" s="3">
        <v>38683</v>
      </c>
      <c r="D920" s="4">
        <f>YEAR(Table1[[#This Row],[Date]])</f>
        <v>2005</v>
      </c>
      <c r="E920" s="2" t="s">
        <v>2081</v>
      </c>
      <c r="F920" s="4">
        <v>65</v>
      </c>
      <c r="G920" s="5">
        <v>196.85925384860963</v>
      </c>
      <c r="H920" s="6" t="s">
        <v>2086</v>
      </c>
    </row>
    <row r="921" spans="1:8">
      <c r="A921" s="1">
        <v>929</v>
      </c>
      <c r="B921" s="2" t="s">
        <v>2091</v>
      </c>
      <c r="C921" s="3">
        <v>38056</v>
      </c>
      <c r="D921" s="4">
        <f>YEAR(Table1[[#This Row],[Date]])</f>
        <v>2004</v>
      </c>
      <c r="E921" s="2" t="s">
        <v>2085</v>
      </c>
      <c r="F921" s="4">
        <v>58</v>
      </c>
      <c r="G921" s="5">
        <v>175.22266670553387</v>
      </c>
      <c r="H921" s="6" t="s">
        <v>2090</v>
      </c>
    </row>
    <row r="922" spans="1:8">
      <c r="A922" s="1">
        <v>930</v>
      </c>
      <c r="B922" s="2" t="s">
        <v>2100</v>
      </c>
      <c r="C922" s="3">
        <v>38243</v>
      </c>
      <c r="D922" s="4">
        <f>YEAR(Table1[[#This Row],[Date]])</f>
        <v>2004</v>
      </c>
      <c r="E922" s="2" t="s">
        <v>2097</v>
      </c>
      <c r="F922" s="4">
        <v>48</v>
      </c>
      <c r="G922" s="5">
        <v>145.9379301268051</v>
      </c>
      <c r="H922" s="6" t="s">
        <v>2082</v>
      </c>
    </row>
    <row r="923" spans="1:8">
      <c r="A923" s="1">
        <v>931</v>
      </c>
      <c r="B923" s="2" t="s">
        <v>2091</v>
      </c>
      <c r="C923" s="3">
        <v>38639</v>
      </c>
      <c r="D923" s="4">
        <f>YEAR(Table1[[#This Row],[Date]])</f>
        <v>2005</v>
      </c>
      <c r="E923" s="2" t="s">
        <v>2085</v>
      </c>
      <c r="F923" s="4">
        <v>75</v>
      </c>
      <c r="G923" s="5">
        <v>226.61201635446793</v>
      </c>
      <c r="H923" s="6" t="s">
        <v>2096</v>
      </c>
    </row>
    <row r="924" spans="1:8">
      <c r="A924" s="1">
        <v>932</v>
      </c>
      <c r="B924" s="2" t="s">
        <v>2100</v>
      </c>
      <c r="C924" s="3">
        <v>38738</v>
      </c>
      <c r="D924" s="4">
        <f>YEAR(Table1[[#This Row],[Date]])</f>
        <v>2006</v>
      </c>
      <c r="E924" s="2" t="s">
        <v>2085</v>
      </c>
      <c r="F924" s="4">
        <v>59</v>
      </c>
      <c r="G924" s="5">
        <v>179.37483712712185</v>
      </c>
      <c r="H924" s="6" t="s">
        <v>2090</v>
      </c>
    </row>
    <row r="925" spans="1:8">
      <c r="A925" s="1">
        <v>933</v>
      </c>
      <c r="B925" s="2" t="s">
        <v>2099</v>
      </c>
      <c r="C925" s="3">
        <v>38375</v>
      </c>
      <c r="D925" s="4">
        <f>YEAR(Table1[[#This Row],[Date]])</f>
        <v>2005</v>
      </c>
      <c r="E925" s="2" t="s">
        <v>2097</v>
      </c>
      <c r="F925" s="4">
        <v>34</v>
      </c>
      <c r="G925" s="5">
        <v>104.445032643001</v>
      </c>
      <c r="H925" s="6" t="s">
        <v>2086</v>
      </c>
    </row>
    <row r="926" spans="1:8">
      <c r="A926" s="1">
        <v>934</v>
      </c>
      <c r="B926" s="2" t="s">
        <v>2091</v>
      </c>
      <c r="C926" s="3">
        <v>38078</v>
      </c>
      <c r="D926" s="4">
        <f>YEAR(Table1[[#This Row],[Date]])</f>
        <v>2004</v>
      </c>
      <c r="E926" s="2" t="s">
        <v>2088</v>
      </c>
      <c r="F926" s="4">
        <v>57</v>
      </c>
      <c r="G926" s="5">
        <v>173.06756590039018</v>
      </c>
      <c r="H926" s="6" t="s">
        <v>2096</v>
      </c>
    </row>
    <row r="927" spans="1:8">
      <c r="A927" s="1">
        <v>935</v>
      </c>
      <c r="B927" s="2" t="s">
        <v>2098</v>
      </c>
      <c r="C927" s="3">
        <v>38804</v>
      </c>
      <c r="D927" s="4">
        <f>YEAR(Table1[[#This Row],[Date]])</f>
        <v>2006</v>
      </c>
      <c r="E927" s="2" t="s">
        <v>2081</v>
      </c>
      <c r="F927" s="4">
        <v>62</v>
      </c>
      <c r="G927" s="5">
        <v>187.88584432496489</v>
      </c>
      <c r="H927" s="6" t="s">
        <v>2082</v>
      </c>
    </row>
    <row r="928" spans="1:8">
      <c r="A928" s="1">
        <v>936</v>
      </c>
      <c r="B928" s="2" t="s">
        <v>2095</v>
      </c>
      <c r="C928" s="3">
        <v>38903</v>
      </c>
      <c r="D928" s="4">
        <f>YEAR(Table1[[#This Row],[Date]])</f>
        <v>2006</v>
      </c>
      <c r="E928" s="2" t="s">
        <v>2088</v>
      </c>
      <c r="F928" s="4">
        <v>17</v>
      </c>
      <c r="G928" s="5">
        <v>53.048677008733435</v>
      </c>
      <c r="H928" s="6" t="s">
        <v>2082</v>
      </c>
    </row>
    <row r="929" spans="1:8">
      <c r="A929" s="1">
        <v>937</v>
      </c>
      <c r="B929" s="2" t="s">
        <v>2087</v>
      </c>
      <c r="C929" s="3">
        <v>38562</v>
      </c>
      <c r="D929" s="4">
        <f>YEAR(Table1[[#This Row],[Date]])</f>
        <v>2005</v>
      </c>
      <c r="E929" s="2" t="s">
        <v>2085</v>
      </c>
      <c r="F929" s="4">
        <v>83</v>
      </c>
      <c r="G929" s="5">
        <v>250.82439492521385</v>
      </c>
      <c r="H929" s="6" t="s">
        <v>2090</v>
      </c>
    </row>
    <row r="930" spans="1:8">
      <c r="A930" s="1">
        <v>938</v>
      </c>
      <c r="B930" s="2" t="s">
        <v>2087</v>
      </c>
      <c r="C930" s="3">
        <v>38188</v>
      </c>
      <c r="D930" s="4">
        <f>YEAR(Table1[[#This Row],[Date]])</f>
        <v>2004</v>
      </c>
      <c r="E930" s="2" t="s">
        <v>2081</v>
      </c>
      <c r="F930" s="4">
        <v>56</v>
      </c>
      <c r="G930" s="5">
        <v>169.84037281505195</v>
      </c>
      <c r="H930" s="6" t="s">
        <v>2096</v>
      </c>
    </row>
    <row r="931" spans="1:8">
      <c r="A931" s="1">
        <v>939</v>
      </c>
      <c r="B931" s="2" t="s">
        <v>2084</v>
      </c>
      <c r="C931" s="3">
        <v>38045</v>
      </c>
      <c r="D931" s="4">
        <f>YEAR(Table1[[#This Row],[Date]])</f>
        <v>2004</v>
      </c>
      <c r="E931" s="2" t="s">
        <v>2081</v>
      </c>
      <c r="F931" s="4">
        <v>14</v>
      </c>
      <c r="G931" s="5">
        <v>44.194328055358937</v>
      </c>
      <c r="H931" s="6" t="s">
        <v>2090</v>
      </c>
    </row>
    <row r="932" spans="1:8">
      <c r="A932" s="1">
        <v>940</v>
      </c>
      <c r="B932" s="2" t="s">
        <v>2093</v>
      </c>
      <c r="C932" s="3">
        <v>38353</v>
      </c>
      <c r="D932" s="4">
        <f>YEAR(Table1[[#This Row],[Date]])</f>
        <v>2005</v>
      </c>
      <c r="E932" s="2" t="s">
        <v>2088</v>
      </c>
      <c r="F932" s="4">
        <v>9</v>
      </c>
      <c r="G932" s="5">
        <v>24.562782237120555</v>
      </c>
      <c r="H932" s="6" t="s">
        <v>2090</v>
      </c>
    </row>
    <row r="933" spans="1:8">
      <c r="A933" s="1">
        <v>941</v>
      </c>
      <c r="B933" s="2" t="s">
        <v>2080</v>
      </c>
      <c r="C933" s="3">
        <v>38551</v>
      </c>
      <c r="D933" s="4">
        <f>YEAR(Table1[[#This Row],[Date]])</f>
        <v>2005</v>
      </c>
      <c r="E933" s="2" t="s">
        <v>2085</v>
      </c>
      <c r="F933" s="4">
        <v>44</v>
      </c>
      <c r="G933" s="5">
        <v>134.50349016705422</v>
      </c>
      <c r="H933" s="6" t="s">
        <v>2082</v>
      </c>
    </row>
    <row r="934" spans="1:8">
      <c r="A934" s="1">
        <v>942</v>
      </c>
      <c r="B934" s="2" t="s">
        <v>2091</v>
      </c>
      <c r="C934" s="3">
        <v>38023</v>
      </c>
      <c r="D934" s="4">
        <f>YEAR(Table1[[#This Row],[Date]])</f>
        <v>2004</v>
      </c>
      <c r="E934" s="2" t="s">
        <v>2094</v>
      </c>
      <c r="F934" s="4">
        <v>32</v>
      </c>
      <c r="G934" s="5">
        <v>97.6497815079464</v>
      </c>
      <c r="H934" s="6" t="s">
        <v>2096</v>
      </c>
    </row>
    <row r="935" spans="1:8">
      <c r="A935" s="1">
        <v>943</v>
      </c>
      <c r="B935" s="2" t="s">
        <v>2099</v>
      </c>
      <c r="C935" s="3">
        <v>38364</v>
      </c>
      <c r="D935" s="4">
        <f>YEAR(Table1[[#This Row],[Date]])</f>
        <v>2005</v>
      </c>
      <c r="E935" s="2" t="s">
        <v>2094</v>
      </c>
      <c r="F935" s="4">
        <v>85</v>
      </c>
      <c r="G935" s="5">
        <v>256.97037064610868</v>
      </c>
      <c r="H935" s="6" t="s">
        <v>2096</v>
      </c>
    </row>
    <row r="936" spans="1:8">
      <c r="A936" s="1">
        <v>944</v>
      </c>
      <c r="B936" s="2" t="s">
        <v>2080</v>
      </c>
      <c r="C936" s="3">
        <v>38254</v>
      </c>
      <c r="D936" s="4">
        <f>YEAR(Table1[[#This Row],[Date]])</f>
        <v>2004</v>
      </c>
      <c r="E936" s="2" t="s">
        <v>2081</v>
      </c>
      <c r="F936" s="4">
        <v>2</v>
      </c>
      <c r="G936" s="5">
        <v>3.7233562380367276</v>
      </c>
      <c r="H936" s="6" t="s">
        <v>2090</v>
      </c>
    </row>
    <row r="937" spans="1:8">
      <c r="A937" s="1">
        <v>945</v>
      </c>
      <c r="B937" s="2" t="s">
        <v>2098</v>
      </c>
      <c r="C937" s="3">
        <v>38386</v>
      </c>
      <c r="D937" s="4">
        <f>YEAR(Table1[[#This Row],[Date]])</f>
        <v>2005</v>
      </c>
      <c r="E937" s="2" t="s">
        <v>2088</v>
      </c>
      <c r="F937" s="4">
        <v>31</v>
      </c>
      <c r="G937" s="5">
        <v>94.439645321373334</v>
      </c>
      <c r="H937" s="6" t="s">
        <v>2082</v>
      </c>
    </row>
    <row r="938" spans="1:8">
      <c r="A938" s="1">
        <v>946</v>
      </c>
      <c r="B938" s="2" t="s">
        <v>2100</v>
      </c>
      <c r="C938" s="3">
        <v>38221</v>
      </c>
      <c r="D938" s="4">
        <f>YEAR(Table1[[#This Row],[Date]])</f>
        <v>2004</v>
      </c>
      <c r="E938" s="2" t="s">
        <v>2094</v>
      </c>
      <c r="F938" s="4">
        <v>7</v>
      </c>
      <c r="G938" s="5">
        <v>19.822062355825821</v>
      </c>
      <c r="H938" s="6" t="s">
        <v>2082</v>
      </c>
    </row>
    <row r="939" spans="1:8">
      <c r="A939" s="1">
        <v>947</v>
      </c>
      <c r="B939" s="2" t="s">
        <v>2093</v>
      </c>
      <c r="C939" s="3">
        <v>38012</v>
      </c>
      <c r="D939" s="4">
        <f>YEAR(Table1[[#This Row],[Date]])</f>
        <v>2004</v>
      </c>
      <c r="E939" s="2" t="s">
        <v>2088</v>
      </c>
      <c r="F939" s="4">
        <v>1</v>
      </c>
      <c r="G939" s="5">
        <v>0.28735784707427747</v>
      </c>
      <c r="H939" s="6" t="s">
        <v>2086</v>
      </c>
    </row>
    <row r="940" spans="1:8">
      <c r="A940" s="1">
        <v>948</v>
      </c>
      <c r="B940" s="2" t="s">
        <v>2087</v>
      </c>
      <c r="C940" s="3">
        <v>39046</v>
      </c>
      <c r="D940" s="4">
        <f>YEAR(Table1[[#This Row],[Date]])</f>
        <v>2006</v>
      </c>
      <c r="E940" s="2" t="s">
        <v>2081</v>
      </c>
      <c r="F940" s="4">
        <v>6</v>
      </c>
      <c r="G940" s="5">
        <v>20.397135812092845</v>
      </c>
      <c r="H940" s="6" t="s">
        <v>2096</v>
      </c>
    </row>
    <row r="941" spans="1:8">
      <c r="A941" s="1">
        <v>949</v>
      </c>
      <c r="B941" s="2" t="s">
        <v>2095</v>
      </c>
      <c r="C941" s="3">
        <v>38144</v>
      </c>
      <c r="D941" s="4">
        <f>YEAR(Table1[[#This Row],[Date]])</f>
        <v>2004</v>
      </c>
      <c r="E941" s="2" t="s">
        <v>2085</v>
      </c>
      <c r="F941" s="4">
        <v>13</v>
      </c>
      <c r="G941" s="5">
        <v>41.830169969209855</v>
      </c>
      <c r="H941" s="6" t="s">
        <v>2090</v>
      </c>
    </row>
    <row r="942" spans="1:8">
      <c r="A942" s="1">
        <v>950</v>
      </c>
      <c r="B942" s="2" t="s">
        <v>2087</v>
      </c>
      <c r="C942" s="3">
        <v>38287</v>
      </c>
      <c r="D942" s="4">
        <f>YEAR(Table1[[#This Row],[Date]])</f>
        <v>2004</v>
      </c>
      <c r="E942" s="2" t="s">
        <v>2081</v>
      </c>
      <c r="F942" s="4">
        <v>70</v>
      </c>
      <c r="G942" s="5">
        <v>212.45510789670757</v>
      </c>
      <c r="H942" s="6" t="s">
        <v>2082</v>
      </c>
    </row>
    <row r="943" spans="1:8">
      <c r="A943" s="1">
        <v>951</v>
      </c>
      <c r="B943" s="2" t="s">
        <v>2093</v>
      </c>
      <c r="C943" s="3">
        <v>38155</v>
      </c>
      <c r="D943" s="4">
        <f>YEAR(Table1[[#This Row],[Date]])</f>
        <v>2004</v>
      </c>
      <c r="E943" s="2" t="s">
        <v>2085</v>
      </c>
      <c r="F943" s="4">
        <v>15</v>
      </c>
      <c r="G943" s="5">
        <v>47.749438891041251</v>
      </c>
      <c r="H943" s="6" t="s">
        <v>2090</v>
      </c>
    </row>
    <row r="944" spans="1:8">
      <c r="A944" s="1">
        <v>952</v>
      </c>
      <c r="B944" s="2" t="s">
        <v>2095</v>
      </c>
      <c r="C944" s="3">
        <v>38826</v>
      </c>
      <c r="D944" s="4">
        <f>YEAR(Table1[[#This Row],[Date]])</f>
        <v>2006</v>
      </c>
      <c r="E944" s="2" t="s">
        <v>2097</v>
      </c>
      <c r="F944" s="4">
        <v>18</v>
      </c>
      <c r="G944" s="5">
        <v>56.257832632332345</v>
      </c>
      <c r="H944" s="6" t="s">
        <v>2082</v>
      </c>
    </row>
    <row r="945" spans="1:8">
      <c r="A945" s="1">
        <v>953</v>
      </c>
      <c r="B945" s="2" t="s">
        <v>2095</v>
      </c>
      <c r="C945" s="3">
        <v>38771</v>
      </c>
      <c r="D945" s="4">
        <f>YEAR(Table1[[#This Row],[Date]])</f>
        <v>2006</v>
      </c>
      <c r="E945" s="2" t="s">
        <v>2094</v>
      </c>
      <c r="F945" s="4">
        <v>30</v>
      </c>
      <c r="G945" s="5">
        <v>92.196479665554932</v>
      </c>
      <c r="H945" s="6" t="s">
        <v>2082</v>
      </c>
    </row>
    <row r="946" spans="1:8">
      <c r="A946" s="1">
        <v>954</v>
      </c>
      <c r="B946" s="2" t="s">
        <v>2091</v>
      </c>
      <c r="C946" s="3">
        <v>39024</v>
      </c>
      <c r="D946" s="4">
        <f>YEAR(Table1[[#This Row],[Date]])</f>
        <v>2006</v>
      </c>
      <c r="E946" s="2" t="s">
        <v>2097</v>
      </c>
      <c r="F946" s="4">
        <v>17</v>
      </c>
      <c r="G946" s="5">
        <v>53.067953295003726</v>
      </c>
      <c r="H946" s="6" t="s">
        <v>2096</v>
      </c>
    </row>
    <row r="947" spans="1:8">
      <c r="A947" s="1">
        <v>955</v>
      </c>
      <c r="B947" s="2" t="s">
        <v>2091</v>
      </c>
      <c r="C947" s="3">
        <v>38364</v>
      </c>
      <c r="D947" s="4">
        <f>YEAR(Table1[[#This Row],[Date]])</f>
        <v>2005</v>
      </c>
      <c r="E947" s="2" t="s">
        <v>2094</v>
      </c>
      <c r="F947" s="4">
        <v>1</v>
      </c>
      <c r="G947" s="5">
        <v>1.4540693559294799</v>
      </c>
      <c r="H947" s="6" t="s">
        <v>2086</v>
      </c>
    </row>
    <row r="948" spans="1:8">
      <c r="A948" s="1">
        <v>956</v>
      </c>
      <c r="B948" s="2" t="s">
        <v>2099</v>
      </c>
      <c r="C948" s="3">
        <v>38430</v>
      </c>
      <c r="D948" s="4">
        <f>YEAR(Table1[[#This Row],[Date]])</f>
        <v>2005</v>
      </c>
      <c r="E948" s="2" t="s">
        <v>2085</v>
      </c>
      <c r="F948" s="4">
        <v>50</v>
      </c>
      <c r="G948" s="5">
        <v>152.31719787311525</v>
      </c>
      <c r="H948" s="6" t="s">
        <v>2082</v>
      </c>
    </row>
    <row r="949" spans="1:8">
      <c r="A949" s="1">
        <v>957</v>
      </c>
      <c r="B949" s="2" t="s">
        <v>2087</v>
      </c>
      <c r="C949" s="3">
        <v>38716</v>
      </c>
      <c r="D949" s="4">
        <f>YEAR(Table1[[#This Row],[Date]])</f>
        <v>2005</v>
      </c>
      <c r="E949" s="2" t="s">
        <v>2081</v>
      </c>
      <c r="F949" s="4">
        <v>83</v>
      </c>
      <c r="G949" s="5">
        <v>251.0948967308864</v>
      </c>
      <c r="H949" s="6" t="s">
        <v>2096</v>
      </c>
    </row>
    <row r="950" spans="1:8">
      <c r="A950" s="1">
        <v>958</v>
      </c>
      <c r="B950" s="2" t="s">
        <v>2098</v>
      </c>
      <c r="C950" s="3">
        <v>38111</v>
      </c>
      <c r="D950" s="4">
        <f>YEAR(Table1[[#This Row],[Date]])</f>
        <v>2004</v>
      </c>
      <c r="E950" s="2" t="s">
        <v>2097</v>
      </c>
      <c r="F950" s="4">
        <v>54</v>
      </c>
      <c r="G950" s="5">
        <v>164.08170340636366</v>
      </c>
      <c r="H950" s="6" t="s">
        <v>2086</v>
      </c>
    </row>
    <row r="951" spans="1:8">
      <c r="A951" s="1">
        <v>959</v>
      </c>
      <c r="B951" s="2" t="s">
        <v>2087</v>
      </c>
      <c r="C951" s="3">
        <v>38463</v>
      </c>
      <c r="D951" s="4">
        <f>YEAR(Table1[[#This Row],[Date]])</f>
        <v>2005</v>
      </c>
      <c r="E951" s="2" t="s">
        <v>2081</v>
      </c>
      <c r="F951" s="4">
        <v>16</v>
      </c>
      <c r="G951" s="5">
        <v>49.968087631431565</v>
      </c>
      <c r="H951" s="6" t="s">
        <v>2082</v>
      </c>
    </row>
    <row r="952" spans="1:8">
      <c r="A952" s="1">
        <v>960</v>
      </c>
      <c r="B952" s="2" t="s">
        <v>2098</v>
      </c>
      <c r="C952" s="3">
        <v>38980</v>
      </c>
      <c r="D952" s="4">
        <f>YEAR(Table1[[#This Row],[Date]])</f>
        <v>2006</v>
      </c>
      <c r="E952" s="2" t="s">
        <v>2081</v>
      </c>
      <c r="F952" s="4">
        <v>53</v>
      </c>
      <c r="G952" s="5">
        <v>160.95914621811275</v>
      </c>
      <c r="H952" s="6" t="s">
        <v>2096</v>
      </c>
    </row>
    <row r="953" spans="1:8">
      <c r="A953" s="1">
        <v>961</v>
      </c>
      <c r="B953" s="2" t="s">
        <v>2095</v>
      </c>
      <c r="C953" s="3">
        <v>38727</v>
      </c>
      <c r="D953" s="4">
        <f>YEAR(Table1[[#This Row],[Date]])</f>
        <v>2006</v>
      </c>
      <c r="E953" s="2" t="s">
        <v>2094</v>
      </c>
      <c r="F953" s="4">
        <v>95</v>
      </c>
      <c r="G953" s="5">
        <v>286.71922939024518</v>
      </c>
      <c r="H953" s="6" t="s">
        <v>2090</v>
      </c>
    </row>
    <row r="954" spans="1:8">
      <c r="A954" s="1">
        <v>962</v>
      </c>
      <c r="B954" s="2" t="s">
        <v>2087</v>
      </c>
      <c r="C954" s="3">
        <v>37990</v>
      </c>
      <c r="D954" s="4">
        <f>YEAR(Table1[[#This Row],[Date]])</f>
        <v>2004</v>
      </c>
      <c r="E954" s="2" t="s">
        <v>2097</v>
      </c>
      <c r="F954" s="4">
        <v>74</v>
      </c>
      <c r="G954" s="5">
        <v>224.1344883418044</v>
      </c>
      <c r="H954" s="6" t="s">
        <v>2082</v>
      </c>
    </row>
    <row r="955" spans="1:8">
      <c r="A955" s="1">
        <v>963</v>
      </c>
      <c r="B955" s="2" t="s">
        <v>2093</v>
      </c>
      <c r="C955" s="3">
        <v>38584</v>
      </c>
      <c r="D955" s="4">
        <f>YEAR(Table1[[#This Row],[Date]])</f>
        <v>2005</v>
      </c>
      <c r="E955" s="2" t="s">
        <v>2097</v>
      </c>
      <c r="F955" s="4">
        <v>11</v>
      </c>
      <c r="G955" s="5">
        <v>35.126507167926178</v>
      </c>
      <c r="H955" s="6" t="s">
        <v>2086</v>
      </c>
    </row>
    <row r="956" spans="1:8">
      <c r="A956" s="1">
        <v>964</v>
      </c>
      <c r="B956" s="2" t="s">
        <v>2084</v>
      </c>
      <c r="C956" s="3">
        <v>38980</v>
      </c>
      <c r="D956" s="4">
        <f>YEAR(Table1[[#This Row],[Date]])</f>
        <v>2006</v>
      </c>
      <c r="E956" s="2" t="s">
        <v>2085</v>
      </c>
      <c r="F956" s="4">
        <v>63</v>
      </c>
      <c r="G956" s="5">
        <v>191.00092010309442</v>
      </c>
      <c r="H956" s="6" t="s">
        <v>2090</v>
      </c>
    </row>
    <row r="957" spans="1:8">
      <c r="A957" s="1">
        <v>965</v>
      </c>
      <c r="B957" s="2" t="s">
        <v>2080</v>
      </c>
      <c r="C957" s="3">
        <v>38595</v>
      </c>
      <c r="D957" s="4">
        <f>YEAR(Table1[[#This Row],[Date]])</f>
        <v>2005</v>
      </c>
      <c r="E957" s="2" t="s">
        <v>2094</v>
      </c>
      <c r="F957" s="4">
        <v>53</v>
      </c>
      <c r="G957" s="5">
        <v>161.23768017364921</v>
      </c>
      <c r="H957" s="6" t="s">
        <v>2096</v>
      </c>
    </row>
    <row r="958" spans="1:8">
      <c r="A958" s="1">
        <v>966</v>
      </c>
      <c r="B958" s="2" t="s">
        <v>2091</v>
      </c>
      <c r="C958" s="3">
        <v>38925</v>
      </c>
      <c r="D958" s="4">
        <f>YEAR(Table1[[#This Row],[Date]])</f>
        <v>2006</v>
      </c>
      <c r="E958" s="2" t="s">
        <v>2081</v>
      </c>
      <c r="F958" s="4">
        <v>1</v>
      </c>
      <c r="G958" s="5">
        <v>5.2816840348822387</v>
      </c>
      <c r="H958" s="6" t="s">
        <v>2082</v>
      </c>
    </row>
    <row r="959" spans="1:8">
      <c r="A959" s="1">
        <v>967</v>
      </c>
      <c r="B959" s="2" t="s">
        <v>2095</v>
      </c>
      <c r="C959" s="3">
        <v>38309</v>
      </c>
      <c r="D959" s="4">
        <f>YEAR(Table1[[#This Row],[Date]])</f>
        <v>2004</v>
      </c>
      <c r="E959" s="2" t="s">
        <v>2085</v>
      </c>
      <c r="F959" s="4">
        <v>24</v>
      </c>
      <c r="G959" s="5">
        <v>74.30729541001925</v>
      </c>
      <c r="H959" s="6" t="s">
        <v>2086</v>
      </c>
    </row>
    <row r="960" spans="1:8">
      <c r="A960" s="1">
        <v>968</v>
      </c>
      <c r="B960" s="2" t="s">
        <v>2091</v>
      </c>
      <c r="C960" s="3">
        <v>38815</v>
      </c>
      <c r="D960" s="4">
        <f>YEAR(Table1[[#This Row],[Date]])</f>
        <v>2006</v>
      </c>
      <c r="E960" s="2" t="s">
        <v>2088</v>
      </c>
      <c r="F960" s="4">
        <v>5</v>
      </c>
      <c r="G960" s="5">
        <v>16.422750032809695</v>
      </c>
      <c r="H960" s="6" t="s">
        <v>2090</v>
      </c>
    </row>
    <row r="961" spans="1:8">
      <c r="A961" s="1">
        <v>969</v>
      </c>
      <c r="B961" s="2" t="s">
        <v>2080</v>
      </c>
      <c r="C961" s="3">
        <v>38408</v>
      </c>
      <c r="D961" s="4">
        <f>YEAR(Table1[[#This Row],[Date]])</f>
        <v>2005</v>
      </c>
      <c r="E961" s="2" t="s">
        <v>2081</v>
      </c>
      <c r="F961" s="4">
        <v>35</v>
      </c>
      <c r="G961" s="5">
        <v>107.34237990295979</v>
      </c>
      <c r="H961" s="6" t="s">
        <v>2096</v>
      </c>
    </row>
    <row r="962" spans="1:8">
      <c r="A962" s="1">
        <v>970</v>
      </c>
      <c r="B962" s="2" t="s">
        <v>2080</v>
      </c>
      <c r="C962" s="3">
        <v>38859</v>
      </c>
      <c r="D962" s="4">
        <f>YEAR(Table1[[#This Row],[Date]])</f>
        <v>2006</v>
      </c>
      <c r="E962" s="2" t="s">
        <v>2094</v>
      </c>
      <c r="F962" s="4">
        <v>33</v>
      </c>
      <c r="G962" s="5">
        <v>100.6187200673516</v>
      </c>
      <c r="H962" s="6" t="s">
        <v>2082</v>
      </c>
    </row>
    <row r="963" spans="1:8">
      <c r="A963" s="1">
        <v>971</v>
      </c>
      <c r="B963" s="2" t="s">
        <v>2098</v>
      </c>
      <c r="C963" s="3">
        <v>38749</v>
      </c>
      <c r="D963" s="4">
        <f>YEAR(Table1[[#This Row],[Date]])</f>
        <v>2006</v>
      </c>
      <c r="E963" s="2" t="s">
        <v>2097</v>
      </c>
      <c r="F963" s="4">
        <v>65</v>
      </c>
      <c r="G963" s="5">
        <v>196.63630077143569</v>
      </c>
      <c r="H963" s="6" t="s">
        <v>2082</v>
      </c>
    </row>
    <row r="964" spans="1:8">
      <c r="A964" s="1">
        <v>972</v>
      </c>
      <c r="B964" s="2" t="s">
        <v>2100</v>
      </c>
      <c r="C964" s="3">
        <v>38760</v>
      </c>
      <c r="D964" s="4">
        <f>YEAR(Table1[[#This Row],[Date]])</f>
        <v>2006</v>
      </c>
      <c r="E964" s="2" t="s">
        <v>2097</v>
      </c>
      <c r="F964" s="4">
        <v>52</v>
      </c>
      <c r="G964" s="5">
        <v>158.33506008490392</v>
      </c>
      <c r="H964" s="6" t="s">
        <v>2096</v>
      </c>
    </row>
    <row r="965" spans="1:8">
      <c r="A965" s="1">
        <v>973</v>
      </c>
      <c r="B965" s="2" t="s">
        <v>2100</v>
      </c>
      <c r="C965" s="3">
        <v>38947</v>
      </c>
      <c r="D965" s="4">
        <f>YEAR(Table1[[#This Row],[Date]])</f>
        <v>2006</v>
      </c>
      <c r="E965" s="2" t="s">
        <v>2097</v>
      </c>
      <c r="F965" s="4">
        <v>44</v>
      </c>
      <c r="G965" s="5">
        <v>133.42498328468113</v>
      </c>
      <c r="H965" s="6" t="s">
        <v>2096</v>
      </c>
    </row>
    <row r="966" spans="1:8">
      <c r="A966" s="1">
        <v>974</v>
      </c>
      <c r="B966" s="2" t="s">
        <v>2087</v>
      </c>
      <c r="C966" s="3">
        <v>39002</v>
      </c>
      <c r="D966" s="4">
        <f>YEAR(Table1[[#This Row],[Date]])</f>
        <v>2006</v>
      </c>
      <c r="E966" s="2" t="s">
        <v>2088</v>
      </c>
      <c r="F966" s="4">
        <v>72</v>
      </c>
      <c r="G966" s="5">
        <v>218.057153790916</v>
      </c>
      <c r="H966" s="6" t="s">
        <v>2096</v>
      </c>
    </row>
    <row r="967" spans="1:8">
      <c r="A967" s="1">
        <v>975</v>
      </c>
      <c r="B967" s="2" t="s">
        <v>2098</v>
      </c>
      <c r="C967" s="3">
        <v>38243</v>
      </c>
      <c r="D967" s="4">
        <f>YEAR(Table1[[#This Row],[Date]])</f>
        <v>2004</v>
      </c>
      <c r="E967" s="2" t="s">
        <v>2097</v>
      </c>
      <c r="F967" s="4">
        <v>13</v>
      </c>
      <c r="G967" s="5">
        <v>41.138712352864658</v>
      </c>
      <c r="H967" s="6" t="s">
        <v>2096</v>
      </c>
    </row>
    <row r="968" spans="1:8">
      <c r="A968" s="1">
        <v>976</v>
      </c>
      <c r="B968" s="2" t="s">
        <v>2091</v>
      </c>
      <c r="C968" s="3">
        <v>38969</v>
      </c>
      <c r="D968" s="4">
        <f>YEAR(Table1[[#This Row],[Date]])</f>
        <v>2006</v>
      </c>
      <c r="E968" s="2" t="s">
        <v>2085</v>
      </c>
      <c r="F968" s="4">
        <v>16</v>
      </c>
      <c r="G968" s="5">
        <v>50.15918619514666</v>
      </c>
      <c r="H968" s="6" t="s">
        <v>2082</v>
      </c>
    </row>
    <row r="969" spans="1:8">
      <c r="A969" s="1">
        <v>977</v>
      </c>
      <c r="B969" s="2" t="s">
        <v>2100</v>
      </c>
      <c r="C969" s="3">
        <v>38760</v>
      </c>
      <c r="D969" s="4">
        <f>YEAR(Table1[[#This Row],[Date]])</f>
        <v>2006</v>
      </c>
      <c r="E969" s="2" t="s">
        <v>2085</v>
      </c>
      <c r="F969" s="4">
        <v>19</v>
      </c>
      <c r="G969" s="5">
        <v>59.265314003350476</v>
      </c>
      <c r="H969" s="6" t="s">
        <v>2090</v>
      </c>
    </row>
    <row r="970" spans="1:8">
      <c r="A970" s="1">
        <v>978</v>
      </c>
      <c r="B970" s="2" t="s">
        <v>2091</v>
      </c>
      <c r="C970" s="3">
        <v>38485</v>
      </c>
      <c r="D970" s="4">
        <f>YEAR(Table1[[#This Row],[Date]])</f>
        <v>2005</v>
      </c>
      <c r="E970" s="2" t="s">
        <v>2097</v>
      </c>
      <c r="F970" s="4">
        <v>67</v>
      </c>
      <c r="G970" s="5">
        <v>203.43497713652508</v>
      </c>
      <c r="H970" s="6" t="s">
        <v>2090</v>
      </c>
    </row>
    <row r="971" spans="1:8">
      <c r="A971" s="1">
        <v>979</v>
      </c>
      <c r="B971" s="2" t="s">
        <v>2098</v>
      </c>
      <c r="C971" s="3">
        <v>38760</v>
      </c>
      <c r="D971" s="4">
        <f>YEAR(Table1[[#This Row],[Date]])</f>
        <v>2006</v>
      </c>
      <c r="E971" s="2" t="s">
        <v>2081</v>
      </c>
      <c r="F971" s="4">
        <v>2</v>
      </c>
      <c r="G971" s="5">
        <v>8.3122868755040553</v>
      </c>
      <c r="H971" s="6" t="s">
        <v>2086</v>
      </c>
    </row>
    <row r="972" spans="1:8">
      <c r="A972" s="1">
        <v>980</v>
      </c>
      <c r="B972" s="2" t="s">
        <v>2091</v>
      </c>
      <c r="C972" s="3">
        <v>38870</v>
      </c>
      <c r="D972" s="4">
        <f>YEAR(Table1[[#This Row],[Date]])</f>
        <v>2006</v>
      </c>
      <c r="E972" s="2" t="s">
        <v>2097</v>
      </c>
      <c r="F972" s="4">
        <v>28</v>
      </c>
      <c r="G972" s="5">
        <v>85.787320991735939</v>
      </c>
      <c r="H972" s="6" t="s">
        <v>2082</v>
      </c>
    </row>
    <row r="973" spans="1:8">
      <c r="A973" s="1">
        <v>981</v>
      </c>
      <c r="B973" s="2" t="s">
        <v>2093</v>
      </c>
      <c r="C973" s="3">
        <v>38584</v>
      </c>
      <c r="D973" s="4">
        <f>YEAR(Table1[[#This Row],[Date]])</f>
        <v>2005</v>
      </c>
      <c r="E973" s="2" t="s">
        <v>2085</v>
      </c>
      <c r="F973" s="4">
        <v>6</v>
      </c>
      <c r="G973" s="5">
        <v>15.854559071603056</v>
      </c>
      <c r="H973" s="6" t="s">
        <v>2086</v>
      </c>
    </row>
    <row r="974" spans="1:8">
      <c r="A974" s="1">
        <v>982</v>
      </c>
      <c r="B974" s="2" t="s">
        <v>2087</v>
      </c>
      <c r="C974" s="3">
        <v>38441</v>
      </c>
      <c r="D974" s="4">
        <f>YEAR(Table1[[#This Row],[Date]])</f>
        <v>2005</v>
      </c>
      <c r="E974" s="2" t="s">
        <v>2097</v>
      </c>
      <c r="F974" s="4">
        <v>70</v>
      </c>
      <c r="G974" s="5">
        <v>212.03178089307775</v>
      </c>
      <c r="H974" s="6" t="s">
        <v>2086</v>
      </c>
    </row>
    <row r="975" spans="1:8">
      <c r="A975" s="1">
        <v>983</v>
      </c>
      <c r="B975" s="2" t="s">
        <v>2084</v>
      </c>
      <c r="C975" s="3">
        <v>38771</v>
      </c>
      <c r="D975" s="4">
        <f>YEAR(Table1[[#This Row],[Date]])</f>
        <v>2006</v>
      </c>
      <c r="E975" s="2" t="s">
        <v>2081</v>
      </c>
      <c r="F975" s="4">
        <v>65</v>
      </c>
      <c r="G975" s="5">
        <v>197.18663086835969</v>
      </c>
      <c r="H975" s="6" t="s">
        <v>2082</v>
      </c>
    </row>
    <row r="976" spans="1:8">
      <c r="A976" s="1">
        <v>984</v>
      </c>
      <c r="B976" s="2" t="s">
        <v>2098</v>
      </c>
      <c r="C976" s="3">
        <v>39079</v>
      </c>
      <c r="D976" s="4">
        <f>YEAR(Table1[[#This Row],[Date]])</f>
        <v>2006</v>
      </c>
      <c r="E976" s="2" t="s">
        <v>2085</v>
      </c>
      <c r="F976" s="4">
        <v>39</v>
      </c>
      <c r="G976" s="5">
        <v>119.05118285965317</v>
      </c>
      <c r="H976" s="6" t="s">
        <v>2096</v>
      </c>
    </row>
    <row r="977" spans="1:8">
      <c r="A977" s="1">
        <v>985</v>
      </c>
      <c r="B977" s="2" t="s">
        <v>2084</v>
      </c>
      <c r="C977" s="3">
        <v>38958</v>
      </c>
      <c r="D977" s="4">
        <f>YEAR(Table1[[#This Row],[Date]])</f>
        <v>2006</v>
      </c>
      <c r="E977" s="2" t="s">
        <v>2085</v>
      </c>
      <c r="F977" s="4">
        <v>72</v>
      </c>
      <c r="G977" s="5">
        <v>218.19229267045282</v>
      </c>
      <c r="H977" s="6" t="s">
        <v>2090</v>
      </c>
    </row>
    <row r="978" spans="1:8">
      <c r="A978" s="1">
        <v>986</v>
      </c>
      <c r="B978" s="2" t="s">
        <v>2080</v>
      </c>
      <c r="C978" s="3">
        <v>38474</v>
      </c>
      <c r="D978" s="4">
        <f>YEAR(Table1[[#This Row],[Date]])</f>
        <v>2005</v>
      </c>
      <c r="E978" s="2" t="s">
        <v>2088</v>
      </c>
      <c r="F978" s="4">
        <v>47</v>
      </c>
      <c r="G978" s="5">
        <v>142.53694145811323</v>
      </c>
      <c r="H978" s="6" t="s">
        <v>2090</v>
      </c>
    </row>
    <row r="979" spans="1:8">
      <c r="A979" s="1">
        <v>987</v>
      </c>
      <c r="B979" s="2" t="s">
        <v>2098</v>
      </c>
      <c r="C979" s="3">
        <v>38848</v>
      </c>
      <c r="D979" s="4">
        <f>YEAR(Table1[[#This Row],[Date]])</f>
        <v>2006</v>
      </c>
      <c r="E979" s="2" t="s">
        <v>2081</v>
      </c>
      <c r="F979" s="4">
        <v>94</v>
      </c>
      <c r="G979" s="5">
        <v>283.57943523104291</v>
      </c>
      <c r="H979" s="6" t="s">
        <v>2096</v>
      </c>
    </row>
    <row r="980" spans="1:8">
      <c r="A980" s="1">
        <v>988</v>
      </c>
      <c r="B980" s="2" t="s">
        <v>2080</v>
      </c>
      <c r="C980" s="3">
        <v>38485</v>
      </c>
      <c r="D980" s="4">
        <f>YEAR(Table1[[#This Row],[Date]])</f>
        <v>2005</v>
      </c>
      <c r="E980" s="2" t="s">
        <v>2081</v>
      </c>
      <c r="F980" s="4">
        <v>58</v>
      </c>
      <c r="G980" s="5">
        <v>175.8230061159172</v>
      </c>
      <c r="H980" s="6" t="s">
        <v>2090</v>
      </c>
    </row>
    <row r="981" spans="1:8">
      <c r="A981" s="1">
        <v>989</v>
      </c>
      <c r="B981" s="2" t="s">
        <v>2099</v>
      </c>
      <c r="C981" s="3">
        <v>38122</v>
      </c>
      <c r="D981" s="4">
        <f>YEAR(Table1[[#This Row],[Date]])</f>
        <v>2004</v>
      </c>
      <c r="E981" s="2" t="s">
        <v>2094</v>
      </c>
      <c r="F981" s="4">
        <v>6</v>
      </c>
      <c r="G981" s="5">
        <v>17.288821571122082</v>
      </c>
      <c r="H981" s="6" t="s">
        <v>2096</v>
      </c>
    </row>
    <row r="982" spans="1:8">
      <c r="A982" s="1">
        <v>990</v>
      </c>
      <c r="B982" s="2" t="s">
        <v>2093</v>
      </c>
      <c r="C982" s="3">
        <v>38034</v>
      </c>
      <c r="D982" s="4">
        <f>YEAR(Table1[[#This Row],[Date]])</f>
        <v>2004</v>
      </c>
      <c r="E982" s="2" t="s">
        <v>2094</v>
      </c>
      <c r="F982" s="4">
        <v>38</v>
      </c>
      <c r="G982" s="5">
        <v>115.96163338782357</v>
      </c>
      <c r="H982" s="6" t="s">
        <v>2082</v>
      </c>
    </row>
    <row r="983" spans="1:8">
      <c r="A983" s="1">
        <v>991</v>
      </c>
      <c r="B983" s="2" t="s">
        <v>2095</v>
      </c>
      <c r="C983" s="3">
        <v>38001</v>
      </c>
      <c r="D983" s="4">
        <f>YEAR(Table1[[#This Row],[Date]])</f>
        <v>2004</v>
      </c>
      <c r="E983" s="2" t="s">
        <v>2094</v>
      </c>
      <c r="F983" s="4">
        <v>1</v>
      </c>
      <c r="G983" s="5">
        <v>1.0160108133922805</v>
      </c>
      <c r="H983" s="6" t="s">
        <v>2086</v>
      </c>
    </row>
    <row r="984" spans="1:8">
      <c r="A984" s="1">
        <v>992</v>
      </c>
      <c r="B984" s="2" t="s">
        <v>2099</v>
      </c>
      <c r="C984" s="3">
        <v>38672</v>
      </c>
      <c r="D984" s="4">
        <f>YEAR(Table1[[#This Row],[Date]])</f>
        <v>2005</v>
      </c>
      <c r="E984" s="2" t="s">
        <v>2094</v>
      </c>
      <c r="F984" s="4">
        <v>34</v>
      </c>
      <c r="G984" s="5">
        <v>104.57917159926555</v>
      </c>
      <c r="H984" s="6" t="s">
        <v>2090</v>
      </c>
    </row>
    <row r="985" spans="1:8">
      <c r="A985" s="1">
        <v>993</v>
      </c>
      <c r="B985" s="2" t="s">
        <v>2091</v>
      </c>
      <c r="C985" s="3">
        <v>38078</v>
      </c>
      <c r="D985" s="4">
        <f>YEAR(Table1[[#This Row],[Date]])</f>
        <v>2004</v>
      </c>
      <c r="E985" s="2" t="s">
        <v>2081</v>
      </c>
      <c r="F985" s="4">
        <v>30</v>
      </c>
      <c r="G985" s="5">
        <v>91.71732531853138</v>
      </c>
      <c r="H985" s="6" t="s">
        <v>2090</v>
      </c>
    </row>
    <row r="986" spans="1:8">
      <c r="A986" s="1">
        <v>994</v>
      </c>
      <c r="B986" s="2" t="s">
        <v>2093</v>
      </c>
      <c r="C986" s="3">
        <v>38133</v>
      </c>
      <c r="D986" s="4">
        <f>YEAR(Table1[[#This Row],[Date]])</f>
        <v>2004</v>
      </c>
      <c r="E986" s="2" t="s">
        <v>2085</v>
      </c>
      <c r="F986" s="4">
        <v>62</v>
      </c>
      <c r="G986" s="5">
        <v>187.43238539805822</v>
      </c>
      <c r="H986" s="6" t="s">
        <v>2082</v>
      </c>
    </row>
    <row r="987" spans="1:8">
      <c r="A987" s="1">
        <v>995</v>
      </c>
      <c r="B987" s="2" t="s">
        <v>2080</v>
      </c>
      <c r="C987" s="3">
        <v>38760</v>
      </c>
      <c r="D987" s="4">
        <f>YEAR(Table1[[#This Row],[Date]])</f>
        <v>2006</v>
      </c>
      <c r="E987" s="2" t="s">
        <v>2081</v>
      </c>
      <c r="F987" s="4">
        <v>24</v>
      </c>
      <c r="G987" s="5">
        <v>74.211669903196139</v>
      </c>
      <c r="H987" s="6" t="s">
        <v>2096</v>
      </c>
    </row>
    <row r="988" spans="1:8">
      <c r="A988" s="1">
        <v>996</v>
      </c>
      <c r="B988" s="2" t="s">
        <v>2093</v>
      </c>
      <c r="C988" s="3">
        <v>38243</v>
      </c>
      <c r="D988" s="4">
        <f>YEAR(Table1[[#This Row],[Date]])</f>
        <v>2004</v>
      </c>
      <c r="E988" s="2" t="s">
        <v>2094</v>
      </c>
      <c r="F988" s="4">
        <v>4</v>
      </c>
      <c r="G988" s="5">
        <v>13.654188955553082</v>
      </c>
      <c r="H988" s="6" t="s">
        <v>2090</v>
      </c>
    </row>
    <row r="989" spans="1:8">
      <c r="A989" s="1">
        <v>997</v>
      </c>
      <c r="B989" s="2" t="s">
        <v>2098</v>
      </c>
      <c r="C989" s="3">
        <v>38144</v>
      </c>
      <c r="D989" s="4">
        <f>YEAR(Table1[[#This Row],[Date]])</f>
        <v>2004</v>
      </c>
      <c r="E989" s="2" t="s">
        <v>2081</v>
      </c>
      <c r="F989" s="4">
        <v>88</v>
      </c>
      <c r="G989" s="5">
        <v>265.2916292071763</v>
      </c>
      <c r="H989" s="6" t="s">
        <v>2090</v>
      </c>
    </row>
    <row r="990" spans="1:8">
      <c r="A990" s="1">
        <v>998</v>
      </c>
      <c r="B990" s="2" t="s">
        <v>2098</v>
      </c>
      <c r="C990" s="3">
        <v>38628</v>
      </c>
      <c r="D990" s="4">
        <f>YEAR(Table1[[#This Row],[Date]])</f>
        <v>2005</v>
      </c>
      <c r="E990" s="2" t="s">
        <v>2094</v>
      </c>
      <c r="F990" s="4">
        <v>78</v>
      </c>
      <c r="G990" s="5">
        <v>235.69356375172592</v>
      </c>
      <c r="H990" s="6" t="s">
        <v>2096</v>
      </c>
    </row>
    <row r="991" spans="1:8">
      <c r="A991" s="1">
        <v>999</v>
      </c>
      <c r="B991" s="2" t="s">
        <v>2087</v>
      </c>
      <c r="C991" s="3">
        <v>38639</v>
      </c>
      <c r="D991" s="4">
        <f>YEAR(Table1[[#This Row],[Date]])</f>
        <v>2005</v>
      </c>
      <c r="E991" s="2" t="s">
        <v>2094</v>
      </c>
      <c r="F991" s="4">
        <v>82</v>
      </c>
      <c r="G991" s="5">
        <v>248.12045570070282</v>
      </c>
      <c r="H991" s="6" t="s">
        <v>2090</v>
      </c>
    </row>
    <row r="992" spans="1:8">
      <c r="A992" s="1">
        <v>1000</v>
      </c>
      <c r="B992" s="2" t="s">
        <v>2095</v>
      </c>
      <c r="C992" s="3">
        <v>38485</v>
      </c>
      <c r="D992" s="4">
        <f>YEAR(Table1[[#This Row],[Date]])</f>
        <v>2005</v>
      </c>
      <c r="E992" s="2" t="s">
        <v>2081</v>
      </c>
      <c r="F992" s="4">
        <v>68</v>
      </c>
      <c r="G992" s="5">
        <v>206.8704837754205</v>
      </c>
      <c r="H992" s="6" t="s">
        <v>2096</v>
      </c>
    </row>
    <row r="993" spans="1:8">
      <c r="A993" s="1">
        <v>1001</v>
      </c>
      <c r="B993" s="2" t="s">
        <v>2095</v>
      </c>
      <c r="C993" s="3">
        <v>38034</v>
      </c>
      <c r="D993" s="4">
        <f>YEAR(Table1[[#This Row],[Date]])</f>
        <v>2004</v>
      </c>
      <c r="E993" s="2" t="s">
        <v>2085</v>
      </c>
      <c r="F993" s="4">
        <v>20</v>
      </c>
      <c r="G993" s="5">
        <v>61.598286646601295</v>
      </c>
      <c r="H993" s="6" t="s">
        <v>2086</v>
      </c>
    </row>
    <row r="994" spans="1:8">
      <c r="A994" s="1">
        <v>1002</v>
      </c>
      <c r="B994" s="2" t="s">
        <v>2093</v>
      </c>
      <c r="C994" s="3">
        <v>38265</v>
      </c>
      <c r="D994" s="4">
        <f>YEAR(Table1[[#This Row],[Date]])</f>
        <v>2004</v>
      </c>
      <c r="E994" s="2" t="s">
        <v>2081</v>
      </c>
      <c r="F994" s="4">
        <v>10</v>
      </c>
      <c r="G994" s="5">
        <v>28.326133240637468</v>
      </c>
      <c r="H994" s="6" t="s">
        <v>2082</v>
      </c>
    </row>
    <row r="995" spans="1:8">
      <c r="A995" s="1">
        <v>1003</v>
      </c>
      <c r="B995" s="2" t="s">
        <v>2091</v>
      </c>
      <c r="C995" s="3">
        <v>38254</v>
      </c>
      <c r="D995" s="4">
        <f>YEAR(Table1[[#This Row],[Date]])</f>
        <v>2004</v>
      </c>
      <c r="E995" s="2" t="s">
        <v>2094</v>
      </c>
      <c r="F995" s="4">
        <v>94</v>
      </c>
      <c r="G995" s="5">
        <v>283.987112843305</v>
      </c>
      <c r="H995" s="6" t="s">
        <v>2082</v>
      </c>
    </row>
    <row r="996" spans="1:8">
      <c r="A996" s="1">
        <v>1004</v>
      </c>
      <c r="B996" s="2" t="s">
        <v>2091</v>
      </c>
      <c r="C996" s="3">
        <v>38815</v>
      </c>
      <c r="D996" s="4">
        <f>YEAR(Table1[[#This Row],[Date]])</f>
        <v>2006</v>
      </c>
      <c r="E996" s="2" t="s">
        <v>2085</v>
      </c>
      <c r="F996" s="4">
        <v>62</v>
      </c>
      <c r="G996" s="5">
        <v>188.00253303300292</v>
      </c>
      <c r="H996" s="6" t="s">
        <v>2096</v>
      </c>
    </row>
    <row r="997" spans="1:8">
      <c r="A997" s="1">
        <v>1005</v>
      </c>
      <c r="B997" s="2" t="s">
        <v>2098</v>
      </c>
      <c r="C997" s="3">
        <v>38177</v>
      </c>
      <c r="D997" s="4">
        <f>YEAR(Table1[[#This Row],[Date]])</f>
        <v>2004</v>
      </c>
      <c r="E997" s="2" t="s">
        <v>2097</v>
      </c>
      <c r="F997" s="4">
        <v>71</v>
      </c>
      <c r="G997" s="5">
        <v>215.02251352159234</v>
      </c>
      <c r="H997" s="6" t="s">
        <v>2090</v>
      </c>
    </row>
    <row r="998" spans="1:8">
      <c r="A998" s="1">
        <v>1006</v>
      </c>
      <c r="B998" s="2" t="s">
        <v>2087</v>
      </c>
      <c r="C998" s="3">
        <v>38067</v>
      </c>
      <c r="D998" s="4">
        <f>YEAR(Table1[[#This Row],[Date]])</f>
        <v>2004</v>
      </c>
      <c r="E998" s="2" t="s">
        <v>2088</v>
      </c>
      <c r="F998" s="4">
        <v>70</v>
      </c>
      <c r="G998" s="5">
        <v>211.5224440500217</v>
      </c>
      <c r="H998" s="6" t="s">
        <v>2090</v>
      </c>
    </row>
    <row r="999" spans="1:8">
      <c r="A999" s="1">
        <v>1007</v>
      </c>
      <c r="B999" s="2" t="s">
        <v>2100</v>
      </c>
      <c r="C999" s="3">
        <v>38089</v>
      </c>
      <c r="D999" s="4">
        <f>YEAR(Table1[[#This Row],[Date]])</f>
        <v>2004</v>
      </c>
      <c r="E999" s="2" t="s">
        <v>2085</v>
      </c>
      <c r="F999" s="4">
        <v>17</v>
      </c>
      <c r="G999" s="5">
        <v>52.007206372460615</v>
      </c>
      <c r="H999" s="6" t="s">
        <v>2096</v>
      </c>
    </row>
    <row r="1000" spans="1:8">
      <c r="A1000" s="1">
        <v>1008</v>
      </c>
      <c r="B1000" s="2" t="s">
        <v>2087</v>
      </c>
      <c r="C1000" s="3">
        <v>38694</v>
      </c>
      <c r="D1000" s="4">
        <f>YEAR(Table1[[#This Row],[Date]])</f>
        <v>2005</v>
      </c>
      <c r="E1000" s="2" t="s">
        <v>2094</v>
      </c>
      <c r="F1000" s="4">
        <v>51</v>
      </c>
      <c r="G1000" s="5">
        <v>154.86582287521293</v>
      </c>
      <c r="H1000" s="6" t="s">
        <v>2096</v>
      </c>
    </row>
    <row r="1001" spans="1:8">
      <c r="A1001" s="1">
        <v>1009</v>
      </c>
      <c r="B1001" s="2" t="s">
        <v>2080</v>
      </c>
      <c r="C1001" s="3">
        <v>38837</v>
      </c>
      <c r="D1001" s="4">
        <f>YEAR(Table1[[#This Row],[Date]])</f>
        <v>2006</v>
      </c>
      <c r="E1001" s="2" t="s">
        <v>2097</v>
      </c>
      <c r="F1001" s="4">
        <v>70</v>
      </c>
      <c r="G1001" s="5">
        <v>212.18684363818184</v>
      </c>
      <c r="H1001" s="6" t="s">
        <v>2086</v>
      </c>
    </row>
    <row r="1002" spans="1:8">
      <c r="A1002" s="1">
        <v>1010</v>
      </c>
      <c r="B1002" s="2" t="s">
        <v>2091</v>
      </c>
      <c r="C1002" s="3">
        <v>38892</v>
      </c>
      <c r="D1002" s="4">
        <f>YEAR(Table1[[#This Row],[Date]])</f>
        <v>2006</v>
      </c>
      <c r="E1002" s="2" t="s">
        <v>2094</v>
      </c>
      <c r="F1002" s="4">
        <v>94</v>
      </c>
      <c r="G1002" s="5">
        <v>283.91906780587465</v>
      </c>
      <c r="H1002" s="6" t="s">
        <v>2090</v>
      </c>
    </row>
    <row r="1003" spans="1:8">
      <c r="A1003" s="1">
        <v>1011</v>
      </c>
      <c r="B1003" s="2" t="s">
        <v>2093</v>
      </c>
      <c r="C1003" s="3">
        <v>38331</v>
      </c>
      <c r="D1003" s="4">
        <f>YEAR(Table1[[#This Row],[Date]])</f>
        <v>2004</v>
      </c>
      <c r="E1003" s="2" t="s">
        <v>2097</v>
      </c>
      <c r="F1003" s="4">
        <v>70</v>
      </c>
      <c r="G1003" s="5">
        <v>211.85016457637715</v>
      </c>
      <c r="H1003" s="6" t="s">
        <v>2086</v>
      </c>
    </row>
    <row r="1004" spans="1:8">
      <c r="A1004" s="1">
        <v>1012</v>
      </c>
      <c r="B1004" s="2" t="s">
        <v>2087</v>
      </c>
      <c r="C1004" s="3">
        <v>38485</v>
      </c>
      <c r="D1004" s="4">
        <f>YEAR(Table1[[#This Row],[Date]])</f>
        <v>2005</v>
      </c>
      <c r="E1004" s="2" t="s">
        <v>2081</v>
      </c>
      <c r="F1004" s="4">
        <v>89</v>
      </c>
      <c r="G1004" s="5">
        <v>269.18851021987467</v>
      </c>
      <c r="H1004" s="6" t="s">
        <v>2090</v>
      </c>
    </row>
    <row r="1005" spans="1:8">
      <c r="A1005" s="1">
        <v>1013</v>
      </c>
      <c r="B1005" s="2" t="s">
        <v>2093</v>
      </c>
      <c r="C1005" s="3">
        <v>38639</v>
      </c>
      <c r="D1005" s="4">
        <f>YEAR(Table1[[#This Row],[Date]])</f>
        <v>2005</v>
      </c>
      <c r="E1005" s="2" t="s">
        <v>2081</v>
      </c>
      <c r="F1005" s="4">
        <v>26</v>
      </c>
      <c r="G1005" s="5">
        <v>79.311492307621293</v>
      </c>
      <c r="H1005" s="6" t="s">
        <v>2086</v>
      </c>
    </row>
    <row r="1006" spans="1:8">
      <c r="A1006" s="1">
        <v>1014</v>
      </c>
      <c r="B1006" s="2" t="s">
        <v>2100</v>
      </c>
      <c r="C1006" s="3">
        <v>38694</v>
      </c>
      <c r="D1006" s="4">
        <f>YEAR(Table1[[#This Row],[Date]])</f>
        <v>2005</v>
      </c>
      <c r="E1006" s="2" t="s">
        <v>2094</v>
      </c>
      <c r="F1006" s="4">
        <v>8</v>
      </c>
      <c r="G1006" s="5">
        <v>26.096472599703908</v>
      </c>
      <c r="H1006" s="6" t="s">
        <v>2086</v>
      </c>
    </row>
    <row r="1007" spans="1:8">
      <c r="A1007" s="1">
        <v>1015</v>
      </c>
      <c r="B1007" s="2" t="s">
        <v>2087</v>
      </c>
      <c r="C1007" s="3">
        <v>38749</v>
      </c>
      <c r="D1007" s="4">
        <f>YEAR(Table1[[#This Row],[Date]])</f>
        <v>2006</v>
      </c>
      <c r="E1007" s="2" t="s">
        <v>2085</v>
      </c>
      <c r="F1007" s="4">
        <v>8</v>
      </c>
      <c r="G1007" s="5">
        <v>26.08199028619465</v>
      </c>
      <c r="H1007" s="6" t="s">
        <v>2086</v>
      </c>
    </row>
    <row r="1008" spans="1:8">
      <c r="A1008" s="1">
        <v>1016</v>
      </c>
      <c r="B1008" s="2" t="s">
        <v>2100</v>
      </c>
      <c r="C1008" s="3">
        <v>39002</v>
      </c>
      <c r="D1008" s="4">
        <f>YEAR(Table1[[#This Row],[Date]])</f>
        <v>2006</v>
      </c>
      <c r="E1008" s="2" t="s">
        <v>2094</v>
      </c>
      <c r="F1008" s="4">
        <v>62</v>
      </c>
      <c r="G1008" s="5">
        <v>187.69110116385426</v>
      </c>
      <c r="H1008" s="6" t="s">
        <v>2096</v>
      </c>
    </row>
    <row r="1009" spans="1:8">
      <c r="A1009" s="1">
        <v>1017</v>
      </c>
      <c r="B1009" s="2" t="s">
        <v>2099</v>
      </c>
      <c r="C1009" s="3">
        <v>38947</v>
      </c>
      <c r="D1009" s="4">
        <f>YEAR(Table1[[#This Row],[Date]])</f>
        <v>2006</v>
      </c>
      <c r="E1009" s="2" t="s">
        <v>2094</v>
      </c>
      <c r="F1009" s="4">
        <v>9</v>
      </c>
      <c r="G1009" s="5">
        <v>24.819632815121537</v>
      </c>
      <c r="H1009" s="6" t="s">
        <v>2082</v>
      </c>
    </row>
    <row r="1010" spans="1:8">
      <c r="A1010" s="1">
        <v>1018</v>
      </c>
      <c r="B1010" s="2" t="s">
        <v>2091</v>
      </c>
      <c r="C1010" s="3">
        <v>38221</v>
      </c>
      <c r="D1010" s="4">
        <f>YEAR(Table1[[#This Row],[Date]])</f>
        <v>2004</v>
      </c>
      <c r="E1010" s="2" t="s">
        <v>2085</v>
      </c>
      <c r="F1010" s="4">
        <v>55</v>
      </c>
      <c r="G1010" s="5">
        <v>166.81971361139639</v>
      </c>
      <c r="H1010" s="6" t="s">
        <v>2096</v>
      </c>
    </row>
    <row r="1011" spans="1:8">
      <c r="A1011" s="1">
        <v>1019</v>
      </c>
      <c r="B1011" s="2" t="s">
        <v>2084</v>
      </c>
      <c r="C1011" s="3">
        <v>38232</v>
      </c>
      <c r="D1011" s="4">
        <f>YEAR(Table1[[#This Row],[Date]])</f>
        <v>2004</v>
      </c>
      <c r="E1011" s="2" t="s">
        <v>2088</v>
      </c>
      <c r="F1011" s="4">
        <v>71</v>
      </c>
      <c r="G1011" s="5">
        <v>215.35336056441088</v>
      </c>
      <c r="H1011" s="6" t="s">
        <v>2086</v>
      </c>
    </row>
    <row r="1012" spans="1:8">
      <c r="A1012" s="1">
        <v>1020</v>
      </c>
      <c r="B1012" s="2" t="s">
        <v>2098</v>
      </c>
      <c r="C1012" s="3">
        <v>38793</v>
      </c>
      <c r="D1012" s="4">
        <f>YEAR(Table1[[#This Row],[Date]])</f>
        <v>2006</v>
      </c>
      <c r="E1012" s="2" t="s">
        <v>2097</v>
      </c>
      <c r="F1012" s="4">
        <v>5</v>
      </c>
      <c r="G1012" s="5">
        <v>17.428217544434208</v>
      </c>
      <c r="H1012" s="6" t="s">
        <v>2082</v>
      </c>
    </row>
    <row r="1013" spans="1:8">
      <c r="A1013" s="1">
        <v>1021</v>
      </c>
      <c r="B1013" s="2" t="s">
        <v>2093</v>
      </c>
      <c r="C1013" s="3">
        <v>38595</v>
      </c>
      <c r="D1013" s="4">
        <f>YEAR(Table1[[#This Row],[Date]])</f>
        <v>2005</v>
      </c>
      <c r="E1013" s="2" t="s">
        <v>2085</v>
      </c>
      <c r="F1013" s="4">
        <v>28</v>
      </c>
      <c r="G1013" s="5">
        <v>86.322091823923344</v>
      </c>
      <c r="H1013" s="6" t="s">
        <v>2096</v>
      </c>
    </row>
    <row r="1014" spans="1:8">
      <c r="A1014" s="1">
        <v>1022</v>
      </c>
      <c r="B1014" s="2" t="s">
        <v>2098</v>
      </c>
      <c r="C1014" s="3">
        <v>38848</v>
      </c>
      <c r="D1014" s="4">
        <f>YEAR(Table1[[#This Row],[Date]])</f>
        <v>2006</v>
      </c>
      <c r="E1014" s="2" t="s">
        <v>2088</v>
      </c>
      <c r="F1014" s="4">
        <v>95</v>
      </c>
      <c r="G1014" s="5">
        <v>286.92674877229024</v>
      </c>
      <c r="H1014" s="6" t="s">
        <v>2082</v>
      </c>
    </row>
    <row r="1015" spans="1:8">
      <c r="A1015" s="1">
        <v>1023</v>
      </c>
      <c r="B1015" s="2" t="s">
        <v>2080</v>
      </c>
      <c r="C1015" s="3">
        <v>38617</v>
      </c>
      <c r="D1015" s="4">
        <f>YEAR(Table1[[#This Row],[Date]])</f>
        <v>2005</v>
      </c>
      <c r="E1015" s="2" t="s">
        <v>2094</v>
      </c>
      <c r="F1015" s="4">
        <v>56</v>
      </c>
      <c r="G1015" s="5">
        <v>169.66853559743345</v>
      </c>
      <c r="H1015" s="6" t="s">
        <v>2082</v>
      </c>
    </row>
    <row r="1016" spans="1:8">
      <c r="A1016" s="1">
        <v>1024</v>
      </c>
      <c r="B1016" s="2" t="s">
        <v>2100</v>
      </c>
      <c r="C1016" s="3">
        <v>38650</v>
      </c>
      <c r="D1016" s="4">
        <f>YEAR(Table1[[#This Row],[Date]])</f>
        <v>2005</v>
      </c>
      <c r="E1016" s="2" t="s">
        <v>2085</v>
      </c>
      <c r="F1016" s="4">
        <v>79</v>
      </c>
      <c r="G1016" s="5">
        <v>238.71622982310416</v>
      </c>
      <c r="H1016" s="6" t="s">
        <v>2082</v>
      </c>
    </row>
    <row r="1017" spans="1:8">
      <c r="A1017" s="1">
        <v>1025</v>
      </c>
      <c r="B1017" s="2" t="s">
        <v>2100</v>
      </c>
      <c r="C1017" s="3">
        <v>38562</v>
      </c>
      <c r="D1017" s="4">
        <f>YEAR(Table1[[#This Row],[Date]])</f>
        <v>2005</v>
      </c>
      <c r="E1017" s="2" t="s">
        <v>2094</v>
      </c>
      <c r="F1017" s="4">
        <v>10</v>
      </c>
      <c r="G1017" s="5">
        <v>32.241149527753471</v>
      </c>
      <c r="H1017" s="6" t="s">
        <v>2082</v>
      </c>
    </row>
    <row r="1018" spans="1:8">
      <c r="A1018" s="1">
        <v>1026</v>
      </c>
      <c r="B1018" s="2" t="s">
        <v>2084</v>
      </c>
      <c r="C1018" s="3">
        <v>38254</v>
      </c>
      <c r="D1018" s="4">
        <f>YEAR(Table1[[#This Row],[Date]])</f>
        <v>2004</v>
      </c>
      <c r="E1018" s="2" t="s">
        <v>2088</v>
      </c>
      <c r="F1018" s="4">
        <v>69</v>
      </c>
      <c r="G1018" s="5">
        <v>208.61631773052886</v>
      </c>
      <c r="H1018" s="6" t="s">
        <v>2090</v>
      </c>
    </row>
    <row r="1019" spans="1:8">
      <c r="A1019" s="1">
        <v>1027</v>
      </c>
      <c r="B1019" s="2" t="s">
        <v>2093</v>
      </c>
      <c r="C1019" s="3">
        <v>38793</v>
      </c>
      <c r="D1019" s="4">
        <f>YEAR(Table1[[#This Row],[Date]])</f>
        <v>2006</v>
      </c>
      <c r="E1019" s="2" t="s">
        <v>2081</v>
      </c>
      <c r="F1019" s="4">
        <v>15</v>
      </c>
      <c r="G1019" s="5">
        <v>46.772430431730463</v>
      </c>
      <c r="H1019" s="6" t="s">
        <v>2086</v>
      </c>
    </row>
    <row r="1020" spans="1:8">
      <c r="A1020" s="1">
        <v>1028</v>
      </c>
      <c r="B1020" s="2" t="s">
        <v>2100</v>
      </c>
      <c r="C1020" s="3">
        <v>38749</v>
      </c>
      <c r="D1020" s="4">
        <f>YEAR(Table1[[#This Row],[Date]])</f>
        <v>2006</v>
      </c>
      <c r="E1020" s="2" t="s">
        <v>2094</v>
      </c>
      <c r="F1020" s="4">
        <v>0</v>
      </c>
      <c r="G1020" s="5">
        <v>1.7760594332285693</v>
      </c>
      <c r="H1020" s="6" t="s">
        <v>2090</v>
      </c>
    </row>
    <row r="1021" spans="1:8">
      <c r="A1021" s="1">
        <v>1029</v>
      </c>
      <c r="B1021" s="2" t="s">
        <v>2100</v>
      </c>
      <c r="C1021" s="3">
        <v>38540</v>
      </c>
      <c r="D1021" s="4">
        <f>YEAR(Table1[[#This Row],[Date]])</f>
        <v>2005</v>
      </c>
      <c r="E1021" s="2" t="s">
        <v>2088</v>
      </c>
      <c r="F1021" s="4">
        <v>78</v>
      </c>
      <c r="G1021" s="5">
        <v>236.10178950758817</v>
      </c>
      <c r="H1021" s="6" t="s">
        <v>2096</v>
      </c>
    </row>
    <row r="1022" spans="1:8">
      <c r="A1022" s="1">
        <v>1030</v>
      </c>
      <c r="B1022" s="2" t="s">
        <v>2084</v>
      </c>
      <c r="C1022" s="3">
        <v>38496</v>
      </c>
      <c r="D1022" s="4">
        <f>YEAR(Table1[[#This Row],[Date]])</f>
        <v>2005</v>
      </c>
      <c r="E1022" s="2" t="s">
        <v>2097</v>
      </c>
      <c r="F1022" s="4">
        <v>89</v>
      </c>
      <c r="G1022" s="5">
        <v>268.45127891867156</v>
      </c>
      <c r="H1022" s="6" t="s">
        <v>2082</v>
      </c>
    </row>
    <row r="1023" spans="1:8">
      <c r="A1023" s="1">
        <v>1031</v>
      </c>
      <c r="B1023" s="2" t="s">
        <v>2100</v>
      </c>
      <c r="C1023" s="3">
        <v>38397</v>
      </c>
      <c r="D1023" s="4">
        <f>YEAR(Table1[[#This Row],[Date]])</f>
        <v>2005</v>
      </c>
      <c r="E1023" s="2" t="s">
        <v>2097</v>
      </c>
      <c r="F1023" s="4">
        <v>94</v>
      </c>
      <c r="G1023" s="5">
        <v>284.11176896611153</v>
      </c>
      <c r="H1023" s="6" t="s">
        <v>2096</v>
      </c>
    </row>
    <row r="1024" spans="1:8">
      <c r="A1024" s="1">
        <v>1032</v>
      </c>
      <c r="B1024" s="2" t="s">
        <v>2080</v>
      </c>
      <c r="C1024" s="3">
        <v>38034</v>
      </c>
      <c r="D1024" s="4">
        <f>YEAR(Table1[[#This Row],[Date]])</f>
        <v>2004</v>
      </c>
      <c r="E1024" s="2" t="s">
        <v>2097</v>
      </c>
      <c r="F1024" s="4">
        <v>5</v>
      </c>
      <c r="G1024" s="5">
        <v>13.090742445919402</v>
      </c>
      <c r="H1024" s="6" t="s">
        <v>2090</v>
      </c>
    </row>
    <row r="1025" spans="1:8">
      <c r="A1025" s="1">
        <v>1033</v>
      </c>
      <c r="B1025" s="2" t="s">
        <v>2084</v>
      </c>
      <c r="C1025" s="3">
        <v>39057</v>
      </c>
      <c r="D1025" s="4">
        <f>YEAR(Table1[[#This Row],[Date]])</f>
        <v>2006</v>
      </c>
      <c r="E1025" s="2" t="s">
        <v>2081</v>
      </c>
      <c r="F1025" s="4">
        <v>42</v>
      </c>
      <c r="G1025" s="5">
        <v>127.95167625422781</v>
      </c>
      <c r="H1025" s="6" t="s">
        <v>2086</v>
      </c>
    </row>
    <row r="1026" spans="1:8">
      <c r="A1026" s="1">
        <v>1034</v>
      </c>
      <c r="B1026" s="2" t="s">
        <v>2098</v>
      </c>
      <c r="C1026" s="3">
        <v>38980</v>
      </c>
      <c r="D1026" s="4">
        <f>YEAR(Table1[[#This Row],[Date]])</f>
        <v>2006</v>
      </c>
      <c r="E1026" s="2" t="s">
        <v>2094</v>
      </c>
      <c r="F1026" s="4">
        <v>9</v>
      </c>
      <c r="G1026" s="5">
        <v>29.027293052396654</v>
      </c>
      <c r="H1026" s="6" t="s">
        <v>2090</v>
      </c>
    </row>
    <row r="1027" spans="1:8">
      <c r="A1027" s="1">
        <v>1035</v>
      </c>
      <c r="B1027" s="2" t="s">
        <v>2098</v>
      </c>
      <c r="C1027" s="3">
        <v>38452</v>
      </c>
      <c r="D1027" s="4">
        <f>YEAR(Table1[[#This Row],[Date]])</f>
        <v>2005</v>
      </c>
      <c r="E1027" s="2" t="s">
        <v>2085</v>
      </c>
      <c r="F1027" s="4">
        <v>8</v>
      </c>
      <c r="G1027" s="5">
        <v>26.399425452966565</v>
      </c>
      <c r="H1027" s="6" t="s">
        <v>2096</v>
      </c>
    </row>
    <row r="1028" spans="1:8">
      <c r="A1028" s="1">
        <v>1036</v>
      </c>
      <c r="B1028" s="2" t="s">
        <v>2080</v>
      </c>
      <c r="C1028" s="3">
        <v>38210</v>
      </c>
      <c r="D1028" s="4">
        <f>YEAR(Table1[[#This Row],[Date]])</f>
        <v>2004</v>
      </c>
      <c r="E1028" s="2" t="s">
        <v>2085</v>
      </c>
      <c r="F1028" s="4">
        <v>69</v>
      </c>
      <c r="G1028" s="5">
        <v>209.14573718458519</v>
      </c>
      <c r="H1028" s="6" t="s">
        <v>2082</v>
      </c>
    </row>
    <row r="1029" spans="1:8">
      <c r="A1029" s="1">
        <v>1037</v>
      </c>
      <c r="B1029" s="2" t="s">
        <v>2095</v>
      </c>
      <c r="C1029" s="3">
        <v>39002</v>
      </c>
      <c r="D1029" s="4">
        <f>YEAR(Table1[[#This Row],[Date]])</f>
        <v>2006</v>
      </c>
      <c r="E1029" s="2" t="s">
        <v>2097</v>
      </c>
      <c r="F1029" s="4">
        <v>2</v>
      </c>
      <c r="G1029" s="5">
        <v>7.7270735524440131</v>
      </c>
      <c r="H1029" s="6" t="s">
        <v>2082</v>
      </c>
    </row>
    <row r="1030" spans="1:8">
      <c r="A1030" s="1">
        <v>1038</v>
      </c>
      <c r="B1030" s="2" t="s">
        <v>2100</v>
      </c>
      <c r="C1030" s="3">
        <v>38254</v>
      </c>
      <c r="D1030" s="4">
        <f>YEAR(Table1[[#This Row],[Date]])</f>
        <v>2004</v>
      </c>
      <c r="E1030" s="2" t="s">
        <v>2094</v>
      </c>
      <c r="F1030" s="4">
        <v>3</v>
      </c>
      <c r="G1030" s="5">
        <v>10.487455049777733</v>
      </c>
      <c r="H1030" s="6" t="s">
        <v>2086</v>
      </c>
    </row>
    <row r="1031" spans="1:8">
      <c r="A1031" s="1">
        <v>1039</v>
      </c>
      <c r="B1031" s="2" t="s">
        <v>2098</v>
      </c>
      <c r="C1031" s="3">
        <v>38518</v>
      </c>
      <c r="D1031" s="4">
        <f>YEAR(Table1[[#This Row],[Date]])</f>
        <v>2005</v>
      </c>
      <c r="E1031" s="2" t="s">
        <v>2088</v>
      </c>
      <c r="F1031" s="4">
        <v>76</v>
      </c>
      <c r="G1031" s="5">
        <v>230.14134634452847</v>
      </c>
      <c r="H1031" s="6" t="s">
        <v>2086</v>
      </c>
    </row>
    <row r="1032" spans="1:8">
      <c r="A1032" s="1">
        <v>1040</v>
      </c>
      <c r="B1032" s="2" t="s">
        <v>2095</v>
      </c>
      <c r="C1032" s="3">
        <v>38166</v>
      </c>
      <c r="D1032" s="4">
        <f>YEAR(Table1[[#This Row],[Date]])</f>
        <v>2004</v>
      </c>
      <c r="E1032" s="2" t="s">
        <v>2094</v>
      </c>
      <c r="F1032" s="4">
        <v>7</v>
      </c>
      <c r="G1032" s="5">
        <v>18.434662066971001</v>
      </c>
      <c r="H1032" s="6" t="s">
        <v>2090</v>
      </c>
    </row>
    <row r="1033" spans="1:8">
      <c r="A1033" s="1">
        <v>1041</v>
      </c>
      <c r="B1033" s="2" t="s">
        <v>2093</v>
      </c>
      <c r="C1033" s="3">
        <v>38903</v>
      </c>
      <c r="D1033" s="4">
        <f>YEAR(Table1[[#This Row],[Date]])</f>
        <v>2006</v>
      </c>
      <c r="E1033" s="2" t="s">
        <v>2097</v>
      </c>
      <c r="F1033" s="4">
        <v>24</v>
      </c>
      <c r="G1033" s="5">
        <v>74.040343042743388</v>
      </c>
      <c r="H1033" s="6" t="s">
        <v>2090</v>
      </c>
    </row>
    <row r="1034" spans="1:8">
      <c r="A1034" s="1">
        <v>1042</v>
      </c>
      <c r="B1034" s="2" t="s">
        <v>2099</v>
      </c>
      <c r="C1034" s="3">
        <v>38969</v>
      </c>
      <c r="D1034" s="4">
        <f>YEAR(Table1[[#This Row],[Date]])</f>
        <v>2006</v>
      </c>
      <c r="E1034" s="2" t="s">
        <v>2085</v>
      </c>
      <c r="F1034" s="4">
        <v>35</v>
      </c>
      <c r="G1034" s="5">
        <v>106.66944991477989</v>
      </c>
      <c r="H1034" s="6" t="s">
        <v>2090</v>
      </c>
    </row>
    <row r="1035" spans="1:8">
      <c r="A1035" s="1">
        <v>1043</v>
      </c>
      <c r="B1035" s="2" t="s">
        <v>2100</v>
      </c>
      <c r="C1035" s="3">
        <v>38067</v>
      </c>
      <c r="D1035" s="4">
        <f>YEAR(Table1[[#This Row],[Date]])</f>
        <v>2004</v>
      </c>
      <c r="E1035" s="2" t="s">
        <v>2085</v>
      </c>
      <c r="F1035" s="4">
        <v>23</v>
      </c>
      <c r="G1035" s="5">
        <v>71.099513118305453</v>
      </c>
      <c r="H1035" s="6" t="s">
        <v>2090</v>
      </c>
    </row>
    <row r="1036" spans="1:8">
      <c r="A1036" s="1">
        <v>1044</v>
      </c>
      <c r="B1036" s="2" t="s">
        <v>2091</v>
      </c>
      <c r="C1036" s="3">
        <v>38837</v>
      </c>
      <c r="D1036" s="4">
        <f>YEAR(Table1[[#This Row],[Date]])</f>
        <v>2006</v>
      </c>
      <c r="E1036" s="2" t="s">
        <v>2094</v>
      </c>
      <c r="F1036" s="4">
        <v>32</v>
      </c>
      <c r="G1036" s="5">
        <v>97.982599723305</v>
      </c>
      <c r="H1036" s="6" t="s">
        <v>2096</v>
      </c>
    </row>
    <row r="1037" spans="1:8">
      <c r="A1037" s="1">
        <v>1045</v>
      </c>
      <c r="B1037" s="2" t="s">
        <v>2095</v>
      </c>
      <c r="C1037" s="3">
        <v>38232</v>
      </c>
      <c r="D1037" s="4">
        <f>YEAR(Table1[[#This Row],[Date]])</f>
        <v>2004</v>
      </c>
      <c r="E1037" s="2" t="s">
        <v>2097</v>
      </c>
      <c r="F1037" s="4">
        <v>46</v>
      </c>
      <c r="G1037" s="5">
        <v>139.82203886104327</v>
      </c>
      <c r="H1037" s="6" t="s">
        <v>2086</v>
      </c>
    </row>
    <row r="1038" spans="1:8">
      <c r="A1038" s="1">
        <v>1046</v>
      </c>
      <c r="B1038" s="2" t="s">
        <v>2100</v>
      </c>
      <c r="C1038" s="3">
        <v>38023</v>
      </c>
      <c r="D1038" s="4">
        <f>YEAR(Table1[[#This Row],[Date]])</f>
        <v>2004</v>
      </c>
      <c r="E1038" s="2" t="s">
        <v>2081</v>
      </c>
      <c r="F1038" s="4">
        <v>28</v>
      </c>
      <c r="G1038" s="5">
        <v>85.913586896960894</v>
      </c>
      <c r="H1038" s="6" t="s">
        <v>2086</v>
      </c>
    </row>
    <row r="1039" spans="1:8">
      <c r="A1039" s="1">
        <v>1047</v>
      </c>
      <c r="B1039" s="2" t="s">
        <v>2100</v>
      </c>
      <c r="C1039" s="3">
        <v>38386</v>
      </c>
      <c r="D1039" s="4">
        <f>YEAR(Table1[[#This Row],[Date]])</f>
        <v>2005</v>
      </c>
      <c r="E1039" s="2" t="s">
        <v>2088</v>
      </c>
      <c r="F1039" s="4">
        <v>58</v>
      </c>
      <c r="G1039" s="5">
        <v>176.38262351251041</v>
      </c>
      <c r="H1039" s="6" t="s">
        <v>2082</v>
      </c>
    </row>
    <row r="1040" spans="1:8">
      <c r="A1040" s="1">
        <v>1048</v>
      </c>
      <c r="B1040" s="2" t="s">
        <v>2098</v>
      </c>
      <c r="C1040" s="3">
        <v>38672</v>
      </c>
      <c r="D1040" s="4">
        <f>YEAR(Table1[[#This Row],[Date]])</f>
        <v>2005</v>
      </c>
      <c r="E1040" s="2" t="s">
        <v>2081</v>
      </c>
      <c r="F1040" s="4">
        <v>19</v>
      </c>
      <c r="G1040" s="5">
        <v>59.083968230358913</v>
      </c>
      <c r="H1040" s="6" t="s">
        <v>2082</v>
      </c>
    </row>
    <row r="1041" spans="1:8">
      <c r="A1041" s="1">
        <v>1049</v>
      </c>
      <c r="B1041" s="2" t="s">
        <v>2093</v>
      </c>
      <c r="C1041" s="3">
        <v>38210</v>
      </c>
      <c r="D1041" s="4">
        <f>YEAR(Table1[[#This Row],[Date]])</f>
        <v>2004</v>
      </c>
      <c r="E1041" s="2" t="s">
        <v>2081</v>
      </c>
      <c r="F1041" s="4">
        <v>79</v>
      </c>
      <c r="G1041" s="5">
        <v>238.63617965265877</v>
      </c>
      <c r="H1041" s="6" t="s">
        <v>2096</v>
      </c>
    </row>
    <row r="1042" spans="1:8">
      <c r="A1042" s="1">
        <v>1050</v>
      </c>
      <c r="B1042" s="2" t="s">
        <v>2080</v>
      </c>
      <c r="C1042" s="3">
        <v>38331</v>
      </c>
      <c r="D1042" s="4">
        <f>YEAR(Table1[[#This Row],[Date]])</f>
        <v>2004</v>
      </c>
      <c r="E1042" s="2" t="s">
        <v>2097</v>
      </c>
      <c r="F1042" s="4">
        <v>31</v>
      </c>
      <c r="G1042" s="5">
        <v>94.124548214467538</v>
      </c>
      <c r="H1042" s="6" t="s">
        <v>2086</v>
      </c>
    </row>
    <row r="1043" spans="1:8">
      <c r="A1043" s="1">
        <v>1051</v>
      </c>
      <c r="B1043" s="2" t="s">
        <v>2100</v>
      </c>
      <c r="C1043" s="3">
        <v>38672</v>
      </c>
      <c r="D1043" s="4">
        <f>YEAR(Table1[[#This Row],[Date]])</f>
        <v>2005</v>
      </c>
      <c r="E1043" s="2" t="s">
        <v>2094</v>
      </c>
      <c r="F1043" s="4">
        <v>4</v>
      </c>
      <c r="G1043" s="5">
        <v>14.292798170188892</v>
      </c>
      <c r="H1043" s="6" t="s">
        <v>2082</v>
      </c>
    </row>
    <row r="1044" spans="1:8">
      <c r="A1044" s="1">
        <v>1052</v>
      </c>
      <c r="B1044" s="2" t="s">
        <v>2093</v>
      </c>
      <c r="C1044" s="3">
        <v>38804</v>
      </c>
      <c r="D1044" s="4">
        <f>YEAR(Table1[[#This Row],[Date]])</f>
        <v>2006</v>
      </c>
      <c r="E1044" s="2" t="s">
        <v>2085</v>
      </c>
      <c r="F1044" s="4">
        <v>91</v>
      </c>
      <c r="G1044" s="5">
        <v>275.5094232943423</v>
      </c>
      <c r="H1044" s="6" t="s">
        <v>2086</v>
      </c>
    </row>
    <row r="1045" spans="1:8">
      <c r="A1045" s="1">
        <v>1053</v>
      </c>
      <c r="B1045" s="2" t="s">
        <v>2084</v>
      </c>
      <c r="C1045" s="3">
        <v>38518</v>
      </c>
      <c r="D1045" s="4">
        <f>YEAR(Table1[[#This Row],[Date]])</f>
        <v>2005</v>
      </c>
      <c r="E1045" s="2" t="s">
        <v>2081</v>
      </c>
      <c r="F1045" s="4">
        <v>51</v>
      </c>
      <c r="G1045" s="5">
        <v>154.74630946716462</v>
      </c>
      <c r="H1045" s="6" t="s">
        <v>2082</v>
      </c>
    </row>
    <row r="1046" spans="1:8">
      <c r="A1046" s="1">
        <v>1054</v>
      </c>
      <c r="B1046" s="2" t="s">
        <v>2098</v>
      </c>
      <c r="C1046" s="3">
        <v>38001</v>
      </c>
      <c r="D1046" s="4">
        <f>YEAR(Table1[[#This Row],[Date]])</f>
        <v>2004</v>
      </c>
      <c r="E1046" s="2" t="s">
        <v>2094</v>
      </c>
      <c r="F1046" s="4">
        <v>2</v>
      </c>
      <c r="G1046" s="5">
        <v>8.3443048208269879</v>
      </c>
      <c r="H1046" s="6" t="s">
        <v>2082</v>
      </c>
    </row>
    <row r="1047" spans="1:8">
      <c r="A1047" s="1">
        <v>1055</v>
      </c>
      <c r="B1047" s="2" t="s">
        <v>2099</v>
      </c>
      <c r="C1047" s="3">
        <v>38540</v>
      </c>
      <c r="D1047" s="4">
        <f>YEAR(Table1[[#This Row],[Date]])</f>
        <v>2005</v>
      </c>
      <c r="E1047" s="2" t="s">
        <v>2088</v>
      </c>
      <c r="F1047" s="4">
        <v>42</v>
      </c>
      <c r="G1047" s="5">
        <v>127.68402675435583</v>
      </c>
      <c r="H1047" s="6" t="s">
        <v>2090</v>
      </c>
    </row>
    <row r="1048" spans="1:8">
      <c r="A1048" s="1">
        <v>1056</v>
      </c>
      <c r="B1048" s="2" t="s">
        <v>2080</v>
      </c>
      <c r="C1048" s="3">
        <v>38309</v>
      </c>
      <c r="D1048" s="4">
        <f>YEAR(Table1[[#This Row],[Date]])</f>
        <v>2004</v>
      </c>
      <c r="E1048" s="2" t="s">
        <v>2081</v>
      </c>
      <c r="F1048" s="4">
        <v>57</v>
      </c>
      <c r="G1048" s="5">
        <v>173.09988607692904</v>
      </c>
      <c r="H1048" s="6" t="s">
        <v>2096</v>
      </c>
    </row>
    <row r="1049" spans="1:8">
      <c r="A1049" s="1">
        <v>1057</v>
      </c>
      <c r="B1049" s="2" t="s">
        <v>2093</v>
      </c>
      <c r="C1049" s="3">
        <v>38254</v>
      </c>
      <c r="D1049" s="4">
        <f>YEAR(Table1[[#This Row],[Date]])</f>
        <v>2004</v>
      </c>
      <c r="E1049" s="2" t="s">
        <v>2085</v>
      </c>
      <c r="F1049" s="4">
        <v>63</v>
      </c>
      <c r="G1049" s="5">
        <v>190.20945346469671</v>
      </c>
      <c r="H1049" s="6" t="s">
        <v>2096</v>
      </c>
    </row>
    <row r="1050" spans="1:8">
      <c r="A1050" s="1">
        <v>1058</v>
      </c>
      <c r="B1050" s="2" t="s">
        <v>2080</v>
      </c>
      <c r="C1050" s="3">
        <v>38111</v>
      </c>
      <c r="D1050" s="4">
        <f>YEAR(Table1[[#This Row],[Date]])</f>
        <v>2004</v>
      </c>
      <c r="E1050" s="2" t="s">
        <v>2097</v>
      </c>
      <c r="F1050" s="4">
        <v>37</v>
      </c>
      <c r="G1050" s="5">
        <v>112.97090107811077</v>
      </c>
      <c r="H1050" s="6" t="s">
        <v>2086</v>
      </c>
    </row>
    <row r="1051" spans="1:8">
      <c r="A1051" s="1">
        <v>1059</v>
      </c>
      <c r="B1051" s="2" t="s">
        <v>2080</v>
      </c>
      <c r="C1051" s="3">
        <v>38056</v>
      </c>
      <c r="D1051" s="4">
        <f>YEAR(Table1[[#This Row],[Date]])</f>
        <v>2004</v>
      </c>
      <c r="E1051" s="2" t="s">
        <v>2081</v>
      </c>
      <c r="F1051" s="4">
        <v>30</v>
      </c>
      <c r="G1051" s="5">
        <v>92.612099918838155</v>
      </c>
      <c r="H1051" s="6" t="s">
        <v>2082</v>
      </c>
    </row>
    <row r="1052" spans="1:8">
      <c r="A1052" s="1">
        <v>1060</v>
      </c>
      <c r="B1052" s="2" t="s">
        <v>2084</v>
      </c>
      <c r="C1052" s="3">
        <v>38804</v>
      </c>
      <c r="D1052" s="4">
        <f>YEAR(Table1[[#This Row],[Date]])</f>
        <v>2006</v>
      </c>
      <c r="E1052" s="2" t="s">
        <v>2085</v>
      </c>
      <c r="F1052" s="4">
        <v>31</v>
      </c>
      <c r="G1052" s="5">
        <v>95.22083891239123</v>
      </c>
      <c r="H1052" s="6" t="s">
        <v>2096</v>
      </c>
    </row>
    <row r="1053" spans="1:8">
      <c r="A1053" s="1">
        <v>1061</v>
      </c>
      <c r="B1053" s="2" t="s">
        <v>2095</v>
      </c>
      <c r="C1053" s="3">
        <v>38056</v>
      </c>
      <c r="D1053" s="4">
        <f>YEAR(Table1[[#This Row],[Date]])</f>
        <v>2004</v>
      </c>
      <c r="E1053" s="2" t="s">
        <v>2094</v>
      </c>
      <c r="F1053" s="4">
        <v>55</v>
      </c>
      <c r="G1053" s="5">
        <v>167.32540465961139</v>
      </c>
      <c r="H1053" s="6" t="s">
        <v>2096</v>
      </c>
    </row>
    <row r="1054" spans="1:8">
      <c r="A1054" s="1">
        <v>1062</v>
      </c>
      <c r="B1054" s="2" t="s">
        <v>2099</v>
      </c>
      <c r="C1054" s="3">
        <v>38705</v>
      </c>
      <c r="D1054" s="4">
        <f>YEAR(Table1[[#This Row],[Date]])</f>
        <v>2005</v>
      </c>
      <c r="E1054" s="2" t="s">
        <v>2094</v>
      </c>
      <c r="F1054" s="4">
        <v>5</v>
      </c>
      <c r="G1054" s="5">
        <v>12.643881441117404</v>
      </c>
      <c r="H1054" s="6" t="s">
        <v>2082</v>
      </c>
    </row>
    <row r="1055" spans="1:8">
      <c r="A1055" s="1">
        <v>1063</v>
      </c>
      <c r="B1055" s="2" t="s">
        <v>2091</v>
      </c>
      <c r="C1055" s="3">
        <v>38100</v>
      </c>
      <c r="D1055" s="4">
        <f>YEAR(Table1[[#This Row],[Date]])</f>
        <v>2004</v>
      </c>
      <c r="E1055" s="2" t="s">
        <v>2081</v>
      </c>
      <c r="F1055" s="4">
        <v>28</v>
      </c>
      <c r="G1055" s="5">
        <v>85.460904685258157</v>
      </c>
      <c r="H1055" s="6" t="s">
        <v>2096</v>
      </c>
    </row>
    <row r="1056" spans="1:8">
      <c r="A1056" s="1">
        <v>1064</v>
      </c>
      <c r="B1056" s="2" t="s">
        <v>2098</v>
      </c>
      <c r="C1056" s="3">
        <v>38584</v>
      </c>
      <c r="D1056" s="4">
        <f>YEAR(Table1[[#This Row],[Date]])</f>
        <v>2005</v>
      </c>
      <c r="E1056" s="2" t="s">
        <v>2094</v>
      </c>
      <c r="F1056" s="4">
        <v>93</v>
      </c>
      <c r="G1056" s="5">
        <v>280.15032356040319</v>
      </c>
      <c r="H1056" s="6" t="s">
        <v>2086</v>
      </c>
    </row>
    <row r="1057" spans="1:8">
      <c r="A1057" s="1">
        <v>1065</v>
      </c>
      <c r="B1057" s="2" t="s">
        <v>2099</v>
      </c>
      <c r="C1057" s="3">
        <v>38639</v>
      </c>
      <c r="D1057" s="4">
        <f>YEAR(Table1[[#This Row],[Date]])</f>
        <v>2005</v>
      </c>
      <c r="E1057" s="2" t="s">
        <v>2088</v>
      </c>
      <c r="F1057" s="4">
        <v>13</v>
      </c>
      <c r="G1057" s="5">
        <v>40.969412971677201</v>
      </c>
      <c r="H1057" s="6" t="s">
        <v>2086</v>
      </c>
    </row>
    <row r="1058" spans="1:8">
      <c r="A1058" s="1">
        <v>1066</v>
      </c>
      <c r="B1058" s="2" t="s">
        <v>2080</v>
      </c>
      <c r="C1058" s="3">
        <v>38782</v>
      </c>
      <c r="D1058" s="4">
        <f>YEAR(Table1[[#This Row],[Date]])</f>
        <v>2006</v>
      </c>
      <c r="E1058" s="2" t="s">
        <v>2085</v>
      </c>
      <c r="F1058" s="4">
        <v>94</v>
      </c>
      <c r="G1058" s="5">
        <v>283.90021520553751</v>
      </c>
      <c r="H1058" s="6" t="s">
        <v>2096</v>
      </c>
    </row>
    <row r="1059" spans="1:8">
      <c r="A1059" s="1">
        <v>1067</v>
      </c>
      <c r="B1059" s="2" t="s">
        <v>2099</v>
      </c>
      <c r="C1059" s="3">
        <v>38430</v>
      </c>
      <c r="D1059" s="4">
        <f>YEAR(Table1[[#This Row],[Date]])</f>
        <v>2005</v>
      </c>
      <c r="E1059" s="2" t="s">
        <v>2085</v>
      </c>
      <c r="F1059" s="4">
        <v>1</v>
      </c>
      <c r="G1059" s="5">
        <v>4.8568701800652914</v>
      </c>
      <c r="H1059" s="6" t="s">
        <v>2096</v>
      </c>
    </row>
    <row r="1060" spans="1:8">
      <c r="A1060" s="1">
        <v>1068</v>
      </c>
      <c r="B1060" s="2" t="s">
        <v>2100</v>
      </c>
      <c r="C1060" s="3">
        <v>38628</v>
      </c>
      <c r="D1060" s="4">
        <f>YEAR(Table1[[#This Row],[Date]])</f>
        <v>2005</v>
      </c>
      <c r="E1060" s="2" t="s">
        <v>2085</v>
      </c>
      <c r="F1060" s="4">
        <v>5</v>
      </c>
      <c r="G1060" s="5">
        <v>16.493067805841463</v>
      </c>
      <c r="H1060" s="6" t="s">
        <v>2090</v>
      </c>
    </row>
    <row r="1061" spans="1:8">
      <c r="A1061" s="1">
        <v>1069</v>
      </c>
      <c r="B1061" s="2" t="s">
        <v>2093</v>
      </c>
      <c r="C1061" s="3">
        <v>38870</v>
      </c>
      <c r="D1061" s="4">
        <f>YEAR(Table1[[#This Row],[Date]])</f>
        <v>2006</v>
      </c>
      <c r="E1061" s="2" t="s">
        <v>2097</v>
      </c>
      <c r="F1061" s="4">
        <v>60</v>
      </c>
      <c r="G1061" s="5">
        <v>181.32960345577825</v>
      </c>
      <c r="H1061" s="6" t="s">
        <v>2082</v>
      </c>
    </row>
    <row r="1062" spans="1:8">
      <c r="A1062" s="1">
        <v>1070</v>
      </c>
      <c r="B1062" s="2" t="s">
        <v>2084</v>
      </c>
      <c r="C1062" s="3">
        <v>38188</v>
      </c>
      <c r="D1062" s="4">
        <f>YEAR(Table1[[#This Row],[Date]])</f>
        <v>2004</v>
      </c>
      <c r="E1062" s="2" t="s">
        <v>2081</v>
      </c>
      <c r="F1062" s="4">
        <v>67</v>
      </c>
      <c r="G1062" s="5">
        <v>203.02085582320817</v>
      </c>
      <c r="H1062" s="6" t="s">
        <v>2082</v>
      </c>
    </row>
    <row r="1063" spans="1:8">
      <c r="A1063" s="1">
        <v>1071</v>
      </c>
      <c r="B1063" s="2" t="s">
        <v>2084</v>
      </c>
      <c r="C1063" s="3">
        <v>38331</v>
      </c>
      <c r="D1063" s="4">
        <f>YEAR(Table1[[#This Row],[Date]])</f>
        <v>2004</v>
      </c>
      <c r="E1063" s="2" t="s">
        <v>2085</v>
      </c>
      <c r="F1063" s="4">
        <v>87</v>
      </c>
      <c r="G1063" s="5">
        <v>263.51929625786306</v>
      </c>
      <c r="H1063" s="6" t="s">
        <v>2082</v>
      </c>
    </row>
    <row r="1064" spans="1:8">
      <c r="A1064" s="1">
        <v>1072</v>
      </c>
      <c r="B1064" s="2" t="s">
        <v>2084</v>
      </c>
      <c r="C1064" s="3">
        <v>38309</v>
      </c>
      <c r="D1064" s="4">
        <f>YEAR(Table1[[#This Row],[Date]])</f>
        <v>2004</v>
      </c>
      <c r="E1064" s="2" t="s">
        <v>2097</v>
      </c>
      <c r="F1064" s="4">
        <v>53</v>
      </c>
      <c r="G1064" s="5">
        <v>161.06925467832338</v>
      </c>
      <c r="H1064" s="6" t="s">
        <v>2090</v>
      </c>
    </row>
    <row r="1065" spans="1:8">
      <c r="A1065" s="1">
        <v>1073</v>
      </c>
      <c r="B1065" s="2" t="s">
        <v>2099</v>
      </c>
      <c r="C1065" s="3">
        <v>38573</v>
      </c>
      <c r="D1065" s="4">
        <f>YEAR(Table1[[#This Row],[Date]])</f>
        <v>2005</v>
      </c>
      <c r="E1065" s="2" t="s">
        <v>2081</v>
      </c>
      <c r="F1065" s="4">
        <v>74</v>
      </c>
      <c r="G1065" s="5">
        <v>224.19731799549618</v>
      </c>
      <c r="H1065" s="6" t="s">
        <v>2082</v>
      </c>
    </row>
    <row r="1066" spans="1:8">
      <c r="A1066" s="1">
        <v>1074</v>
      </c>
      <c r="B1066" s="2" t="s">
        <v>2080</v>
      </c>
      <c r="C1066" s="3">
        <v>39035</v>
      </c>
      <c r="D1066" s="4">
        <f>YEAR(Table1[[#This Row],[Date]])</f>
        <v>2006</v>
      </c>
      <c r="E1066" s="2" t="s">
        <v>2081</v>
      </c>
      <c r="F1066" s="4">
        <v>83</v>
      </c>
      <c r="G1066" s="5">
        <v>251.40105252927455</v>
      </c>
      <c r="H1066" s="6" t="s">
        <v>2096</v>
      </c>
    </row>
    <row r="1067" spans="1:8">
      <c r="A1067" s="1">
        <v>1075</v>
      </c>
      <c r="B1067" s="2" t="s">
        <v>2100</v>
      </c>
      <c r="C1067" s="3">
        <v>38639</v>
      </c>
      <c r="D1067" s="4">
        <f>YEAR(Table1[[#This Row],[Date]])</f>
        <v>2005</v>
      </c>
      <c r="E1067" s="2" t="s">
        <v>2097</v>
      </c>
      <c r="F1067" s="4">
        <v>45</v>
      </c>
      <c r="G1067" s="5">
        <v>136.79350682205418</v>
      </c>
      <c r="H1067" s="6" t="s">
        <v>2086</v>
      </c>
    </row>
    <row r="1068" spans="1:8">
      <c r="A1068" s="1">
        <v>1076</v>
      </c>
      <c r="B1068" s="2" t="s">
        <v>2099</v>
      </c>
      <c r="C1068" s="3">
        <v>38166</v>
      </c>
      <c r="D1068" s="4">
        <f>YEAR(Table1[[#This Row],[Date]])</f>
        <v>2004</v>
      </c>
      <c r="E1068" s="2" t="s">
        <v>2081</v>
      </c>
      <c r="F1068" s="4">
        <v>36</v>
      </c>
      <c r="G1068" s="5">
        <v>109.96021821591992</v>
      </c>
      <c r="H1068" s="6" t="s">
        <v>2096</v>
      </c>
    </row>
    <row r="1069" spans="1:8">
      <c r="A1069" s="1">
        <v>1077</v>
      </c>
      <c r="B1069" s="2" t="s">
        <v>2084</v>
      </c>
      <c r="C1069" s="3">
        <v>38705</v>
      </c>
      <c r="D1069" s="4">
        <f>YEAR(Table1[[#This Row],[Date]])</f>
        <v>2005</v>
      </c>
      <c r="E1069" s="2" t="s">
        <v>2085</v>
      </c>
      <c r="F1069" s="4">
        <v>82</v>
      </c>
      <c r="G1069" s="5">
        <v>248.19651758376037</v>
      </c>
      <c r="H1069" s="6" t="s">
        <v>2086</v>
      </c>
    </row>
    <row r="1070" spans="1:8">
      <c r="A1070" s="1">
        <v>1078</v>
      </c>
      <c r="B1070" s="2" t="s">
        <v>2087</v>
      </c>
      <c r="C1070" s="3">
        <v>38958</v>
      </c>
      <c r="D1070" s="4">
        <f>YEAR(Table1[[#This Row],[Date]])</f>
        <v>2006</v>
      </c>
      <c r="E1070" s="2" t="s">
        <v>2085</v>
      </c>
      <c r="F1070" s="4">
        <v>18</v>
      </c>
      <c r="G1070" s="5">
        <v>56.505060708421091</v>
      </c>
      <c r="H1070" s="6" t="s">
        <v>2096</v>
      </c>
    </row>
    <row r="1071" spans="1:8">
      <c r="A1071" s="1">
        <v>1079</v>
      </c>
      <c r="B1071" s="2" t="s">
        <v>2098</v>
      </c>
      <c r="C1071" s="3">
        <v>38089</v>
      </c>
      <c r="D1071" s="4">
        <f>YEAR(Table1[[#This Row],[Date]])</f>
        <v>2004</v>
      </c>
      <c r="E1071" s="2" t="s">
        <v>2085</v>
      </c>
      <c r="F1071" s="4">
        <v>21</v>
      </c>
      <c r="G1071" s="5">
        <v>64.56759924886002</v>
      </c>
      <c r="H1071" s="6" t="s">
        <v>2082</v>
      </c>
    </row>
    <row r="1072" spans="1:8">
      <c r="A1072" s="1">
        <v>1080</v>
      </c>
      <c r="B1072" s="2" t="s">
        <v>2093</v>
      </c>
      <c r="C1072" s="3">
        <v>38529</v>
      </c>
      <c r="D1072" s="4">
        <f>YEAR(Table1[[#This Row],[Date]])</f>
        <v>2005</v>
      </c>
      <c r="E1072" s="2" t="s">
        <v>2085</v>
      </c>
      <c r="F1072" s="4">
        <v>56</v>
      </c>
      <c r="G1072" s="5">
        <v>170.16525129894848</v>
      </c>
      <c r="H1072" s="6" t="s">
        <v>2082</v>
      </c>
    </row>
    <row r="1073" spans="1:8">
      <c r="A1073" s="1">
        <v>1081</v>
      </c>
      <c r="B1073" s="2" t="s">
        <v>2100</v>
      </c>
      <c r="C1073" s="3">
        <v>38837</v>
      </c>
      <c r="D1073" s="4">
        <f>YEAR(Table1[[#This Row],[Date]])</f>
        <v>2006</v>
      </c>
      <c r="E1073" s="2" t="s">
        <v>2094</v>
      </c>
      <c r="F1073" s="4">
        <v>51</v>
      </c>
      <c r="G1073" s="5">
        <v>154.96390627719521</v>
      </c>
      <c r="H1073" s="6" t="s">
        <v>2096</v>
      </c>
    </row>
    <row r="1074" spans="1:8">
      <c r="A1074" s="1">
        <v>1082</v>
      </c>
      <c r="B1074" s="2" t="s">
        <v>2095</v>
      </c>
      <c r="C1074" s="3">
        <v>38782</v>
      </c>
      <c r="D1074" s="4">
        <f>YEAR(Table1[[#This Row],[Date]])</f>
        <v>2006</v>
      </c>
      <c r="E1074" s="2" t="s">
        <v>2085</v>
      </c>
      <c r="F1074" s="4">
        <v>88</v>
      </c>
      <c r="G1074" s="5">
        <v>266.15496391241169</v>
      </c>
      <c r="H1074" s="6" t="s">
        <v>2090</v>
      </c>
    </row>
    <row r="1075" spans="1:8">
      <c r="A1075" s="1">
        <v>1083</v>
      </c>
      <c r="B1075" s="2" t="s">
        <v>2098</v>
      </c>
      <c r="C1075" s="3">
        <v>38463</v>
      </c>
      <c r="D1075" s="4">
        <f>YEAR(Table1[[#This Row],[Date]])</f>
        <v>2005</v>
      </c>
      <c r="E1075" s="2" t="s">
        <v>2094</v>
      </c>
      <c r="F1075" s="4">
        <v>93</v>
      </c>
      <c r="G1075" s="5">
        <v>280.95785849203958</v>
      </c>
      <c r="H1075" s="6" t="s">
        <v>2096</v>
      </c>
    </row>
    <row r="1076" spans="1:8">
      <c r="A1076" s="1">
        <v>1084</v>
      </c>
      <c r="B1076" s="2" t="s">
        <v>2087</v>
      </c>
      <c r="C1076" s="3">
        <v>38254</v>
      </c>
      <c r="D1076" s="4">
        <f>YEAR(Table1[[#This Row],[Date]])</f>
        <v>2004</v>
      </c>
      <c r="E1076" s="2" t="s">
        <v>2081</v>
      </c>
      <c r="F1076" s="4">
        <v>4</v>
      </c>
      <c r="G1076" s="5">
        <v>9.79509378079055</v>
      </c>
      <c r="H1076" s="6" t="s">
        <v>2090</v>
      </c>
    </row>
    <row r="1077" spans="1:8">
      <c r="A1077" s="1">
        <v>1085</v>
      </c>
      <c r="B1077" s="2" t="s">
        <v>2093</v>
      </c>
      <c r="C1077" s="3">
        <v>38463</v>
      </c>
      <c r="D1077" s="4">
        <f>YEAR(Table1[[#This Row],[Date]])</f>
        <v>2005</v>
      </c>
      <c r="E1077" s="2" t="s">
        <v>2094</v>
      </c>
      <c r="F1077" s="4">
        <v>30</v>
      </c>
      <c r="G1077" s="5">
        <v>91.838519584417725</v>
      </c>
      <c r="H1077" s="6" t="s">
        <v>2082</v>
      </c>
    </row>
    <row r="1078" spans="1:8">
      <c r="A1078" s="1">
        <v>1086</v>
      </c>
      <c r="B1078" s="2" t="s">
        <v>2099</v>
      </c>
      <c r="C1078" s="3">
        <v>38705</v>
      </c>
      <c r="D1078" s="4">
        <f>YEAR(Table1[[#This Row],[Date]])</f>
        <v>2005</v>
      </c>
      <c r="E1078" s="2" t="s">
        <v>2085</v>
      </c>
      <c r="F1078" s="4">
        <v>81</v>
      </c>
      <c r="G1078" s="5">
        <v>245.61829415980108</v>
      </c>
      <c r="H1078" s="6" t="s">
        <v>2082</v>
      </c>
    </row>
    <row r="1079" spans="1:8">
      <c r="A1079" s="1">
        <v>1087</v>
      </c>
      <c r="B1079" s="2" t="s">
        <v>2093</v>
      </c>
      <c r="C1079" s="3">
        <v>38463</v>
      </c>
      <c r="D1079" s="4">
        <f>YEAR(Table1[[#This Row],[Date]])</f>
        <v>2005</v>
      </c>
      <c r="E1079" s="2" t="s">
        <v>2085</v>
      </c>
      <c r="F1079" s="4">
        <v>58</v>
      </c>
      <c r="G1079" s="5">
        <v>175.7935070061545</v>
      </c>
      <c r="H1079" s="6" t="s">
        <v>2086</v>
      </c>
    </row>
    <row r="1080" spans="1:8">
      <c r="A1080" s="1">
        <v>1088</v>
      </c>
      <c r="B1080" s="2" t="s">
        <v>2087</v>
      </c>
      <c r="C1080" s="3">
        <v>37990</v>
      </c>
      <c r="D1080" s="4">
        <f>YEAR(Table1[[#This Row],[Date]])</f>
        <v>2004</v>
      </c>
      <c r="E1080" s="2" t="s">
        <v>2097</v>
      </c>
      <c r="F1080" s="4">
        <v>50</v>
      </c>
      <c r="G1080" s="5">
        <v>151.96180824733827</v>
      </c>
      <c r="H1080" s="6" t="s">
        <v>2086</v>
      </c>
    </row>
    <row r="1081" spans="1:8">
      <c r="A1081" s="1">
        <v>1089</v>
      </c>
      <c r="B1081" s="2" t="s">
        <v>2091</v>
      </c>
      <c r="C1081" s="3">
        <v>38166</v>
      </c>
      <c r="D1081" s="4">
        <f>YEAR(Table1[[#This Row],[Date]])</f>
        <v>2004</v>
      </c>
      <c r="E1081" s="2" t="s">
        <v>2081</v>
      </c>
      <c r="F1081" s="4">
        <v>92</v>
      </c>
      <c r="G1081" s="5">
        <v>277.64731000872155</v>
      </c>
      <c r="H1081" s="6" t="s">
        <v>2082</v>
      </c>
    </row>
    <row r="1082" spans="1:8">
      <c r="A1082" s="1">
        <v>1090</v>
      </c>
      <c r="B1082" s="2" t="s">
        <v>2087</v>
      </c>
      <c r="C1082" s="3">
        <v>39035</v>
      </c>
      <c r="D1082" s="4">
        <f>YEAR(Table1[[#This Row],[Date]])</f>
        <v>2006</v>
      </c>
      <c r="E1082" s="2" t="s">
        <v>2085</v>
      </c>
      <c r="F1082" s="4">
        <v>27</v>
      </c>
      <c r="G1082" s="5">
        <v>82.124904169698794</v>
      </c>
      <c r="H1082" s="6" t="s">
        <v>2082</v>
      </c>
    </row>
    <row r="1083" spans="1:8">
      <c r="A1083" s="1">
        <v>1091</v>
      </c>
      <c r="B1083" s="2" t="s">
        <v>2091</v>
      </c>
      <c r="C1083" s="3">
        <v>38221</v>
      </c>
      <c r="D1083" s="4">
        <f>YEAR(Table1[[#This Row],[Date]])</f>
        <v>2004</v>
      </c>
      <c r="E1083" s="2" t="s">
        <v>2085</v>
      </c>
      <c r="F1083" s="4">
        <v>61</v>
      </c>
      <c r="G1083" s="5">
        <v>184.45390394551416</v>
      </c>
      <c r="H1083" s="6" t="s">
        <v>2082</v>
      </c>
    </row>
    <row r="1084" spans="1:8">
      <c r="A1084" s="1">
        <v>1092</v>
      </c>
      <c r="B1084" s="2" t="s">
        <v>2093</v>
      </c>
      <c r="C1084" s="3">
        <v>38925</v>
      </c>
      <c r="D1084" s="4">
        <f>YEAR(Table1[[#This Row],[Date]])</f>
        <v>2006</v>
      </c>
      <c r="E1084" s="2" t="s">
        <v>2097</v>
      </c>
      <c r="F1084" s="4">
        <v>7</v>
      </c>
      <c r="G1084" s="5">
        <v>23.198272342782062</v>
      </c>
      <c r="H1084" s="6" t="s">
        <v>2082</v>
      </c>
    </row>
    <row r="1085" spans="1:8">
      <c r="A1085" s="1">
        <v>1093</v>
      </c>
      <c r="B1085" s="2" t="s">
        <v>2080</v>
      </c>
      <c r="C1085" s="3">
        <v>38331</v>
      </c>
      <c r="D1085" s="4">
        <f>YEAR(Table1[[#This Row],[Date]])</f>
        <v>2004</v>
      </c>
      <c r="E1085" s="2" t="s">
        <v>2081</v>
      </c>
      <c r="F1085" s="4">
        <v>25</v>
      </c>
      <c r="G1085" s="5">
        <v>76.517978614258837</v>
      </c>
      <c r="H1085" s="6" t="s">
        <v>2086</v>
      </c>
    </row>
    <row r="1086" spans="1:8">
      <c r="A1086" s="1">
        <v>1094</v>
      </c>
      <c r="B1086" s="2" t="s">
        <v>2087</v>
      </c>
      <c r="C1086" s="3">
        <v>38221</v>
      </c>
      <c r="D1086" s="4">
        <f>YEAR(Table1[[#This Row],[Date]])</f>
        <v>2004</v>
      </c>
      <c r="E1086" s="2" t="s">
        <v>2081</v>
      </c>
      <c r="F1086" s="4">
        <v>84</v>
      </c>
      <c r="G1086" s="5">
        <v>254.21310769001889</v>
      </c>
      <c r="H1086" s="6" t="s">
        <v>2082</v>
      </c>
    </row>
    <row r="1087" spans="1:8">
      <c r="A1087" s="1">
        <v>1095</v>
      </c>
      <c r="B1087" s="2" t="s">
        <v>2080</v>
      </c>
      <c r="C1087" s="3">
        <v>38078</v>
      </c>
      <c r="D1087" s="4">
        <f>YEAR(Table1[[#This Row],[Date]])</f>
        <v>2004</v>
      </c>
      <c r="E1087" s="2" t="s">
        <v>2094</v>
      </c>
      <c r="F1087" s="4">
        <v>66</v>
      </c>
      <c r="G1087" s="5">
        <v>199.92451734594025</v>
      </c>
      <c r="H1087" s="6" t="s">
        <v>2090</v>
      </c>
    </row>
    <row r="1088" spans="1:8">
      <c r="A1088" s="1">
        <v>1096</v>
      </c>
      <c r="B1088" s="2" t="s">
        <v>2098</v>
      </c>
      <c r="C1088" s="3">
        <v>38111</v>
      </c>
      <c r="D1088" s="4">
        <f>YEAR(Table1[[#This Row],[Date]])</f>
        <v>2004</v>
      </c>
      <c r="E1088" s="2" t="s">
        <v>2094</v>
      </c>
      <c r="F1088" s="4">
        <v>89</v>
      </c>
      <c r="G1088" s="5">
        <v>269.23471780277339</v>
      </c>
      <c r="H1088" s="6" t="s">
        <v>2096</v>
      </c>
    </row>
    <row r="1089" spans="1:8">
      <c r="A1089" s="1">
        <v>1097</v>
      </c>
      <c r="B1089" s="2" t="s">
        <v>2095</v>
      </c>
      <c r="C1089" s="3">
        <v>38485</v>
      </c>
      <c r="D1089" s="4">
        <f>YEAR(Table1[[#This Row],[Date]])</f>
        <v>2005</v>
      </c>
      <c r="E1089" s="2" t="s">
        <v>2085</v>
      </c>
      <c r="F1089" s="4">
        <v>32</v>
      </c>
      <c r="G1089" s="5">
        <v>97.883310582745409</v>
      </c>
      <c r="H1089" s="6" t="s">
        <v>2086</v>
      </c>
    </row>
    <row r="1090" spans="1:8">
      <c r="A1090" s="1">
        <v>1098</v>
      </c>
      <c r="B1090" s="2" t="s">
        <v>2095</v>
      </c>
      <c r="C1090" s="3">
        <v>38903</v>
      </c>
      <c r="D1090" s="4">
        <f>YEAR(Table1[[#This Row],[Date]])</f>
        <v>2006</v>
      </c>
      <c r="E1090" s="2" t="s">
        <v>2081</v>
      </c>
      <c r="F1090" s="4">
        <v>78</v>
      </c>
      <c r="G1090" s="5">
        <v>236.26032561473036</v>
      </c>
      <c r="H1090" s="6" t="s">
        <v>2086</v>
      </c>
    </row>
    <row r="1091" spans="1:8">
      <c r="A1091" s="1">
        <v>1099</v>
      </c>
      <c r="B1091" s="2" t="s">
        <v>2098</v>
      </c>
      <c r="C1091" s="3">
        <v>38793</v>
      </c>
      <c r="D1091" s="4">
        <f>YEAR(Table1[[#This Row],[Date]])</f>
        <v>2006</v>
      </c>
      <c r="E1091" s="2" t="s">
        <v>2088</v>
      </c>
      <c r="F1091" s="4">
        <v>56</v>
      </c>
      <c r="G1091" s="5">
        <v>169.98666558680949</v>
      </c>
      <c r="H1091" s="6" t="s">
        <v>2090</v>
      </c>
    </row>
    <row r="1092" spans="1:8">
      <c r="A1092" s="1">
        <v>1100</v>
      </c>
      <c r="B1092" s="2" t="s">
        <v>2093</v>
      </c>
      <c r="C1092" s="3">
        <v>39079</v>
      </c>
      <c r="D1092" s="4">
        <f>YEAR(Table1[[#This Row],[Date]])</f>
        <v>2006</v>
      </c>
      <c r="E1092" s="2" t="s">
        <v>2085</v>
      </c>
      <c r="F1092" s="4">
        <v>80</v>
      </c>
      <c r="G1092" s="5">
        <v>241.53786763068013</v>
      </c>
      <c r="H1092" s="6" t="s">
        <v>2086</v>
      </c>
    </row>
    <row r="1093" spans="1:8">
      <c r="A1093" s="1">
        <v>1101</v>
      </c>
      <c r="B1093" s="2" t="s">
        <v>2100</v>
      </c>
      <c r="C1093" s="3">
        <v>38386</v>
      </c>
      <c r="D1093" s="4">
        <f>YEAR(Table1[[#This Row],[Date]])</f>
        <v>2005</v>
      </c>
      <c r="E1093" s="2" t="s">
        <v>2097</v>
      </c>
      <c r="F1093" s="4">
        <v>72</v>
      </c>
      <c r="G1093" s="5">
        <v>218.32896513434619</v>
      </c>
      <c r="H1093" s="6" t="s">
        <v>2086</v>
      </c>
    </row>
    <row r="1094" spans="1:8">
      <c r="A1094" s="1">
        <v>1102</v>
      </c>
      <c r="B1094" s="2" t="s">
        <v>2091</v>
      </c>
      <c r="C1094" s="3">
        <v>38672</v>
      </c>
      <c r="D1094" s="4">
        <f>YEAR(Table1[[#This Row],[Date]])</f>
        <v>2005</v>
      </c>
      <c r="E1094" s="2" t="s">
        <v>2081</v>
      </c>
      <c r="F1094" s="4">
        <v>23</v>
      </c>
      <c r="G1094" s="5">
        <v>71.298686579104526</v>
      </c>
      <c r="H1094" s="6" t="s">
        <v>2096</v>
      </c>
    </row>
    <row r="1095" spans="1:8">
      <c r="A1095" s="1">
        <v>1103</v>
      </c>
      <c r="B1095" s="2" t="s">
        <v>2100</v>
      </c>
      <c r="C1095" s="3">
        <v>38782</v>
      </c>
      <c r="D1095" s="4">
        <f>YEAR(Table1[[#This Row],[Date]])</f>
        <v>2006</v>
      </c>
      <c r="E1095" s="2" t="s">
        <v>2097</v>
      </c>
      <c r="F1095" s="4">
        <v>2</v>
      </c>
      <c r="G1095" s="5">
        <v>3.6886090441469834</v>
      </c>
      <c r="H1095" s="6" t="s">
        <v>2090</v>
      </c>
    </row>
    <row r="1096" spans="1:8">
      <c r="A1096" s="1">
        <v>1104</v>
      </c>
      <c r="B1096" s="2" t="s">
        <v>2093</v>
      </c>
      <c r="C1096" s="3">
        <v>38265</v>
      </c>
      <c r="D1096" s="4">
        <f>YEAR(Table1[[#This Row],[Date]])</f>
        <v>2004</v>
      </c>
      <c r="E1096" s="2" t="s">
        <v>2081</v>
      </c>
      <c r="F1096" s="4">
        <v>81</v>
      </c>
      <c r="G1096" s="5">
        <v>245.36857839567088</v>
      </c>
      <c r="H1096" s="6" t="s">
        <v>2082</v>
      </c>
    </row>
    <row r="1097" spans="1:8">
      <c r="A1097" s="1">
        <v>1105</v>
      </c>
      <c r="B1097" s="2" t="s">
        <v>2098</v>
      </c>
      <c r="C1097" s="3">
        <v>38661</v>
      </c>
      <c r="D1097" s="4">
        <f>YEAR(Table1[[#This Row],[Date]])</f>
        <v>2005</v>
      </c>
      <c r="E1097" s="2" t="s">
        <v>2088</v>
      </c>
      <c r="F1097" s="4">
        <v>4</v>
      </c>
      <c r="G1097" s="5">
        <v>10.626598892969428</v>
      </c>
      <c r="H1097" s="6" t="s">
        <v>2090</v>
      </c>
    </row>
    <row r="1098" spans="1:8">
      <c r="A1098" s="1">
        <v>1106</v>
      </c>
      <c r="B1098" s="2" t="s">
        <v>2080</v>
      </c>
      <c r="C1098" s="3">
        <v>38353</v>
      </c>
      <c r="D1098" s="4">
        <f>YEAR(Table1[[#This Row],[Date]])</f>
        <v>2005</v>
      </c>
      <c r="E1098" s="2" t="s">
        <v>2097</v>
      </c>
      <c r="F1098" s="4">
        <v>81</v>
      </c>
      <c r="G1098" s="5">
        <v>245.47079100584946</v>
      </c>
      <c r="H1098" s="6" t="s">
        <v>2082</v>
      </c>
    </row>
    <row r="1099" spans="1:8">
      <c r="A1099" s="1">
        <v>1107</v>
      </c>
      <c r="B1099" s="2" t="s">
        <v>2093</v>
      </c>
      <c r="C1099" s="3">
        <v>38056</v>
      </c>
      <c r="D1099" s="4">
        <f>YEAR(Table1[[#This Row],[Date]])</f>
        <v>2004</v>
      </c>
      <c r="E1099" s="2" t="s">
        <v>2088</v>
      </c>
      <c r="F1099" s="4">
        <v>9</v>
      </c>
      <c r="G1099" s="5">
        <v>24.901607770449246</v>
      </c>
      <c r="H1099" s="6" t="s">
        <v>2086</v>
      </c>
    </row>
    <row r="1100" spans="1:8">
      <c r="A1100" s="1">
        <v>1108</v>
      </c>
      <c r="B1100" s="2" t="s">
        <v>2084</v>
      </c>
      <c r="C1100" s="3">
        <v>38419</v>
      </c>
      <c r="D1100" s="4">
        <f>YEAR(Table1[[#This Row],[Date]])</f>
        <v>2005</v>
      </c>
      <c r="E1100" s="2" t="s">
        <v>2094</v>
      </c>
      <c r="F1100" s="4">
        <v>67</v>
      </c>
      <c r="G1100" s="5">
        <v>203.3886615347389</v>
      </c>
      <c r="H1100" s="6" t="s">
        <v>2090</v>
      </c>
    </row>
    <row r="1101" spans="1:8">
      <c r="A1101" s="1">
        <v>1109</v>
      </c>
      <c r="B1101" s="2" t="s">
        <v>2080</v>
      </c>
      <c r="C1101" s="3">
        <v>38386</v>
      </c>
      <c r="D1101" s="4">
        <f>YEAR(Table1[[#This Row],[Date]])</f>
        <v>2005</v>
      </c>
      <c r="E1101" s="2" t="s">
        <v>2097</v>
      </c>
      <c r="F1101" s="4">
        <v>27</v>
      </c>
      <c r="G1101" s="5">
        <v>83.259650238493791</v>
      </c>
      <c r="H1101" s="6" t="s">
        <v>2090</v>
      </c>
    </row>
    <row r="1102" spans="1:8">
      <c r="A1102" s="1">
        <v>1110</v>
      </c>
      <c r="B1102" s="2" t="s">
        <v>2093</v>
      </c>
      <c r="C1102" s="3">
        <v>38782</v>
      </c>
      <c r="D1102" s="4">
        <f>YEAR(Table1[[#This Row],[Date]])</f>
        <v>2006</v>
      </c>
      <c r="E1102" s="2" t="s">
        <v>2097</v>
      </c>
      <c r="F1102" s="4">
        <v>1</v>
      </c>
      <c r="G1102" s="5">
        <v>1.4486502930593175</v>
      </c>
      <c r="H1102" s="6" t="s">
        <v>2096</v>
      </c>
    </row>
    <row r="1103" spans="1:8">
      <c r="A1103" s="1">
        <v>1111</v>
      </c>
      <c r="B1103" s="2" t="s">
        <v>2087</v>
      </c>
      <c r="C1103" s="3">
        <v>38595</v>
      </c>
      <c r="D1103" s="4">
        <f>YEAR(Table1[[#This Row],[Date]])</f>
        <v>2005</v>
      </c>
      <c r="E1103" s="2" t="s">
        <v>2097</v>
      </c>
      <c r="F1103" s="4">
        <v>24</v>
      </c>
      <c r="G1103" s="5">
        <v>74.448442468444156</v>
      </c>
      <c r="H1103" s="6" t="s">
        <v>2096</v>
      </c>
    </row>
    <row r="1104" spans="1:8">
      <c r="A1104" s="1">
        <v>1112</v>
      </c>
      <c r="B1104" s="2" t="s">
        <v>2084</v>
      </c>
      <c r="C1104" s="3">
        <v>38749</v>
      </c>
      <c r="D1104" s="4">
        <f>YEAR(Table1[[#This Row],[Date]])</f>
        <v>2006</v>
      </c>
      <c r="E1104" s="2" t="s">
        <v>2094</v>
      </c>
      <c r="F1104" s="4">
        <v>80</v>
      </c>
      <c r="G1104" s="5">
        <v>241.96811222876255</v>
      </c>
      <c r="H1104" s="6" t="s">
        <v>2096</v>
      </c>
    </row>
    <row r="1105" spans="1:8">
      <c r="A1105" s="1">
        <v>1113</v>
      </c>
      <c r="B1105" s="2" t="s">
        <v>2091</v>
      </c>
      <c r="C1105" s="3">
        <v>38265</v>
      </c>
      <c r="D1105" s="4">
        <f>YEAR(Table1[[#This Row],[Date]])</f>
        <v>2004</v>
      </c>
      <c r="E1105" s="2" t="s">
        <v>2081</v>
      </c>
      <c r="F1105" s="4">
        <v>82</v>
      </c>
      <c r="G1105" s="5">
        <v>248.20917526875209</v>
      </c>
      <c r="H1105" s="6" t="s">
        <v>2082</v>
      </c>
    </row>
    <row r="1106" spans="1:8">
      <c r="A1106" s="1">
        <v>1114</v>
      </c>
      <c r="B1106" s="2" t="s">
        <v>2099</v>
      </c>
      <c r="C1106" s="3">
        <v>38716</v>
      </c>
      <c r="D1106" s="4">
        <f>YEAR(Table1[[#This Row],[Date]])</f>
        <v>2005</v>
      </c>
      <c r="E1106" s="2" t="s">
        <v>2085</v>
      </c>
      <c r="F1106" s="4">
        <v>1</v>
      </c>
      <c r="G1106" s="5">
        <v>5.5518623429739176</v>
      </c>
      <c r="H1106" s="6" t="s">
        <v>2096</v>
      </c>
    </row>
    <row r="1107" spans="1:8">
      <c r="A1107" s="1">
        <v>1115</v>
      </c>
      <c r="B1107" s="2" t="s">
        <v>2095</v>
      </c>
      <c r="C1107" s="3">
        <v>38089</v>
      </c>
      <c r="D1107" s="4">
        <f>YEAR(Table1[[#This Row],[Date]])</f>
        <v>2004</v>
      </c>
      <c r="E1107" s="2" t="s">
        <v>2085</v>
      </c>
      <c r="F1107" s="4">
        <v>11</v>
      </c>
      <c r="G1107" s="5">
        <v>35.277547883231819</v>
      </c>
      <c r="H1107" s="6" t="s">
        <v>2090</v>
      </c>
    </row>
    <row r="1108" spans="1:8">
      <c r="A1108" s="1">
        <v>1116</v>
      </c>
      <c r="B1108" s="2" t="s">
        <v>2080</v>
      </c>
      <c r="C1108" s="3">
        <v>38914</v>
      </c>
      <c r="D1108" s="4">
        <f>YEAR(Table1[[#This Row],[Date]])</f>
        <v>2006</v>
      </c>
      <c r="E1108" s="2" t="s">
        <v>2097</v>
      </c>
      <c r="F1108" s="4">
        <v>12</v>
      </c>
      <c r="G1108" s="5">
        <v>37.331388811713445</v>
      </c>
      <c r="H1108" s="6" t="s">
        <v>2096</v>
      </c>
    </row>
    <row r="1109" spans="1:8">
      <c r="A1109" s="1">
        <v>1117</v>
      </c>
      <c r="B1109" s="2" t="s">
        <v>2100</v>
      </c>
      <c r="C1109" s="3">
        <v>38331</v>
      </c>
      <c r="D1109" s="4">
        <f>YEAR(Table1[[#This Row],[Date]])</f>
        <v>2004</v>
      </c>
      <c r="E1109" s="2" t="s">
        <v>2094</v>
      </c>
      <c r="F1109" s="4">
        <v>54</v>
      </c>
      <c r="G1109" s="5">
        <v>164.38171569287022</v>
      </c>
      <c r="H1109" s="6" t="s">
        <v>2096</v>
      </c>
    </row>
    <row r="1110" spans="1:8">
      <c r="A1110" s="1">
        <v>1118</v>
      </c>
      <c r="B1110" s="2" t="s">
        <v>2099</v>
      </c>
      <c r="C1110" s="3">
        <v>39024</v>
      </c>
      <c r="D1110" s="4">
        <f>YEAR(Table1[[#This Row],[Date]])</f>
        <v>2006</v>
      </c>
      <c r="E1110" s="2" t="s">
        <v>2097</v>
      </c>
      <c r="F1110" s="4">
        <v>78</v>
      </c>
      <c r="G1110" s="5">
        <v>236.65619273355256</v>
      </c>
      <c r="H1110" s="6" t="s">
        <v>2090</v>
      </c>
    </row>
    <row r="1111" spans="1:8">
      <c r="A1111" s="1">
        <v>1119</v>
      </c>
      <c r="B1111" s="2" t="s">
        <v>2100</v>
      </c>
      <c r="C1111" s="3">
        <v>38023</v>
      </c>
      <c r="D1111" s="4">
        <f>YEAR(Table1[[#This Row],[Date]])</f>
        <v>2004</v>
      </c>
      <c r="E1111" s="2" t="s">
        <v>2097</v>
      </c>
      <c r="F1111" s="4">
        <v>8</v>
      </c>
      <c r="G1111" s="5">
        <v>21.770000035096253</v>
      </c>
      <c r="H1111" s="6" t="s">
        <v>2090</v>
      </c>
    </row>
    <row r="1112" spans="1:8">
      <c r="A1112" s="1">
        <v>1120</v>
      </c>
      <c r="B1112" s="2" t="s">
        <v>2080</v>
      </c>
      <c r="C1112" s="3">
        <v>38034</v>
      </c>
      <c r="D1112" s="4">
        <f>YEAR(Table1[[#This Row],[Date]])</f>
        <v>2004</v>
      </c>
      <c r="E1112" s="2" t="s">
        <v>2094</v>
      </c>
      <c r="F1112" s="4">
        <v>6</v>
      </c>
      <c r="G1112" s="5">
        <v>19.844298491399009</v>
      </c>
      <c r="H1112" s="6" t="s">
        <v>2082</v>
      </c>
    </row>
    <row r="1113" spans="1:8">
      <c r="A1113" s="1">
        <v>1121</v>
      </c>
      <c r="B1113" s="2" t="s">
        <v>2091</v>
      </c>
      <c r="C1113" s="3">
        <v>38265</v>
      </c>
      <c r="D1113" s="4">
        <f>YEAR(Table1[[#This Row],[Date]])</f>
        <v>2004</v>
      </c>
      <c r="E1113" s="2" t="s">
        <v>2085</v>
      </c>
      <c r="F1113" s="4">
        <v>30</v>
      </c>
      <c r="G1113" s="5">
        <v>91.748243472806891</v>
      </c>
      <c r="H1113" s="6" t="s">
        <v>2090</v>
      </c>
    </row>
    <row r="1114" spans="1:8">
      <c r="A1114" s="1">
        <v>1122</v>
      </c>
      <c r="B1114" s="2" t="s">
        <v>2093</v>
      </c>
      <c r="C1114" s="3">
        <v>38749</v>
      </c>
      <c r="D1114" s="4">
        <f>YEAR(Table1[[#This Row],[Date]])</f>
        <v>2006</v>
      </c>
      <c r="E1114" s="2" t="s">
        <v>2081</v>
      </c>
      <c r="F1114" s="4">
        <v>55</v>
      </c>
      <c r="G1114" s="5">
        <v>166.81449022634519</v>
      </c>
      <c r="H1114" s="6" t="s">
        <v>2082</v>
      </c>
    </row>
    <row r="1115" spans="1:8">
      <c r="A1115" s="1">
        <v>1123</v>
      </c>
      <c r="B1115" s="2" t="s">
        <v>2100</v>
      </c>
      <c r="C1115" s="3">
        <v>38804</v>
      </c>
      <c r="D1115" s="4">
        <f>YEAR(Table1[[#This Row],[Date]])</f>
        <v>2006</v>
      </c>
      <c r="E1115" s="2" t="s">
        <v>2094</v>
      </c>
      <c r="F1115" s="4">
        <v>53</v>
      </c>
      <c r="G1115" s="5">
        <v>161.24130416457103</v>
      </c>
      <c r="H1115" s="6" t="s">
        <v>2096</v>
      </c>
    </row>
    <row r="1116" spans="1:8">
      <c r="A1116" s="1">
        <v>1124</v>
      </c>
      <c r="B1116" s="2" t="s">
        <v>2087</v>
      </c>
      <c r="C1116" s="3">
        <v>38397</v>
      </c>
      <c r="D1116" s="4">
        <f>YEAR(Table1[[#This Row],[Date]])</f>
        <v>2005</v>
      </c>
      <c r="E1116" s="2" t="s">
        <v>2097</v>
      </c>
      <c r="F1116" s="4">
        <v>29</v>
      </c>
      <c r="G1116" s="5">
        <v>88.931035912155679</v>
      </c>
      <c r="H1116" s="6" t="s">
        <v>2096</v>
      </c>
    </row>
    <row r="1117" spans="1:8">
      <c r="A1117" s="1">
        <v>1125</v>
      </c>
      <c r="B1117" s="2" t="s">
        <v>2080</v>
      </c>
      <c r="C1117" s="3">
        <v>38089</v>
      </c>
      <c r="D1117" s="4">
        <f>YEAR(Table1[[#This Row],[Date]])</f>
        <v>2004</v>
      </c>
      <c r="E1117" s="2" t="s">
        <v>2081</v>
      </c>
      <c r="F1117" s="4">
        <v>75</v>
      </c>
      <c r="G1117" s="5">
        <v>227.03788190973427</v>
      </c>
      <c r="H1117" s="6" t="s">
        <v>2086</v>
      </c>
    </row>
    <row r="1118" spans="1:8">
      <c r="A1118" s="1">
        <v>1126</v>
      </c>
      <c r="B1118" s="2" t="s">
        <v>2087</v>
      </c>
      <c r="C1118" s="3">
        <v>38320</v>
      </c>
      <c r="D1118" s="4">
        <f>YEAR(Table1[[#This Row],[Date]])</f>
        <v>2004</v>
      </c>
      <c r="E1118" s="2" t="s">
        <v>2085</v>
      </c>
      <c r="F1118" s="4">
        <v>78</v>
      </c>
      <c r="G1118" s="5">
        <v>235.68084148847547</v>
      </c>
      <c r="H1118" s="6" t="s">
        <v>2082</v>
      </c>
    </row>
    <row r="1119" spans="1:8">
      <c r="A1119" s="1">
        <v>1127</v>
      </c>
      <c r="B1119" s="2" t="s">
        <v>2091</v>
      </c>
      <c r="C1119" s="3">
        <v>38980</v>
      </c>
      <c r="D1119" s="4">
        <f>YEAR(Table1[[#This Row],[Date]])</f>
        <v>2006</v>
      </c>
      <c r="E1119" s="2" t="s">
        <v>2085</v>
      </c>
      <c r="F1119" s="4">
        <v>6</v>
      </c>
      <c r="G1119" s="5">
        <v>20.386126115237083</v>
      </c>
      <c r="H1119" s="6" t="s">
        <v>2082</v>
      </c>
    </row>
    <row r="1120" spans="1:8">
      <c r="A1120" s="1">
        <v>1128</v>
      </c>
      <c r="B1120" s="2" t="s">
        <v>2093</v>
      </c>
      <c r="C1120" s="3">
        <v>38562</v>
      </c>
      <c r="D1120" s="4">
        <f>YEAR(Table1[[#This Row],[Date]])</f>
        <v>2005</v>
      </c>
      <c r="E1120" s="2" t="s">
        <v>2081</v>
      </c>
      <c r="F1120" s="4">
        <v>57</v>
      </c>
      <c r="G1120" s="5">
        <v>172.66966829976792</v>
      </c>
      <c r="H1120" s="6" t="s">
        <v>2090</v>
      </c>
    </row>
    <row r="1121" spans="1:8">
      <c r="A1121" s="1">
        <v>1129</v>
      </c>
      <c r="B1121" s="2" t="s">
        <v>2084</v>
      </c>
      <c r="C1121" s="3">
        <v>38452</v>
      </c>
      <c r="D1121" s="4">
        <f>YEAR(Table1[[#This Row],[Date]])</f>
        <v>2005</v>
      </c>
      <c r="E1121" s="2" t="s">
        <v>2094</v>
      </c>
      <c r="F1121" s="4">
        <v>35</v>
      </c>
      <c r="G1121" s="5">
        <v>106.52782470569326</v>
      </c>
      <c r="H1121" s="6" t="s">
        <v>2082</v>
      </c>
    </row>
    <row r="1122" spans="1:8">
      <c r="A1122" s="1">
        <v>1130</v>
      </c>
      <c r="B1122" s="2" t="s">
        <v>2100</v>
      </c>
      <c r="C1122" s="3">
        <v>39035</v>
      </c>
      <c r="D1122" s="4">
        <f>YEAR(Table1[[#This Row],[Date]])</f>
        <v>2006</v>
      </c>
      <c r="E1122" s="2" t="s">
        <v>2094</v>
      </c>
      <c r="F1122" s="4">
        <v>72</v>
      </c>
      <c r="G1122" s="5">
        <v>217.3653218325137</v>
      </c>
      <c r="H1122" s="6" t="s">
        <v>2086</v>
      </c>
    </row>
    <row r="1123" spans="1:8">
      <c r="A1123" s="1">
        <v>1131</v>
      </c>
      <c r="B1123" s="2" t="s">
        <v>2099</v>
      </c>
      <c r="C1123" s="3">
        <v>38155</v>
      </c>
      <c r="D1123" s="4">
        <f>YEAR(Table1[[#This Row],[Date]])</f>
        <v>2004</v>
      </c>
      <c r="E1123" s="2" t="s">
        <v>2097</v>
      </c>
      <c r="F1123" s="4">
        <v>79</v>
      </c>
      <c r="G1123" s="5">
        <v>238.31546571286182</v>
      </c>
      <c r="H1123" s="6" t="s">
        <v>2082</v>
      </c>
    </row>
    <row r="1124" spans="1:8">
      <c r="A1124" s="1">
        <v>1132</v>
      </c>
      <c r="B1124" s="2" t="s">
        <v>2100</v>
      </c>
      <c r="C1124" s="3">
        <v>38463</v>
      </c>
      <c r="D1124" s="4">
        <f>YEAR(Table1[[#This Row],[Date]])</f>
        <v>2005</v>
      </c>
      <c r="E1124" s="2" t="s">
        <v>2081</v>
      </c>
      <c r="F1124" s="4">
        <v>89</v>
      </c>
      <c r="G1124" s="5">
        <v>269.0186169961018</v>
      </c>
      <c r="H1124" s="6" t="s">
        <v>2090</v>
      </c>
    </row>
    <row r="1125" spans="1:8">
      <c r="A1125" s="1">
        <v>1133</v>
      </c>
      <c r="B1125" s="2" t="s">
        <v>2099</v>
      </c>
      <c r="C1125" s="3">
        <v>38474</v>
      </c>
      <c r="D1125" s="4">
        <f>YEAR(Table1[[#This Row],[Date]])</f>
        <v>2005</v>
      </c>
      <c r="E1125" s="2" t="s">
        <v>2094</v>
      </c>
      <c r="F1125" s="4">
        <v>84</v>
      </c>
      <c r="G1125" s="5">
        <v>252.58494974261927</v>
      </c>
      <c r="H1125" s="6" t="s">
        <v>2096</v>
      </c>
    </row>
    <row r="1126" spans="1:8">
      <c r="A1126" s="1">
        <v>1134</v>
      </c>
      <c r="B1126" s="2" t="s">
        <v>2095</v>
      </c>
      <c r="C1126" s="3">
        <v>38969</v>
      </c>
      <c r="D1126" s="4">
        <f>YEAR(Table1[[#This Row],[Date]])</f>
        <v>2006</v>
      </c>
      <c r="E1126" s="2" t="s">
        <v>2097</v>
      </c>
      <c r="F1126" s="4">
        <v>43</v>
      </c>
      <c r="G1126" s="5">
        <v>130.65515170314279</v>
      </c>
      <c r="H1126" s="6" t="s">
        <v>2090</v>
      </c>
    </row>
    <row r="1127" spans="1:8">
      <c r="A1127" s="1">
        <v>1135</v>
      </c>
      <c r="B1127" s="2" t="s">
        <v>2098</v>
      </c>
      <c r="C1127" s="3">
        <v>38738</v>
      </c>
      <c r="D1127" s="4">
        <f>YEAR(Table1[[#This Row],[Date]])</f>
        <v>2006</v>
      </c>
      <c r="E1127" s="2" t="s">
        <v>2081</v>
      </c>
      <c r="F1127" s="4">
        <v>4</v>
      </c>
      <c r="G1127" s="5">
        <v>9.965195042789297</v>
      </c>
      <c r="H1127" s="6" t="s">
        <v>2086</v>
      </c>
    </row>
    <row r="1128" spans="1:8">
      <c r="A1128" s="1">
        <v>1136</v>
      </c>
      <c r="B1128" s="2" t="s">
        <v>2098</v>
      </c>
      <c r="C1128" s="3">
        <v>38364</v>
      </c>
      <c r="D1128" s="4">
        <f>YEAR(Table1[[#This Row],[Date]])</f>
        <v>2005</v>
      </c>
      <c r="E1128" s="2" t="s">
        <v>2085</v>
      </c>
      <c r="F1128" s="4">
        <v>51</v>
      </c>
      <c r="G1128" s="5">
        <v>154.66031011925435</v>
      </c>
      <c r="H1128" s="6" t="s">
        <v>2090</v>
      </c>
    </row>
    <row r="1129" spans="1:8">
      <c r="A1129" s="1">
        <v>1137</v>
      </c>
      <c r="B1129" s="2" t="s">
        <v>2080</v>
      </c>
      <c r="C1129" s="3">
        <v>38859</v>
      </c>
      <c r="D1129" s="4">
        <f>YEAR(Table1[[#This Row],[Date]])</f>
        <v>2006</v>
      </c>
      <c r="E1129" s="2" t="s">
        <v>2081</v>
      </c>
      <c r="F1129" s="4">
        <v>17</v>
      </c>
      <c r="G1129" s="5">
        <v>53.072576846761372</v>
      </c>
      <c r="H1129" s="6" t="s">
        <v>2090</v>
      </c>
    </row>
    <row r="1130" spans="1:8">
      <c r="A1130" s="1">
        <v>1138</v>
      </c>
      <c r="B1130" s="2" t="s">
        <v>2084</v>
      </c>
      <c r="C1130" s="3">
        <v>39035</v>
      </c>
      <c r="D1130" s="4">
        <f>YEAR(Table1[[#This Row],[Date]])</f>
        <v>2006</v>
      </c>
      <c r="E1130" s="2" t="s">
        <v>2097</v>
      </c>
      <c r="F1130" s="4">
        <v>51</v>
      </c>
      <c r="G1130" s="5">
        <v>155.23584686430669</v>
      </c>
      <c r="H1130" s="6" t="s">
        <v>2090</v>
      </c>
    </row>
    <row r="1131" spans="1:8">
      <c r="A1131" s="1">
        <v>1139</v>
      </c>
      <c r="B1131" s="2" t="s">
        <v>2099</v>
      </c>
      <c r="C1131" s="3">
        <v>38782</v>
      </c>
      <c r="D1131" s="4">
        <f>YEAR(Table1[[#This Row],[Date]])</f>
        <v>2006</v>
      </c>
      <c r="E1131" s="2" t="s">
        <v>2094</v>
      </c>
      <c r="F1131" s="4">
        <v>14</v>
      </c>
      <c r="G1131" s="5">
        <v>44.195651647644979</v>
      </c>
      <c r="H1131" s="6" t="s">
        <v>2090</v>
      </c>
    </row>
    <row r="1132" spans="1:8">
      <c r="A1132" s="1">
        <v>1140</v>
      </c>
      <c r="B1132" s="2" t="s">
        <v>2087</v>
      </c>
      <c r="C1132" s="3">
        <v>39068</v>
      </c>
      <c r="D1132" s="4">
        <f>YEAR(Table1[[#This Row],[Date]])</f>
        <v>2006</v>
      </c>
      <c r="E1132" s="2" t="s">
        <v>2081</v>
      </c>
      <c r="F1132" s="4">
        <v>60</v>
      </c>
      <c r="G1132" s="5">
        <v>181.87259058007896</v>
      </c>
      <c r="H1132" s="6" t="s">
        <v>2096</v>
      </c>
    </row>
    <row r="1133" spans="1:8">
      <c r="A1133" s="1">
        <v>1141</v>
      </c>
      <c r="B1133" s="2" t="s">
        <v>2100</v>
      </c>
      <c r="C1133" s="3">
        <v>38309</v>
      </c>
      <c r="D1133" s="4">
        <f>YEAR(Table1[[#This Row],[Date]])</f>
        <v>2004</v>
      </c>
      <c r="E1133" s="2" t="s">
        <v>2097</v>
      </c>
      <c r="F1133" s="4">
        <v>8</v>
      </c>
      <c r="G1133" s="5">
        <v>21.981669305596434</v>
      </c>
      <c r="H1133" s="6" t="s">
        <v>2090</v>
      </c>
    </row>
    <row r="1134" spans="1:8">
      <c r="A1134" s="1">
        <v>1142</v>
      </c>
      <c r="B1134" s="2" t="s">
        <v>2093</v>
      </c>
      <c r="C1134" s="3">
        <v>38529</v>
      </c>
      <c r="D1134" s="4">
        <f>YEAR(Table1[[#This Row],[Date]])</f>
        <v>2005</v>
      </c>
      <c r="E1134" s="2" t="s">
        <v>2085</v>
      </c>
      <c r="F1134" s="4">
        <v>95</v>
      </c>
      <c r="G1134" s="5">
        <v>286.66171116702549</v>
      </c>
      <c r="H1134" s="6" t="s">
        <v>2082</v>
      </c>
    </row>
    <row r="1135" spans="1:8">
      <c r="A1135" s="1">
        <v>1143</v>
      </c>
      <c r="B1135" s="2" t="s">
        <v>2091</v>
      </c>
      <c r="C1135" s="3">
        <v>38749</v>
      </c>
      <c r="D1135" s="4">
        <f>YEAR(Table1[[#This Row],[Date]])</f>
        <v>2006</v>
      </c>
      <c r="E1135" s="2" t="s">
        <v>2085</v>
      </c>
      <c r="F1135" s="4">
        <v>66</v>
      </c>
      <c r="G1135" s="5">
        <v>199.59386136754239</v>
      </c>
      <c r="H1135" s="6" t="s">
        <v>2096</v>
      </c>
    </row>
    <row r="1136" spans="1:8">
      <c r="A1136" s="1">
        <v>1144</v>
      </c>
      <c r="B1136" s="2" t="s">
        <v>2091</v>
      </c>
      <c r="C1136" s="3">
        <v>38342</v>
      </c>
      <c r="D1136" s="4">
        <f>YEAR(Table1[[#This Row],[Date]])</f>
        <v>2004</v>
      </c>
      <c r="E1136" s="2" t="s">
        <v>2081</v>
      </c>
      <c r="F1136" s="4">
        <v>77</v>
      </c>
      <c r="G1136" s="5">
        <v>232.62615004199816</v>
      </c>
      <c r="H1136" s="6" t="s">
        <v>2086</v>
      </c>
    </row>
    <row r="1137" spans="1:8">
      <c r="A1137" s="1">
        <v>1145</v>
      </c>
      <c r="B1137" s="2" t="s">
        <v>2084</v>
      </c>
      <c r="C1137" s="3">
        <v>38331</v>
      </c>
      <c r="D1137" s="4">
        <f>YEAR(Table1[[#This Row],[Date]])</f>
        <v>2004</v>
      </c>
      <c r="E1137" s="2" t="s">
        <v>2094</v>
      </c>
      <c r="F1137" s="4">
        <v>65</v>
      </c>
      <c r="G1137" s="5">
        <v>197.3309600781289</v>
      </c>
      <c r="H1137" s="6" t="s">
        <v>2096</v>
      </c>
    </row>
    <row r="1138" spans="1:8">
      <c r="A1138" s="1">
        <v>1146</v>
      </c>
      <c r="B1138" s="2" t="s">
        <v>2084</v>
      </c>
      <c r="C1138" s="3">
        <v>38463</v>
      </c>
      <c r="D1138" s="4">
        <f>YEAR(Table1[[#This Row],[Date]])</f>
        <v>2005</v>
      </c>
      <c r="E1138" s="2" t="s">
        <v>2097</v>
      </c>
      <c r="F1138" s="4">
        <v>29</v>
      </c>
      <c r="G1138" s="5">
        <v>89.184247826635968</v>
      </c>
      <c r="H1138" s="6" t="s">
        <v>2086</v>
      </c>
    </row>
    <row r="1139" spans="1:8">
      <c r="A1139" s="1">
        <v>1147</v>
      </c>
      <c r="B1139" s="2" t="s">
        <v>2091</v>
      </c>
      <c r="C1139" s="3">
        <v>38177</v>
      </c>
      <c r="D1139" s="4">
        <f>YEAR(Table1[[#This Row],[Date]])</f>
        <v>2004</v>
      </c>
      <c r="E1139" s="2" t="s">
        <v>2088</v>
      </c>
      <c r="F1139" s="4">
        <v>8</v>
      </c>
      <c r="G1139" s="5">
        <v>26.088167418036129</v>
      </c>
      <c r="H1139" s="6" t="s">
        <v>2096</v>
      </c>
    </row>
    <row r="1140" spans="1:8">
      <c r="A1140" s="1">
        <v>1148</v>
      </c>
      <c r="B1140" s="2" t="s">
        <v>2087</v>
      </c>
      <c r="C1140" s="3">
        <v>38727</v>
      </c>
      <c r="D1140" s="4">
        <f>YEAR(Table1[[#This Row],[Date]])</f>
        <v>2006</v>
      </c>
      <c r="E1140" s="2" t="s">
        <v>2088</v>
      </c>
      <c r="F1140" s="4">
        <v>42</v>
      </c>
      <c r="G1140" s="5">
        <v>127.86858054734927</v>
      </c>
      <c r="H1140" s="6" t="s">
        <v>2096</v>
      </c>
    </row>
    <row r="1141" spans="1:8">
      <c r="A1141" s="1">
        <v>1149</v>
      </c>
      <c r="B1141" s="2" t="s">
        <v>2080</v>
      </c>
      <c r="C1141" s="3">
        <v>38045</v>
      </c>
      <c r="D1141" s="4">
        <f>YEAR(Table1[[#This Row],[Date]])</f>
        <v>2004</v>
      </c>
      <c r="E1141" s="2" t="s">
        <v>2085</v>
      </c>
      <c r="F1141" s="4">
        <v>93</v>
      </c>
      <c r="G1141" s="5">
        <v>280.72118754503384</v>
      </c>
      <c r="H1141" s="6" t="s">
        <v>2086</v>
      </c>
    </row>
    <row r="1142" spans="1:8">
      <c r="A1142" s="1">
        <v>1150</v>
      </c>
      <c r="B1142" s="2" t="s">
        <v>2091</v>
      </c>
      <c r="C1142" s="3">
        <v>38144</v>
      </c>
      <c r="D1142" s="4">
        <f>YEAR(Table1[[#This Row],[Date]])</f>
        <v>2004</v>
      </c>
      <c r="E1142" s="2" t="s">
        <v>2085</v>
      </c>
      <c r="F1142" s="4">
        <v>69</v>
      </c>
      <c r="G1142" s="5">
        <v>209.153628171767</v>
      </c>
      <c r="H1142" s="6" t="s">
        <v>2082</v>
      </c>
    </row>
    <row r="1143" spans="1:8">
      <c r="A1143" s="1">
        <v>1151</v>
      </c>
      <c r="B1143" s="2" t="s">
        <v>2093</v>
      </c>
      <c r="C1143" s="3">
        <v>38903</v>
      </c>
      <c r="D1143" s="4">
        <f>YEAR(Table1[[#This Row],[Date]])</f>
        <v>2006</v>
      </c>
      <c r="E1143" s="2" t="s">
        <v>2097</v>
      </c>
      <c r="F1143" s="4">
        <v>91</v>
      </c>
      <c r="G1143" s="5">
        <v>274.80447122686729</v>
      </c>
      <c r="H1143" s="6" t="s">
        <v>2082</v>
      </c>
    </row>
    <row r="1144" spans="1:8">
      <c r="A1144" s="1">
        <v>1152</v>
      </c>
      <c r="B1144" s="2" t="s">
        <v>2084</v>
      </c>
      <c r="C1144" s="3">
        <v>38386</v>
      </c>
      <c r="D1144" s="4">
        <f>YEAR(Table1[[#This Row],[Date]])</f>
        <v>2005</v>
      </c>
      <c r="E1144" s="2" t="s">
        <v>2094</v>
      </c>
      <c r="F1144" s="4">
        <v>11</v>
      </c>
      <c r="G1144" s="5">
        <v>34.520998663564384</v>
      </c>
      <c r="H1144" s="6" t="s">
        <v>2082</v>
      </c>
    </row>
    <row r="1145" spans="1:8">
      <c r="A1145" s="1">
        <v>1153</v>
      </c>
      <c r="B1145" s="2" t="s">
        <v>2084</v>
      </c>
      <c r="C1145" s="3">
        <v>38353</v>
      </c>
      <c r="D1145" s="4">
        <f>YEAR(Table1[[#This Row],[Date]])</f>
        <v>2005</v>
      </c>
      <c r="E1145" s="2" t="s">
        <v>2081</v>
      </c>
      <c r="F1145" s="4">
        <v>1</v>
      </c>
      <c r="G1145" s="5">
        <v>1.5629041843202898</v>
      </c>
      <c r="H1145" s="6" t="s">
        <v>2086</v>
      </c>
    </row>
    <row r="1146" spans="1:8">
      <c r="A1146" s="1">
        <v>1154</v>
      </c>
      <c r="B1146" s="2" t="s">
        <v>2099</v>
      </c>
      <c r="C1146" s="3">
        <v>38342</v>
      </c>
      <c r="D1146" s="4">
        <f>YEAR(Table1[[#This Row],[Date]])</f>
        <v>2004</v>
      </c>
      <c r="E1146" s="2" t="s">
        <v>2097</v>
      </c>
      <c r="F1146" s="4">
        <v>52</v>
      </c>
      <c r="G1146" s="5">
        <v>158.21071487768182</v>
      </c>
      <c r="H1146" s="6" t="s">
        <v>2082</v>
      </c>
    </row>
    <row r="1147" spans="1:8">
      <c r="A1147" s="1">
        <v>1155</v>
      </c>
      <c r="B1147" s="2" t="s">
        <v>2080</v>
      </c>
      <c r="C1147" s="3">
        <v>38782</v>
      </c>
      <c r="D1147" s="4">
        <f>YEAR(Table1[[#This Row],[Date]])</f>
        <v>2006</v>
      </c>
      <c r="E1147" s="2" t="s">
        <v>2088</v>
      </c>
      <c r="F1147" s="4">
        <v>10</v>
      </c>
      <c r="G1147" s="5">
        <v>28.635014383965792</v>
      </c>
      <c r="H1147" s="6" t="s">
        <v>2082</v>
      </c>
    </row>
    <row r="1148" spans="1:8">
      <c r="A1148" s="1">
        <v>1156</v>
      </c>
      <c r="B1148" s="2" t="s">
        <v>2091</v>
      </c>
      <c r="C1148" s="3">
        <v>39046</v>
      </c>
      <c r="D1148" s="4">
        <f>YEAR(Table1[[#This Row],[Date]])</f>
        <v>2006</v>
      </c>
      <c r="E1148" s="2" t="s">
        <v>2097</v>
      </c>
      <c r="F1148" s="4">
        <v>33</v>
      </c>
      <c r="G1148" s="5">
        <v>100.50696775814504</v>
      </c>
      <c r="H1148" s="6" t="s">
        <v>2082</v>
      </c>
    </row>
    <row r="1149" spans="1:8">
      <c r="A1149" s="1">
        <v>1157</v>
      </c>
      <c r="B1149" s="2" t="s">
        <v>2080</v>
      </c>
      <c r="C1149" s="3">
        <v>38265</v>
      </c>
      <c r="D1149" s="4">
        <f>YEAR(Table1[[#This Row],[Date]])</f>
        <v>2004</v>
      </c>
      <c r="E1149" s="2" t="s">
        <v>2088</v>
      </c>
      <c r="F1149" s="4">
        <v>1</v>
      </c>
      <c r="G1149" s="5">
        <v>1.1155837084126869</v>
      </c>
      <c r="H1149" s="6" t="s">
        <v>2090</v>
      </c>
    </row>
    <row r="1150" spans="1:8">
      <c r="A1150" s="1">
        <v>1158</v>
      </c>
      <c r="B1150" s="2" t="s">
        <v>2093</v>
      </c>
      <c r="C1150" s="3">
        <v>38958</v>
      </c>
      <c r="D1150" s="4">
        <f>YEAR(Table1[[#This Row],[Date]])</f>
        <v>2006</v>
      </c>
      <c r="E1150" s="2" t="s">
        <v>2097</v>
      </c>
      <c r="F1150" s="4">
        <v>24</v>
      </c>
      <c r="G1150" s="5">
        <v>73.541516730294589</v>
      </c>
      <c r="H1150" s="6" t="s">
        <v>2090</v>
      </c>
    </row>
    <row r="1151" spans="1:8">
      <c r="A1151" s="1">
        <v>1159</v>
      </c>
      <c r="B1151" s="2" t="s">
        <v>2099</v>
      </c>
      <c r="C1151" s="3">
        <v>38122</v>
      </c>
      <c r="D1151" s="4">
        <f>YEAR(Table1[[#This Row],[Date]])</f>
        <v>2004</v>
      </c>
      <c r="E1151" s="2" t="s">
        <v>2085</v>
      </c>
      <c r="F1151" s="4">
        <v>71</v>
      </c>
      <c r="G1151" s="5">
        <v>214.70316225183416</v>
      </c>
      <c r="H1151" s="6" t="s">
        <v>2086</v>
      </c>
    </row>
    <row r="1152" spans="1:8">
      <c r="A1152" s="1">
        <v>1160</v>
      </c>
      <c r="B1152" s="2" t="s">
        <v>2084</v>
      </c>
      <c r="C1152" s="3">
        <v>38309</v>
      </c>
      <c r="D1152" s="4">
        <f>YEAR(Table1[[#This Row],[Date]])</f>
        <v>2004</v>
      </c>
      <c r="E1152" s="2" t="s">
        <v>2081</v>
      </c>
      <c r="F1152" s="4">
        <v>88</v>
      </c>
      <c r="G1152" s="5">
        <v>265.86483001134803</v>
      </c>
      <c r="H1152" s="6" t="s">
        <v>2082</v>
      </c>
    </row>
    <row r="1153" spans="1:8">
      <c r="A1153" s="1">
        <v>1161</v>
      </c>
      <c r="B1153" s="2" t="s">
        <v>2080</v>
      </c>
      <c r="C1153" s="3">
        <v>38562</v>
      </c>
      <c r="D1153" s="4">
        <f>YEAR(Table1[[#This Row],[Date]])</f>
        <v>2005</v>
      </c>
      <c r="E1153" s="2" t="s">
        <v>2081</v>
      </c>
      <c r="F1153" s="4">
        <v>16</v>
      </c>
      <c r="G1153" s="5">
        <v>49.990501805612737</v>
      </c>
      <c r="H1153" s="6" t="s">
        <v>2090</v>
      </c>
    </row>
    <row r="1154" spans="1:8">
      <c r="A1154" s="1">
        <v>1162</v>
      </c>
      <c r="B1154" s="2" t="s">
        <v>2100</v>
      </c>
      <c r="C1154" s="3">
        <v>38518</v>
      </c>
      <c r="D1154" s="4">
        <f>YEAR(Table1[[#This Row],[Date]])</f>
        <v>2005</v>
      </c>
      <c r="E1154" s="2" t="s">
        <v>2085</v>
      </c>
      <c r="F1154" s="4">
        <v>7</v>
      </c>
      <c r="G1154" s="5">
        <v>23.192150694784473</v>
      </c>
      <c r="H1154" s="6" t="s">
        <v>2096</v>
      </c>
    </row>
    <row r="1155" spans="1:8">
      <c r="A1155" s="1">
        <v>1163</v>
      </c>
      <c r="B1155" s="2" t="s">
        <v>2098</v>
      </c>
      <c r="C1155" s="3">
        <v>38254</v>
      </c>
      <c r="D1155" s="4">
        <f>YEAR(Table1[[#This Row],[Date]])</f>
        <v>2004</v>
      </c>
      <c r="E1155" s="2" t="s">
        <v>2097</v>
      </c>
      <c r="F1155" s="4">
        <v>46</v>
      </c>
      <c r="G1155" s="5">
        <v>140.4791075192903</v>
      </c>
      <c r="H1155" s="6" t="s">
        <v>2082</v>
      </c>
    </row>
    <row r="1156" spans="1:8">
      <c r="A1156" s="1">
        <v>1164</v>
      </c>
      <c r="B1156" s="2" t="s">
        <v>2087</v>
      </c>
      <c r="C1156" s="3">
        <v>38320</v>
      </c>
      <c r="D1156" s="4">
        <f>YEAR(Table1[[#This Row],[Date]])</f>
        <v>2004</v>
      </c>
      <c r="E1156" s="2" t="s">
        <v>2085</v>
      </c>
      <c r="F1156" s="4">
        <v>10</v>
      </c>
      <c r="G1156" s="5">
        <v>27.584277375696701</v>
      </c>
      <c r="H1156" s="6" t="s">
        <v>2086</v>
      </c>
    </row>
    <row r="1157" spans="1:8">
      <c r="A1157" s="1">
        <v>1165</v>
      </c>
      <c r="B1157" s="2" t="s">
        <v>2084</v>
      </c>
      <c r="C1157" s="3">
        <v>38892</v>
      </c>
      <c r="D1157" s="4">
        <f>YEAR(Table1[[#This Row],[Date]])</f>
        <v>2006</v>
      </c>
      <c r="E1157" s="2" t="s">
        <v>2081</v>
      </c>
      <c r="F1157" s="4">
        <v>83</v>
      </c>
      <c r="G1157" s="5">
        <v>251.13323611062162</v>
      </c>
      <c r="H1157" s="6" t="s">
        <v>2090</v>
      </c>
    </row>
    <row r="1158" spans="1:8">
      <c r="A1158" s="1">
        <v>1166</v>
      </c>
      <c r="B1158" s="2" t="s">
        <v>2099</v>
      </c>
      <c r="C1158" s="3">
        <v>38793</v>
      </c>
      <c r="D1158" s="4">
        <f>YEAR(Table1[[#This Row],[Date]])</f>
        <v>2006</v>
      </c>
      <c r="E1158" s="2" t="s">
        <v>2081</v>
      </c>
      <c r="F1158" s="4">
        <v>85</v>
      </c>
      <c r="G1158" s="5">
        <v>256.22552874700915</v>
      </c>
      <c r="H1158" s="6" t="s">
        <v>2082</v>
      </c>
    </row>
    <row r="1159" spans="1:8">
      <c r="A1159" s="1">
        <v>1167</v>
      </c>
      <c r="B1159" s="2" t="s">
        <v>2091</v>
      </c>
      <c r="C1159" s="3">
        <v>38606</v>
      </c>
      <c r="D1159" s="4">
        <f>YEAR(Table1[[#This Row],[Date]])</f>
        <v>2005</v>
      </c>
      <c r="E1159" s="2" t="s">
        <v>2094</v>
      </c>
      <c r="F1159" s="4">
        <v>18</v>
      </c>
      <c r="G1159" s="5">
        <v>56.221796879126835</v>
      </c>
      <c r="H1159" s="6" t="s">
        <v>2086</v>
      </c>
    </row>
    <row r="1160" spans="1:8">
      <c r="A1160" s="1">
        <v>1168</v>
      </c>
      <c r="B1160" s="2" t="s">
        <v>2095</v>
      </c>
      <c r="C1160" s="3">
        <v>38254</v>
      </c>
      <c r="D1160" s="4">
        <f>YEAR(Table1[[#This Row],[Date]])</f>
        <v>2004</v>
      </c>
      <c r="E1160" s="2" t="s">
        <v>2088</v>
      </c>
      <c r="F1160" s="4">
        <v>83</v>
      </c>
      <c r="G1160" s="5">
        <v>251.40375169999851</v>
      </c>
      <c r="H1160" s="6" t="s">
        <v>2086</v>
      </c>
    </row>
    <row r="1161" spans="1:8">
      <c r="A1161" s="1">
        <v>1169</v>
      </c>
      <c r="B1161" s="2" t="s">
        <v>2100</v>
      </c>
      <c r="C1161" s="3">
        <v>39046</v>
      </c>
      <c r="D1161" s="4">
        <f>YEAR(Table1[[#This Row],[Date]])</f>
        <v>2006</v>
      </c>
      <c r="E1161" s="2" t="s">
        <v>2081</v>
      </c>
      <c r="F1161" s="4">
        <v>71</v>
      </c>
      <c r="G1161" s="5">
        <v>214.72037779298833</v>
      </c>
      <c r="H1161" s="6" t="s">
        <v>2082</v>
      </c>
    </row>
    <row r="1162" spans="1:8">
      <c r="A1162" s="1">
        <v>1170</v>
      </c>
      <c r="B1162" s="2" t="s">
        <v>2098</v>
      </c>
      <c r="C1162" s="3">
        <v>38232</v>
      </c>
      <c r="D1162" s="4">
        <f>YEAR(Table1[[#This Row],[Date]])</f>
        <v>2004</v>
      </c>
      <c r="E1162" s="2" t="s">
        <v>2094</v>
      </c>
      <c r="F1162" s="4">
        <v>2</v>
      </c>
      <c r="G1162" s="5">
        <v>7.9324854406454115</v>
      </c>
      <c r="H1162" s="6" t="s">
        <v>2096</v>
      </c>
    </row>
    <row r="1163" spans="1:8">
      <c r="A1163" s="1">
        <v>1171</v>
      </c>
      <c r="B1163" s="2" t="s">
        <v>2080</v>
      </c>
      <c r="C1163" s="3">
        <v>39035</v>
      </c>
      <c r="D1163" s="4">
        <f>YEAR(Table1[[#This Row],[Date]])</f>
        <v>2006</v>
      </c>
      <c r="E1163" s="2" t="s">
        <v>2085</v>
      </c>
      <c r="F1163" s="4">
        <v>71</v>
      </c>
      <c r="G1163" s="5">
        <v>215.03086098171244</v>
      </c>
      <c r="H1163" s="6" t="s">
        <v>2090</v>
      </c>
    </row>
    <row r="1164" spans="1:8">
      <c r="A1164" s="1">
        <v>1172</v>
      </c>
      <c r="B1164" s="2" t="s">
        <v>2091</v>
      </c>
      <c r="C1164" s="3">
        <v>38617</v>
      </c>
      <c r="D1164" s="4">
        <f>YEAR(Table1[[#This Row],[Date]])</f>
        <v>2005</v>
      </c>
      <c r="E1164" s="2" t="s">
        <v>2088</v>
      </c>
      <c r="F1164" s="4">
        <v>68</v>
      </c>
      <c r="G1164" s="5">
        <v>206.20589088795145</v>
      </c>
      <c r="H1164" s="6" t="s">
        <v>2082</v>
      </c>
    </row>
    <row r="1165" spans="1:8">
      <c r="A1165" s="1">
        <v>1173</v>
      </c>
      <c r="B1165" s="2" t="s">
        <v>2098</v>
      </c>
      <c r="C1165" s="3">
        <v>38298</v>
      </c>
      <c r="D1165" s="4">
        <f>YEAR(Table1[[#This Row],[Date]])</f>
        <v>2004</v>
      </c>
      <c r="E1165" s="2" t="s">
        <v>2094</v>
      </c>
      <c r="F1165" s="4">
        <v>30</v>
      </c>
      <c r="G1165" s="5">
        <v>92.33205932019861</v>
      </c>
      <c r="H1165" s="6" t="s">
        <v>2096</v>
      </c>
    </row>
    <row r="1166" spans="1:8">
      <c r="A1166" s="1">
        <v>1174</v>
      </c>
      <c r="B1166" s="2" t="s">
        <v>2084</v>
      </c>
      <c r="C1166" s="3">
        <v>38749</v>
      </c>
      <c r="D1166" s="4">
        <f>YEAR(Table1[[#This Row],[Date]])</f>
        <v>2006</v>
      </c>
      <c r="E1166" s="2" t="s">
        <v>2088</v>
      </c>
      <c r="F1166" s="4">
        <v>72</v>
      </c>
      <c r="G1166" s="5">
        <v>217.8071938981364</v>
      </c>
      <c r="H1166" s="6" t="s">
        <v>2090</v>
      </c>
    </row>
    <row r="1167" spans="1:8">
      <c r="A1167" s="1">
        <v>1175</v>
      </c>
      <c r="B1167" s="2" t="s">
        <v>2099</v>
      </c>
      <c r="C1167" s="3">
        <v>38221</v>
      </c>
      <c r="D1167" s="4">
        <f>YEAR(Table1[[#This Row],[Date]])</f>
        <v>2004</v>
      </c>
      <c r="E1167" s="2" t="s">
        <v>2094</v>
      </c>
      <c r="F1167" s="4">
        <v>73</v>
      </c>
      <c r="G1167" s="5">
        <v>221.36652611293488</v>
      </c>
      <c r="H1167" s="6" t="s">
        <v>2096</v>
      </c>
    </row>
    <row r="1168" spans="1:8">
      <c r="A1168" s="1">
        <v>1176</v>
      </c>
      <c r="B1168" s="2" t="s">
        <v>2080</v>
      </c>
      <c r="C1168" s="3">
        <v>38738</v>
      </c>
      <c r="D1168" s="4">
        <f>YEAR(Table1[[#This Row],[Date]])</f>
        <v>2006</v>
      </c>
      <c r="E1168" s="2" t="s">
        <v>2081</v>
      </c>
      <c r="F1168" s="4">
        <v>28</v>
      </c>
      <c r="G1168" s="5">
        <v>86.468421123864729</v>
      </c>
      <c r="H1168" s="6" t="s">
        <v>2096</v>
      </c>
    </row>
    <row r="1169" spans="1:8">
      <c r="A1169" s="1">
        <v>1177</v>
      </c>
      <c r="B1169" s="2" t="s">
        <v>2100</v>
      </c>
      <c r="C1169" s="3">
        <v>38793</v>
      </c>
      <c r="D1169" s="4">
        <f>YEAR(Table1[[#This Row],[Date]])</f>
        <v>2006</v>
      </c>
      <c r="E1169" s="2" t="s">
        <v>2097</v>
      </c>
      <c r="F1169" s="4">
        <v>40</v>
      </c>
      <c r="G1169" s="5">
        <v>122.63642805944112</v>
      </c>
      <c r="H1169" s="6" t="s">
        <v>2086</v>
      </c>
    </row>
    <row r="1170" spans="1:8">
      <c r="A1170" s="1">
        <v>1178</v>
      </c>
      <c r="B1170" s="2" t="s">
        <v>2098</v>
      </c>
      <c r="C1170" s="3">
        <v>39057</v>
      </c>
      <c r="D1170" s="4">
        <f>YEAR(Table1[[#This Row],[Date]])</f>
        <v>2006</v>
      </c>
      <c r="E1170" s="2" t="s">
        <v>2085</v>
      </c>
      <c r="F1170" s="4">
        <v>8</v>
      </c>
      <c r="G1170" s="5">
        <v>22.295514644563095</v>
      </c>
      <c r="H1170" s="6" t="s">
        <v>2090</v>
      </c>
    </row>
    <row r="1171" spans="1:8">
      <c r="A1171" s="1">
        <v>1179</v>
      </c>
      <c r="B1171" s="2" t="s">
        <v>2087</v>
      </c>
      <c r="C1171" s="3">
        <v>38452</v>
      </c>
      <c r="D1171" s="4">
        <f>YEAR(Table1[[#This Row],[Date]])</f>
        <v>2005</v>
      </c>
      <c r="E1171" s="2" t="s">
        <v>2088</v>
      </c>
      <c r="F1171" s="4">
        <v>70</v>
      </c>
      <c r="G1171" s="5">
        <v>211.69145448851842</v>
      </c>
      <c r="H1171" s="6" t="s">
        <v>2096</v>
      </c>
    </row>
    <row r="1172" spans="1:8">
      <c r="A1172" s="1">
        <v>1180</v>
      </c>
      <c r="B1172" s="2" t="s">
        <v>2080</v>
      </c>
      <c r="C1172" s="3">
        <v>38705</v>
      </c>
      <c r="D1172" s="4">
        <f>YEAR(Table1[[#This Row],[Date]])</f>
        <v>2005</v>
      </c>
      <c r="E1172" s="2" t="s">
        <v>2094</v>
      </c>
      <c r="F1172" s="4">
        <v>3</v>
      </c>
      <c r="G1172" s="5">
        <v>10.721781338210716</v>
      </c>
      <c r="H1172" s="6" t="s">
        <v>2086</v>
      </c>
    </row>
    <row r="1173" spans="1:8">
      <c r="A1173" s="1">
        <v>1181</v>
      </c>
      <c r="B1173" s="2" t="s">
        <v>2080</v>
      </c>
      <c r="C1173" s="3">
        <v>38331</v>
      </c>
      <c r="D1173" s="4">
        <f>YEAR(Table1[[#This Row],[Date]])</f>
        <v>2004</v>
      </c>
      <c r="E1173" s="2" t="s">
        <v>2094</v>
      </c>
      <c r="F1173" s="4">
        <v>33</v>
      </c>
      <c r="G1173" s="5">
        <v>100.68258329871269</v>
      </c>
      <c r="H1173" s="6" t="s">
        <v>2086</v>
      </c>
    </row>
    <row r="1174" spans="1:8">
      <c r="A1174" s="1">
        <v>1182</v>
      </c>
      <c r="B1174" s="2" t="s">
        <v>2093</v>
      </c>
      <c r="C1174" s="3">
        <v>38221</v>
      </c>
      <c r="D1174" s="4">
        <f>YEAR(Table1[[#This Row],[Date]])</f>
        <v>2004</v>
      </c>
      <c r="E1174" s="2" t="s">
        <v>2081</v>
      </c>
      <c r="F1174" s="4">
        <v>88</v>
      </c>
      <c r="G1174" s="5">
        <v>265.74766319973446</v>
      </c>
      <c r="H1174" s="6" t="s">
        <v>2096</v>
      </c>
    </row>
    <row r="1175" spans="1:8">
      <c r="A1175" s="1">
        <v>1183</v>
      </c>
      <c r="B1175" s="2" t="s">
        <v>2098</v>
      </c>
      <c r="C1175" s="3">
        <v>38353</v>
      </c>
      <c r="D1175" s="4">
        <f>YEAR(Table1[[#This Row],[Date]])</f>
        <v>2005</v>
      </c>
      <c r="E1175" s="2" t="s">
        <v>2097</v>
      </c>
      <c r="F1175" s="4">
        <v>39</v>
      </c>
      <c r="G1175" s="5">
        <v>119.1661098521913</v>
      </c>
      <c r="H1175" s="6" t="s">
        <v>2096</v>
      </c>
    </row>
    <row r="1176" spans="1:8">
      <c r="A1176" s="1">
        <v>1184</v>
      </c>
      <c r="B1176" s="2" t="s">
        <v>2100</v>
      </c>
      <c r="C1176" s="3">
        <v>38529</v>
      </c>
      <c r="D1176" s="4">
        <f>YEAR(Table1[[#This Row],[Date]])</f>
        <v>2005</v>
      </c>
      <c r="E1176" s="2" t="s">
        <v>2088</v>
      </c>
      <c r="F1176" s="4">
        <v>64</v>
      </c>
      <c r="G1176" s="5">
        <v>193.63735378454803</v>
      </c>
      <c r="H1176" s="6" t="s">
        <v>2086</v>
      </c>
    </row>
    <row r="1177" spans="1:8">
      <c r="A1177" s="1">
        <v>1185</v>
      </c>
      <c r="B1177" s="2" t="s">
        <v>2099</v>
      </c>
      <c r="C1177" s="3">
        <v>38892</v>
      </c>
      <c r="D1177" s="4">
        <f>YEAR(Table1[[#This Row],[Date]])</f>
        <v>2006</v>
      </c>
      <c r="E1177" s="2" t="s">
        <v>2081</v>
      </c>
      <c r="F1177" s="4">
        <v>0</v>
      </c>
      <c r="G1177" s="5">
        <v>2.1318123006760317</v>
      </c>
      <c r="H1177" s="6" t="s">
        <v>2096</v>
      </c>
    </row>
    <row r="1178" spans="1:8">
      <c r="A1178" s="1">
        <v>1186</v>
      </c>
      <c r="B1178" s="2" t="s">
        <v>2095</v>
      </c>
      <c r="C1178" s="3">
        <v>38067</v>
      </c>
      <c r="D1178" s="4">
        <f>YEAR(Table1[[#This Row],[Date]])</f>
        <v>2004</v>
      </c>
      <c r="E1178" s="2" t="s">
        <v>2088</v>
      </c>
      <c r="F1178" s="4">
        <v>26</v>
      </c>
      <c r="G1178" s="5">
        <v>80.373766797749937</v>
      </c>
      <c r="H1178" s="6" t="s">
        <v>2082</v>
      </c>
    </row>
    <row r="1179" spans="1:8">
      <c r="A1179" s="1">
        <v>1187</v>
      </c>
      <c r="B1179" s="2" t="s">
        <v>2087</v>
      </c>
      <c r="C1179" s="3">
        <v>38056</v>
      </c>
      <c r="D1179" s="4">
        <f>YEAR(Table1[[#This Row],[Date]])</f>
        <v>2004</v>
      </c>
      <c r="E1179" s="2" t="s">
        <v>2081</v>
      </c>
      <c r="F1179" s="4">
        <v>0</v>
      </c>
      <c r="G1179" s="5">
        <v>1.4880685060494558</v>
      </c>
      <c r="H1179" s="6" t="s">
        <v>2090</v>
      </c>
    </row>
    <row r="1180" spans="1:8">
      <c r="A1180" s="1">
        <v>1188</v>
      </c>
      <c r="B1180" s="2" t="s">
        <v>2080</v>
      </c>
      <c r="C1180" s="3">
        <v>38881</v>
      </c>
      <c r="D1180" s="4">
        <f>YEAR(Table1[[#This Row],[Date]])</f>
        <v>2006</v>
      </c>
      <c r="E1180" s="2" t="s">
        <v>2085</v>
      </c>
      <c r="F1180" s="4">
        <v>76</v>
      </c>
      <c r="G1180" s="5">
        <v>229.77238860248113</v>
      </c>
      <c r="H1180" s="6" t="s">
        <v>2096</v>
      </c>
    </row>
    <row r="1181" spans="1:8">
      <c r="A1181" s="1">
        <v>1189</v>
      </c>
      <c r="B1181" s="2" t="s">
        <v>2098</v>
      </c>
      <c r="C1181" s="3">
        <v>38287</v>
      </c>
      <c r="D1181" s="4">
        <f>YEAR(Table1[[#This Row],[Date]])</f>
        <v>2004</v>
      </c>
      <c r="E1181" s="2" t="s">
        <v>2094</v>
      </c>
      <c r="F1181" s="4">
        <v>75</v>
      </c>
      <c r="G1181" s="5">
        <v>227.61957571703351</v>
      </c>
      <c r="H1181" s="6" t="s">
        <v>2086</v>
      </c>
    </row>
    <row r="1182" spans="1:8">
      <c r="A1182" s="1">
        <v>1190</v>
      </c>
      <c r="B1182" s="2" t="s">
        <v>2098</v>
      </c>
      <c r="C1182" s="3">
        <v>38155</v>
      </c>
      <c r="D1182" s="4">
        <f>YEAR(Table1[[#This Row],[Date]])</f>
        <v>2004</v>
      </c>
      <c r="E1182" s="2" t="s">
        <v>2081</v>
      </c>
      <c r="F1182" s="4">
        <v>61</v>
      </c>
      <c r="G1182" s="5">
        <v>184.47481128177199</v>
      </c>
      <c r="H1182" s="6" t="s">
        <v>2082</v>
      </c>
    </row>
    <row r="1183" spans="1:8">
      <c r="A1183" s="1">
        <v>1191</v>
      </c>
      <c r="B1183" s="2" t="s">
        <v>2100</v>
      </c>
      <c r="C1183" s="3">
        <v>38551</v>
      </c>
      <c r="D1183" s="4">
        <f>YEAR(Table1[[#This Row],[Date]])</f>
        <v>2005</v>
      </c>
      <c r="E1183" s="2" t="s">
        <v>2094</v>
      </c>
      <c r="F1183" s="4">
        <v>2</v>
      </c>
      <c r="G1183" s="5">
        <v>4.2806028749734537</v>
      </c>
      <c r="H1183" s="6" t="s">
        <v>2086</v>
      </c>
    </row>
    <row r="1184" spans="1:8">
      <c r="A1184" s="1">
        <v>1192</v>
      </c>
      <c r="B1184" s="2" t="s">
        <v>2084</v>
      </c>
      <c r="C1184" s="3">
        <v>38023</v>
      </c>
      <c r="D1184" s="4">
        <f>YEAR(Table1[[#This Row],[Date]])</f>
        <v>2004</v>
      </c>
      <c r="E1184" s="2" t="s">
        <v>2088</v>
      </c>
      <c r="F1184" s="4">
        <v>40</v>
      </c>
      <c r="G1184" s="5">
        <v>122.55161793559111</v>
      </c>
      <c r="H1184" s="6" t="s">
        <v>2096</v>
      </c>
    </row>
    <row r="1185" spans="1:8">
      <c r="A1185" s="1">
        <v>1193</v>
      </c>
      <c r="B1185" s="2" t="s">
        <v>2093</v>
      </c>
      <c r="C1185" s="3">
        <v>38397</v>
      </c>
      <c r="D1185" s="4">
        <f>YEAR(Table1[[#This Row],[Date]])</f>
        <v>2005</v>
      </c>
      <c r="E1185" s="2" t="s">
        <v>2094</v>
      </c>
      <c r="F1185" s="4">
        <v>5</v>
      </c>
      <c r="G1185" s="5">
        <v>17.384002396298932</v>
      </c>
      <c r="H1185" s="6" t="s">
        <v>2090</v>
      </c>
    </row>
    <row r="1186" spans="1:8">
      <c r="A1186" s="1">
        <v>1194</v>
      </c>
      <c r="B1186" s="2" t="s">
        <v>2093</v>
      </c>
      <c r="C1186" s="3">
        <v>38980</v>
      </c>
      <c r="D1186" s="4">
        <f>YEAR(Table1[[#This Row],[Date]])</f>
        <v>2006</v>
      </c>
      <c r="E1186" s="2" t="s">
        <v>2094</v>
      </c>
      <c r="F1186" s="4">
        <v>57</v>
      </c>
      <c r="G1186" s="5">
        <v>172.52313391180516</v>
      </c>
      <c r="H1186" s="6" t="s">
        <v>2082</v>
      </c>
    </row>
    <row r="1187" spans="1:8">
      <c r="A1187" s="1">
        <v>1195</v>
      </c>
      <c r="B1187" s="2" t="s">
        <v>2099</v>
      </c>
      <c r="C1187" s="3">
        <v>38804</v>
      </c>
      <c r="D1187" s="4">
        <f>YEAR(Table1[[#This Row],[Date]])</f>
        <v>2006</v>
      </c>
      <c r="E1187" s="2" t="s">
        <v>2094</v>
      </c>
      <c r="F1187" s="4">
        <v>86</v>
      </c>
      <c r="G1187" s="5">
        <v>259.81646524411644</v>
      </c>
      <c r="H1187" s="6" t="s">
        <v>2086</v>
      </c>
    </row>
    <row r="1188" spans="1:8">
      <c r="A1188" s="1">
        <v>1196</v>
      </c>
      <c r="B1188" s="2" t="s">
        <v>2080</v>
      </c>
      <c r="C1188" s="3">
        <v>38155</v>
      </c>
      <c r="D1188" s="4">
        <f>YEAR(Table1[[#This Row],[Date]])</f>
        <v>2004</v>
      </c>
      <c r="E1188" s="2" t="s">
        <v>2088</v>
      </c>
      <c r="F1188" s="4">
        <v>15</v>
      </c>
      <c r="G1188" s="5">
        <v>46.529110883082438</v>
      </c>
      <c r="H1188" s="6" t="s">
        <v>2096</v>
      </c>
    </row>
    <row r="1189" spans="1:8">
      <c r="A1189" s="1">
        <v>1197</v>
      </c>
      <c r="B1189" s="2" t="s">
        <v>2100</v>
      </c>
      <c r="C1189" s="3">
        <v>38969</v>
      </c>
      <c r="D1189" s="4">
        <f>YEAR(Table1[[#This Row],[Date]])</f>
        <v>2006</v>
      </c>
      <c r="E1189" s="2" t="s">
        <v>2094</v>
      </c>
      <c r="F1189" s="4">
        <v>39</v>
      </c>
      <c r="G1189" s="5">
        <v>118.84027043467471</v>
      </c>
      <c r="H1189" s="6" t="s">
        <v>2096</v>
      </c>
    </row>
    <row r="1190" spans="1:8">
      <c r="A1190" s="1">
        <v>1198</v>
      </c>
      <c r="B1190" s="2" t="s">
        <v>2080</v>
      </c>
      <c r="C1190" s="3">
        <v>38111</v>
      </c>
      <c r="D1190" s="4">
        <f>YEAR(Table1[[#This Row],[Date]])</f>
        <v>2004</v>
      </c>
      <c r="E1190" s="2" t="s">
        <v>2085</v>
      </c>
      <c r="F1190" s="4">
        <v>94</v>
      </c>
      <c r="G1190" s="5">
        <v>284.28308169489765</v>
      </c>
      <c r="H1190" s="6" t="s">
        <v>2086</v>
      </c>
    </row>
    <row r="1191" spans="1:8">
      <c r="A1191" s="1">
        <v>1199</v>
      </c>
      <c r="B1191" s="2" t="s">
        <v>2080</v>
      </c>
      <c r="C1191" s="3">
        <v>38804</v>
      </c>
      <c r="D1191" s="4">
        <f>YEAR(Table1[[#This Row],[Date]])</f>
        <v>2006</v>
      </c>
      <c r="E1191" s="2" t="s">
        <v>2081</v>
      </c>
      <c r="F1191" s="4">
        <v>78</v>
      </c>
      <c r="G1191" s="5">
        <v>235.94909602444432</v>
      </c>
      <c r="H1191" s="6" t="s">
        <v>2082</v>
      </c>
    </row>
    <row r="1192" spans="1:8">
      <c r="A1192" s="1">
        <v>1200</v>
      </c>
      <c r="B1192" s="2" t="s">
        <v>2100</v>
      </c>
      <c r="C1192" s="3">
        <v>38738</v>
      </c>
      <c r="D1192" s="4">
        <f>YEAR(Table1[[#This Row],[Date]])</f>
        <v>2006</v>
      </c>
      <c r="E1192" s="2" t="s">
        <v>2094</v>
      </c>
      <c r="F1192" s="4">
        <v>65</v>
      </c>
      <c r="G1192" s="5">
        <v>196.94723752480948</v>
      </c>
      <c r="H1192" s="6" t="s">
        <v>2096</v>
      </c>
    </row>
    <row r="1193" spans="1:8">
      <c r="A1193" s="1">
        <v>1201</v>
      </c>
      <c r="B1193" s="2" t="s">
        <v>2087</v>
      </c>
      <c r="C1193" s="3">
        <v>39068</v>
      </c>
      <c r="D1193" s="4">
        <f>YEAR(Table1[[#This Row],[Date]])</f>
        <v>2006</v>
      </c>
      <c r="E1193" s="2" t="s">
        <v>2094</v>
      </c>
      <c r="F1193" s="4">
        <v>66</v>
      </c>
      <c r="G1193" s="5">
        <v>199.89422548511391</v>
      </c>
      <c r="H1193" s="6" t="s">
        <v>2082</v>
      </c>
    </row>
    <row r="1194" spans="1:8">
      <c r="A1194" s="1">
        <v>1202</v>
      </c>
      <c r="B1194" s="2" t="s">
        <v>2098</v>
      </c>
      <c r="C1194" s="3">
        <v>38485</v>
      </c>
      <c r="D1194" s="4">
        <f>YEAR(Table1[[#This Row],[Date]])</f>
        <v>2005</v>
      </c>
      <c r="E1194" s="2" t="s">
        <v>2097</v>
      </c>
      <c r="F1194" s="4">
        <v>84</v>
      </c>
      <c r="G1194" s="5">
        <v>254.09765790734036</v>
      </c>
      <c r="H1194" s="6" t="s">
        <v>2096</v>
      </c>
    </row>
    <row r="1195" spans="1:8">
      <c r="A1195" s="1">
        <v>1203</v>
      </c>
      <c r="B1195" s="2" t="s">
        <v>2080</v>
      </c>
      <c r="C1195" s="3">
        <v>38793</v>
      </c>
      <c r="D1195" s="4">
        <f>YEAR(Table1[[#This Row],[Date]])</f>
        <v>2006</v>
      </c>
      <c r="E1195" s="2" t="s">
        <v>2097</v>
      </c>
      <c r="F1195" s="4">
        <v>35</v>
      </c>
      <c r="G1195" s="5">
        <v>107.42230334811192</v>
      </c>
      <c r="H1195" s="6" t="s">
        <v>2082</v>
      </c>
    </row>
    <row r="1196" spans="1:8">
      <c r="A1196" s="1">
        <v>1204</v>
      </c>
      <c r="B1196" s="2" t="s">
        <v>2095</v>
      </c>
      <c r="C1196" s="3">
        <v>38144</v>
      </c>
      <c r="D1196" s="4">
        <f>YEAR(Table1[[#This Row],[Date]])</f>
        <v>2004</v>
      </c>
      <c r="E1196" s="2" t="s">
        <v>2097</v>
      </c>
      <c r="F1196" s="4">
        <v>94</v>
      </c>
      <c r="G1196" s="5">
        <v>284.44960047674812</v>
      </c>
      <c r="H1196" s="6" t="s">
        <v>2090</v>
      </c>
    </row>
    <row r="1197" spans="1:8">
      <c r="A1197" s="1">
        <v>1205</v>
      </c>
      <c r="B1197" s="2" t="s">
        <v>2093</v>
      </c>
      <c r="C1197" s="3">
        <v>38452</v>
      </c>
      <c r="D1197" s="4">
        <f>YEAR(Table1[[#This Row],[Date]])</f>
        <v>2005</v>
      </c>
      <c r="E1197" s="2" t="s">
        <v>2081</v>
      </c>
      <c r="F1197" s="4">
        <v>26</v>
      </c>
      <c r="G1197" s="5">
        <v>80.008907895331433</v>
      </c>
      <c r="H1197" s="6" t="s">
        <v>2086</v>
      </c>
    </row>
    <row r="1198" spans="1:8">
      <c r="A1198" s="1">
        <v>1206</v>
      </c>
      <c r="B1198" s="2" t="s">
        <v>2099</v>
      </c>
      <c r="C1198" s="3">
        <v>38925</v>
      </c>
      <c r="D1198" s="4">
        <f>YEAR(Table1[[#This Row],[Date]])</f>
        <v>2006</v>
      </c>
      <c r="E1198" s="2" t="s">
        <v>2094</v>
      </c>
      <c r="F1198" s="4">
        <v>80</v>
      </c>
      <c r="G1198" s="5">
        <v>242.68960514739433</v>
      </c>
      <c r="H1198" s="6" t="s">
        <v>2096</v>
      </c>
    </row>
    <row r="1199" spans="1:8">
      <c r="A1199" s="1">
        <v>1207</v>
      </c>
      <c r="B1199" s="2" t="s">
        <v>2095</v>
      </c>
      <c r="C1199" s="3">
        <v>38133</v>
      </c>
      <c r="D1199" s="4">
        <f>YEAR(Table1[[#This Row],[Date]])</f>
        <v>2004</v>
      </c>
      <c r="E1199" s="2" t="s">
        <v>2081</v>
      </c>
      <c r="F1199" s="4">
        <v>7</v>
      </c>
      <c r="G1199" s="5">
        <v>22.749084769262449</v>
      </c>
      <c r="H1199" s="6" t="s">
        <v>2090</v>
      </c>
    </row>
    <row r="1200" spans="1:8">
      <c r="A1200" s="1">
        <v>1208</v>
      </c>
      <c r="B1200" s="2" t="s">
        <v>2084</v>
      </c>
      <c r="C1200" s="3">
        <v>38925</v>
      </c>
      <c r="D1200" s="4">
        <f>YEAR(Table1[[#This Row],[Date]])</f>
        <v>2006</v>
      </c>
      <c r="E1200" s="2" t="s">
        <v>2097</v>
      </c>
      <c r="F1200" s="4">
        <v>47</v>
      </c>
      <c r="G1200" s="5">
        <v>142.45293344391169</v>
      </c>
      <c r="H1200" s="6" t="s">
        <v>2086</v>
      </c>
    </row>
    <row r="1201" spans="1:8">
      <c r="A1201" s="1">
        <v>1209</v>
      </c>
      <c r="B1201" s="2" t="s">
        <v>2093</v>
      </c>
      <c r="C1201" s="3">
        <v>38243</v>
      </c>
      <c r="D1201" s="4">
        <f>YEAR(Table1[[#This Row],[Date]])</f>
        <v>2004</v>
      </c>
      <c r="E1201" s="2" t="s">
        <v>2081</v>
      </c>
      <c r="F1201" s="4">
        <v>32</v>
      </c>
      <c r="G1201" s="5">
        <v>98.66880662051085</v>
      </c>
      <c r="H1201" s="6" t="s">
        <v>2090</v>
      </c>
    </row>
    <row r="1202" spans="1:8">
      <c r="A1202" s="1">
        <v>1210</v>
      </c>
      <c r="B1202" s="2" t="s">
        <v>2084</v>
      </c>
      <c r="C1202" s="3">
        <v>38683</v>
      </c>
      <c r="D1202" s="4">
        <f>YEAR(Table1[[#This Row],[Date]])</f>
        <v>2005</v>
      </c>
      <c r="E1202" s="2" t="s">
        <v>2081</v>
      </c>
      <c r="F1202" s="4">
        <v>8</v>
      </c>
      <c r="G1202" s="5">
        <v>25.397181435002494</v>
      </c>
      <c r="H1202" s="6" t="s">
        <v>2090</v>
      </c>
    </row>
    <row r="1203" spans="1:8">
      <c r="A1203" s="1">
        <v>1211</v>
      </c>
      <c r="B1203" s="2" t="s">
        <v>2087</v>
      </c>
      <c r="C1203" s="3">
        <v>38199</v>
      </c>
      <c r="D1203" s="4">
        <f>YEAR(Table1[[#This Row],[Date]])</f>
        <v>2004</v>
      </c>
      <c r="E1203" s="2" t="s">
        <v>2097</v>
      </c>
      <c r="F1203" s="4">
        <v>33</v>
      </c>
      <c r="G1203" s="5">
        <v>100.90835792644413</v>
      </c>
      <c r="H1203" s="6" t="s">
        <v>2086</v>
      </c>
    </row>
    <row r="1204" spans="1:8">
      <c r="A1204" s="1">
        <v>1212</v>
      </c>
      <c r="B1204" s="2" t="s">
        <v>2099</v>
      </c>
      <c r="C1204" s="3">
        <v>38232</v>
      </c>
      <c r="D1204" s="4">
        <f>YEAR(Table1[[#This Row],[Date]])</f>
        <v>2004</v>
      </c>
      <c r="E1204" s="2" t="s">
        <v>2094</v>
      </c>
      <c r="F1204" s="4">
        <v>22</v>
      </c>
      <c r="G1204" s="5">
        <v>68.443266596535878</v>
      </c>
      <c r="H1204" s="6" t="s">
        <v>2096</v>
      </c>
    </row>
    <row r="1205" spans="1:8">
      <c r="A1205" s="1">
        <v>1213</v>
      </c>
      <c r="B1205" s="2" t="s">
        <v>2100</v>
      </c>
      <c r="C1205" s="3">
        <v>38650</v>
      </c>
      <c r="D1205" s="4">
        <f>YEAR(Table1[[#This Row],[Date]])</f>
        <v>2005</v>
      </c>
      <c r="E1205" s="2" t="s">
        <v>2081</v>
      </c>
      <c r="F1205" s="4">
        <v>81</v>
      </c>
      <c r="G1205" s="5">
        <v>244.7024907032648</v>
      </c>
      <c r="H1205" s="6" t="s">
        <v>2082</v>
      </c>
    </row>
    <row r="1206" spans="1:8">
      <c r="A1206" s="1">
        <v>1214</v>
      </c>
      <c r="B1206" s="2" t="s">
        <v>2100</v>
      </c>
      <c r="C1206" s="3">
        <v>38881</v>
      </c>
      <c r="D1206" s="4">
        <f>YEAR(Table1[[#This Row],[Date]])</f>
        <v>2006</v>
      </c>
      <c r="E1206" s="2" t="s">
        <v>2088</v>
      </c>
      <c r="F1206" s="4">
        <v>81</v>
      </c>
      <c r="G1206" s="5">
        <v>244.87385074051761</v>
      </c>
      <c r="H1206" s="6" t="s">
        <v>2086</v>
      </c>
    </row>
    <row r="1207" spans="1:8">
      <c r="A1207" s="1">
        <v>1215</v>
      </c>
      <c r="B1207" s="2" t="s">
        <v>2087</v>
      </c>
      <c r="C1207" s="3">
        <v>38199</v>
      </c>
      <c r="D1207" s="4">
        <f>YEAR(Table1[[#This Row],[Date]])</f>
        <v>2004</v>
      </c>
      <c r="E1207" s="2" t="s">
        <v>2085</v>
      </c>
      <c r="F1207" s="4">
        <v>30</v>
      </c>
      <c r="G1207" s="5">
        <v>91.738843901415805</v>
      </c>
      <c r="H1207" s="6" t="s">
        <v>2082</v>
      </c>
    </row>
    <row r="1208" spans="1:8">
      <c r="A1208" s="1">
        <v>1216</v>
      </c>
      <c r="B1208" s="2" t="s">
        <v>2091</v>
      </c>
      <c r="C1208" s="3">
        <v>38243</v>
      </c>
      <c r="D1208" s="4">
        <f>YEAR(Table1[[#This Row],[Date]])</f>
        <v>2004</v>
      </c>
      <c r="E1208" s="2" t="s">
        <v>2081</v>
      </c>
      <c r="F1208" s="4">
        <v>1</v>
      </c>
      <c r="G1208" s="5">
        <v>1.145171893891844</v>
      </c>
      <c r="H1208" s="6" t="s">
        <v>2090</v>
      </c>
    </row>
    <row r="1209" spans="1:8">
      <c r="A1209" s="1">
        <v>1217</v>
      </c>
      <c r="B1209" s="2" t="s">
        <v>2084</v>
      </c>
      <c r="C1209" s="3">
        <v>38859</v>
      </c>
      <c r="D1209" s="4">
        <f>YEAR(Table1[[#This Row],[Date]])</f>
        <v>2006</v>
      </c>
      <c r="E1209" s="2" t="s">
        <v>2097</v>
      </c>
      <c r="F1209" s="4">
        <v>35</v>
      </c>
      <c r="G1209" s="5">
        <v>106.85440305953027</v>
      </c>
      <c r="H1209" s="6" t="s">
        <v>2086</v>
      </c>
    </row>
    <row r="1210" spans="1:8">
      <c r="A1210" s="1">
        <v>1218</v>
      </c>
      <c r="B1210" s="2" t="s">
        <v>2100</v>
      </c>
      <c r="C1210" s="3">
        <v>38793</v>
      </c>
      <c r="D1210" s="4">
        <f>YEAR(Table1[[#This Row],[Date]])</f>
        <v>2006</v>
      </c>
      <c r="E1210" s="2" t="s">
        <v>2097</v>
      </c>
      <c r="F1210" s="4">
        <v>78</v>
      </c>
      <c r="G1210" s="5">
        <v>235.96052865922752</v>
      </c>
      <c r="H1210" s="6" t="s">
        <v>2090</v>
      </c>
    </row>
    <row r="1211" spans="1:8">
      <c r="A1211" s="1">
        <v>1219</v>
      </c>
      <c r="B1211" s="2" t="s">
        <v>2080</v>
      </c>
      <c r="C1211" s="3">
        <v>38936</v>
      </c>
      <c r="D1211" s="4">
        <f>YEAR(Table1[[#This Row],[Date]])</f>
        <v>2006</v>
      </c>
      <c r="E1211" s="2" t="s">
        <v>2081</v>
      </c>
      <c r="F1211" s="4">
        <v>15</v>
      </c>
      <c r="G1211" s="5">
        <v>47.22639965086119</v>
      </c>
      <c r="H1211" s="6" t="s">
        <v>2082</v>
      </c>
    </row>
    <row r="1212" spans="1:8">
      <c r="A1212" s="1">
        <v>1220</v>
      </c>
      <c r="B1212" s="2" t="s">
        <v>2099</v>
      </c>
      <c r="C1212" s="3">
        <v>38375</v>
      </c>
      <c r="D1212" s="4">
        <f>YEAR(Table1[[#This Row],[Date]])</f>
        <v>2005</v>
      </c>
      <c r="E1212" s="2" t="s">
        <v>2097</v>
      </c>
      <c r="F1212" s="4">
        <v>75</v>
      </c>
      <c r="G1212" s="5">
        <v>226.87742764461669</v>
      </c>
      <c r="H1212" s="6" t="s">
        <v>2096</v>
      </c>
    </row>
    <row r="1213" spans="1:8">
      <c r="A1213" s="1">
        <v>1221</v>
      </c>
      <c r="B1213" s="2" t="s">
        <v>2098</v>
      </c>
      <c r="C1213" s="3">
        <v>39002</v>
      </c>
      <c r="D1213" s="4">
        <f>YEAR(Table1[[#This Row],[Date]])</f>
        <v>2006</v>
      </c>
      <c r="E1213" s="2" t="s">
        <v>2094</v>
      </c>
      <c r="F1213" s="4">
        <v>12</v>
      </c>
      <c r="G1213" s="5">
        <v>38.143038750044731</v>
      </c>
      <c r="H1213" s="6" t="s">
        <v>2082</v>
      </c>
    </row>
    <row r="1214" spans="1:8">
      <c r="A1214" s="1">
        <v>1222</v>
      </c>
      <c r="B1214" s="2" t="s">
        <v>2095</v>
      </c>
      <c r="C1214" s="3">
        <v>38672</v>
      </c>
      <c r="D1214" s="4">
        <f>YEAR(Table1[[#This Row],[Date]])</f>
        <v>2005</v>
      </c>
      <c r="E1214" s="2" t="s">
        <v>2097</v>
      </c>
      <c r="F1214" s="4">
        <v>30</v>
      </c>
      <c r="G1214" s="5">
        <v>91.983337200833716</v>
      </c>
      <c r="H1214" s="6" t="s">
        <v>2086</v>
      </c>
    </row>
    <row r="1215" spans="1:8">
      <c r="A1215" s="1">
        <v>1223</v>
      </c>
      <c r="B1215" s="2" t="s">
        <v>2095</v>
      </c>
      <c r="C1215" s="3">
        <v>38485</v>
      </c>
      <c r="D1215" s="4">
        <f>YEAR(Table1[[#This Row],[Date]])</f>
        <v>2005</v>
      </c>
      <c r="E1215" s="2" t="s">
        <v>2094</v>
      </c>
      <c r="F1215" s="4">
        <v>42</v>
      </c>
      <c r="G1215" s="5">
        <v>128.0454928316145</v>
      </c>
      <c r="H1215" s="6" t="s">
        <v>2090</v>
      </c>
    </row>
    <row r="1216" spans="1:8">
      <c r="A1216" s="1">
        <v>1224</v>
      </c>
      <c r="B1216" s="2" t="s">
        <v>2098</v>
      </c>
      <c r="C1216" s="3">
        <v>37990</v>
      </c>
      <c r="D1216" s="4">
        <f>YEAR(Table1[[#This Row],[Date]])</f>
        <v>2004</v>
      </c>
      <c r="E1216" s="2" t="s">
        <v>2094</v>
      </c>
      <c r="F1216" s="4">
        <v>8</v>
      </c>
      <c r="G1216" s="5">
        <v>22.146929145267091</v>
      </c>
      <c r="H1216" s="6" t="s">
        <v>2096</v>
      </c>
    </row>
    <row r="1217" spans="1:8">
      <c r="A1217" s="1">
        <v>1225</v>
      </c>
      <c r="B1217" s="2" t="s">
        <v>2099</v>
      </c>
      <c r="C1217" s="3">
        <v>38089</v>
      </c>
      <c r="D1217" s="4">
        <f>YEAR(Table1[[#This Row],[Date]])</f>
        <v>2004</v>
      </c>
      <c r="E1217" s="2" t="s">
        <v>2088</v>
      </c>
      <c r="F1217" s="4">
        <v>93</v>
      </c>
      <c r="G1217" s="5">
        <v>280.73714428830147</v>
      </c>
      <c r="H1217" s="6" t="s">
        <v>2090</v>
      </c>
    </row>
    <row r="1218" spans="1:8">
      <c r="A1218" s="1">
        <v>1226</v>
      </c>
      <c r="B1218" s="2" t="s">
        <v>2084</v>
      </c>
      <c r="C1218" s="3">
        <v>38958</v>
      </c>
      <c r="D1218" s="4">
        <f>YEAR(Table1[[#This Row],[Date]])</f>
        <v>2006</v>
      </c>
      <c r="E1218" s="2" t="s">
        <v>2094</v>
      </c>
      <c r="F1218" s="4">
        <v>55</v>
      </c>
      <c r="G1218" s="5">
        <v>167.57524533229733</v>
      </c>
      <c r="H1218" s="6" t="s">
        <v>2096</v>
      </c>
    </row>
    <row r="1219" spans="1:8">
      <c r="A1219" s="1">
        <v>1227</v>
      </c>
      <c r="B1219" s="2" t="s">
        <v>2087</v>
      </c>
      <c r="C1219" s="3">
        <v>38408</v>
      </c>
      <c r="D1219" s="4">
        <f>YEAR(Table1[[#This Row],[Date]])</f>
        <v>2005</v>
      </c>
      <c r="E1219" s="2" t="s">
        <v>2081</v>
      </c>
      <c r="F1219" s="4">
        <v>53</v>
      </c>
      <c r="G1219" s="5">
        <v>161.16756896250922</v>
      </c>
      <c r="H1219" s="6" t="s">
        <v>2082</v>
      </c>
    </row>
    <row r="1220" spans="1:8">
      <c r="A1220" s="1">
        <v>1228</v>
      </c>
      <c r="B1220" s="2" t="s">
        <v>2098</v>
      </c>
      <c r="C1220" s="3">
        <v>38903</v>
      </c>
      <c r="D1220" s="4">
        <f>YEAR(Table1[[#This Row],[Date]])</f>
        <v>2006</v>
      </c>
      <c r="E1220" s="2" t="s">
        <v>2094</v>
      </c>
      <c r="F1220" s="4">
        <v>20</v>
      </c>
      <c r="G1220" s="5">
        <v>61.771223708788817</v>
      </c>
      <c r="H1220" s="6" t="s">
        <v>2090</v>
      </c>
    </row>
    <row r="1221" spans="1:8">
      <c r="A1221" s="1">
        <v>1229</v>
      </c>
      <c r="B1221" s="2" t="s">
        <v>2091</v>
      </c>
      <c r="C1221" s="3">
        <v>38463</v>
      </c>
      <c r="D1221" s="4">
        <f>YEAR(Table1[[#This Row],[Date]])</f>
        <v>2005</v>
      </c>
      <c r="E1221" s="2" t="s">
        <v>2088</v>
      </c>
      <c r="F1221" s="4">
        <v>19</v>
      </c>
      <c r="G1221" s="5">
        <v>58.720890783599678</v>
      </c>
      <c r="H1221" s="6" t="s">
        <v>2086</v>
      </c>
    </row>
    <row r="1222" spans="1:8">
      <c r="A1222" s="1">
        <v>1230</v>
      </c>
      <c r="B1222" s="2" t="s">
        <v>2100</v>
      </c>
      <c r="C1222" s="3">
        <v>38375</v>
      </c>
      <c r="D1222" s="4">
        <f>YEAR(Table1[[#This Row],[Date]])</f>
        <v>2005</v>
      </c>
      <c r="E1222" s="2" t="s">
        <v>2097</v>
      </c>
      <c r="F1222" s="4">
        <v>23</v>
      </c>
      <c r="G1222" s="5">
        <v>70.867520556192943</v>
      </c>
      <c r="H1222" s="6" t="s">
        <v>2082</v>
      </c>
    </row>
    <row r="1223" spans="1:8">
      <c r="A1223" s="1">
        <v>1231</v>
      </c>
      <c r="B1223" s="2" t="s">
        <v>2080</v>
      </c>
      <c r="C1223" s="3">
        <v>38782</v>
      </c>
      <c r="D1223" s="4">
        <f>YEAR(Table1[[#This Row],[Date]])</f>
        <v>2006</v>
      </c>
      <c r="E1223" s="2" t="s">
        <v>2085</v>
      </c>
      <c r="F1223" s="4">
        <v>68</v>
      </c>
      <c r="G1223" s="5">
        <v>205.90903893366013</v>
      </c>
      <c r="H1223" s="6" t="s">
        <v>2082</v>
      </c>
    </row>
    <row r="1224" spans="1:8">
      <c r="A1224" s="1">
        <v>1232</v>
      </c>
      <c r="B1224" s="2" t="s">
        <v>2093</v>
      </c>
      <c r="C1224" s="3">
        <v>38738</v>
      </c>
      <c r="D1224" s="4">
        <f>YEAR(Table1[[#This Row],[Date]])</f>
        <v>2006</v>
      </c>
      <c r="E1224" s="2" t="s">
        <v>2088</v>
      </c>
      <c r="F1224" s="4">
        <v>52</v>
      </c>
      <c r="G1224" s="5">
        <v>157.86201256059277</v>
      </c>
      <c r="H1224" s="6" t="s">
        <v>2096</v>
      </c>
    </row>
    <row r="1225" spans="1:8">
      <c r="A1225" s="1">
        <v>1233</v>
      </c>
      <c r="B1225" s="2" t="s">
        <v>2087</v>
      </c>
      <c r="C1225" s="3">
        <v>38551</v>
      </c>
      <c r="D1225" s="4">
        <f>YEAR(Table1[[#This Row],[Date]])</f>
        <v>2005</v>
      </c>
      <c r="E1225" s="2" t="s">
        <v>2094</v>
      </c>
      <c r="F1225" s="4">
        <v>40</v>
      </c>
      <c r="G1225" s="5">
        <v>121.95606531866419</v>
      </c>
      <c r="H1225" s="6" t="s">
        <v>2082</v>
      </c>
    </row>
    <row r="1226" spans="1:8">
      <c r="A1226" s="1">
        <v>1234</v>
      </c>
      <c r="B1226" s="2" t="s">
        <v>2093</v>
      </c>
      <c r="C1226" s="3">
        <v>38771</v>
      </c>
      <c r="D1226" s="4">
        <f>YEAR(Table1[[#This Row],[Date]])</f>
        <v>2006</v>
      </c>
      <c r="E1226" s="2" t="s">
        <v>2097</v>
      </c>
      <c r="F1226" s="4">
        <v>22</v>
      </c>
      <c r="G1226" s="5">
        <v>67.708397118863431</v>
      </c>
      <c r="H1226" s="6" t="s">
        <v>2090</v>
      </c>
    </row>
    <row r="1227" spans="1:8">
      <c r="A1227" s="1">
        <v>1235</v>
      </c>
      <c r="B1227" s="2" t="s">
        <v>2093</v>
      </c>
      <c r="C1227" s="3">
        <v>38452</v>
      </c>
      <c r="D1227" s="4">
        <f>YEAR(Table1[[#This Row],[Date]])</f>
        <v>2005</v>
      </c>
      <c r="E1227" s="2" t="s">
        <v>2088</v>
      </c>
      <c r="F1227" s="4">
        <v>5</v>
      </c>
      <c r="G1227" s="5">
        <v>16.990101124103898</v>
      </c>
      <c r="H1227" s="6" t="s">
        <v>2090</v>
      </c>
    </row>
    <row r="1228" spans="1:8">
      <c r="A1228" s="1">
        <v>1236</v>
      </c>
      <c r="B1228" s="2" t="s">
        <v>2093</v>
      </c>
      <c r="C1228" s="3">
        <v>38815</v>
      </c>
      <c r="D1228" s="4">
        <f>YEAR(Table1[[#This Row],[Date]])</f>
        <v>2006</v>
      </c>
      <c r="E1228" s="2" t="s">
        <v>2097</v>
      </c>
      <c r="F1228" s="4">
        <v>30</v>
      </c>
      <c r="G1228" s="5">
        <v>92.283774629578076</v>
      </c>
      <c r="H1228" s="6" t="s">
        <v>2082</v>
      </c>
    </row>
    <row r="1229" spans="1:8">
      <c r="A1229" s="1">
        <v>1237</v>
      </c>
      <c r="B1229" s="2" t="s">
        <v>2093</v>
      </c>
      <c r="C1229" s="3">
        <v>38078</v>
      </c>
      <c r="D1229" s="4">
        <f>YEAR(Table1[[#This Row],[Date]])</f>
        <v>2004</v>
      </c>
      <c r="E1229" s="2" t="s">
        <v>2094</v>
      </c>
      <c r="F1229" s="4">
        <v>6</v>
      </c>
      <c r="G1229" s="5">
        <v>20.244957158318631</v>
      </c>
      <c r="H1229" s="6" t="s">
        <v>2090</v>
      </c>
    </row>
    <row r="1230" spans="1:8">
      <c r="A1230" s="1">
        <v>1238</v>
      </c>
      <c r="B1230" s="2" t="s">
        <v>2099</v>
      </c>
      <c r="C1230" s="3">
        <v>38254</v>
      </c>
      <c r="D1230" s="4">
        <f>YEAR(Table1[[#This Row],[Date]])</f>
        <v>2004</v>
      </c>
      <c r="E1230" s="2" t="s">
        <v>2088</v>
      </c>
      <c r="F1230" s="4">
        <v>92</v>
      </c>
      <c r="G1230" s="5">
        <v>277.63010190908926</v>
      </c>
      <c r="H1230" s="6" t="s">
        <v>2096</v>
      </c>
    </row>
    <row r="1231" spans="1:8">
      <c r="A1231" s="1">
        <v>1239</v>
      </c>
      <c r="B1231" s="2" t="s">
        <v>2091</v>
      </c>
      <c r="C1231" s="3">
        <v>38859</v>
      </c>
      <c r="D1231" s="4">
        <f>YEAR(Table1[[#This Row],[Date]])</f>
        <v>2006</v>
      </c>
      <c r="E1231" s="2" t="s">
        <v>2097</v>
      </c>
      <c r="F1231" s="4">
        <v>5</v>
      </c>
      <c r="G1231" s="5">
        <v>12.432490366118355</v>
      </c>
      <c r="H1231" s="6" t="s">
        <v>2086</v>
      </c>
    </row>
    <row r="1232" spans="1:8">
      <c r="A1232" s="1">
        <v>1240</v>
      </c>
      <c r="B1232" s="2" t="s">
        <v>2095</v>
      </c>
      <c r="C1232" s="3">
        <v>38848</v>
      </c>
      <c r="D1232" s="4">
        <f>YEAR(Table1[[#This Row],[Date]])</f>
        <v>2006</v>
      </c>
      <c r="E1232" s="2" t="s">
        <v>2081</v>
      </c>
      <c r="F1232" s="4">
        <v>20</v>
      </c>
      <c r="G1232" s="5">
        <v>61.840740307042338</v>
      </c>
      <c r="H1232" s="6" t="s">
        <v>2090</v>
      </c>
    </row>
    <row r="1233" spans="1:8">
      <c r="A1233" s="1">
        <v>1241</v>
      </c>
      <c r="B1233" s="2" t="s">
        <v>2098</v>
      </c>
      <c r="C1233" s="3">
        <v>39079</v>
      </c>
      <c r="D1233" s="4">
        <f>YEAR(Table1[[#This Row],[Date]])</f>
        <v>2006</v>
      </c>
      <c r="E1233" s="2" t="s">
        <v>2097</v>
      </c>
      <c r="F1233" s="4">
        <v>54</v>
      </c>
      <c r="G1233" s="5">
        <v>163.08588736802977</v>
      </c>
      <c r="H1233" s="6" t="s">
        <v>2086</v>
      </c>
    </row>
    <row r="1234" spans="1:8">
      <c r="A1234" s="1">
        <v>1242</v>
      </c>
      <c r="B1234" s="2" t="s">
        <v>2093</v>
      </c>
      <c r="C1234" s="3">
        <v>38452</v>
      </c>
      <c r="D1234" s="4">
        <f>YEAR(Table1[[#This Row],[Date]])</f>
        <v>2005</v>
      </c>
      <c r="E1234" s="2" t="s">
        <v>2094</v>
      </c>
      <c r="F1234" s="4">
        <v>9</v>
      </c>
      <c r="G1234" s="5">
        <v>29.206434361888643</v>
      </c>
      <c r="H1234" s="6" t="s">
        <v>2096</v>
      </c>
    </row>
    <row r="1235" spans="1:8">
      <c r="A1235" s="1">
        <v>1243</v>
      </c>
      <c r="B1235" s="2" t="s">
        <v>2091</v>
      </c>
      <c r="C1235" s="3">
        <v>38485</v>
      </c>
      <c r="D1235" s="4">
        <f>YEAR(Table1[[#This Row],[Date]])</f>
        <v>2005</v>
      </c>
      <c r="E1235" s="2" t="s">
        <v>2094</v>
      </c>
      <c r="F1235" s="4">
        <v>6</v>
      </c>
      <c r="G1235" s="5">
        <v>19.957821441994636</v>
      </c>
      <c r="H1235" s="6" t="s">
        <v>2082</v>
      </c>
    </row>
    <row r="1236" spans="1:8">
      <c r="A1236" s="1">
        <v>1244</v>
      </c>
      <c r="B1236" s="2" t="s">
        <v>2098</v>
      </c>
      <c r="C1236" s="3">
        <v>38111</v>
      </c>
      <c r="D1236" s="4">
        <f>YEAR(Table1[[#This Row],[Date]])</f>
        <v>2004</v>
      </c>
      <c r="E1236" s="2" t="s">
        <v>2081</v>
      </c>
      <c r="F1236" s="4">
        <v>47</v>
      </c>
      <c r="G1236" s="5">
        <v>142.82940012407209</v>
      </c>
      <c r="H1236" s="6" t="s">
        <v>2096</v>
      </c>
    </row>
    <row r="1237" spans="1:8">
      <c r="A1237" s="1">
        <v>1245</v>
      </c>
      <c r="B1237" s="2" t="s">
        <v>2087</v>
      </c>
      <c r="C1237" s="3">
        <v>38672</v>
      </c>
      <c r="D1237" s="4">
        <f>YEAR(Table1[[#This Row],[Date]])</f>
        <v>2005</v>
      </c>
      <c r="E1237" s="2" t="s">
        <v>2097</v>
      </c>
      <c r="F1237" s="4">
        <v>10</v>
      </c>
      <c r="G1237" s="5">
        <v>27.091257616513943</v>
      </c>
      <c r="H1237" s="6" t="s">
        <v>2082</v>
      </c>
    </row>
    <row r="1238" spans="1:8">
      <c r="A1238" s="1">
        <v>1246</v>
      </c>
      <c r="B1238" s="2" t="s">
        <v>2100</v>
      </c>
      <c r="C1238" s="3">
        <v>38122</v>
      </c>
      <c r="D1238" s="4">
        <f>YEAR(Table1[[#This Row],[Date]])</f>
        <v>2004</v>
      </c>
      <c r="E1238" s="2" t="s">
        <v>2097</v>
      </c>
      <c r="F1238" s="4">
        <v>90</v>
      </c>
      <c r="G1238" s="5">
        <v>272.34042411677569</v>
      </c>
      <c r="H1238" s="6" t="s">
        <v>2086</v>
      </c>
    </row>
    <row r="1239" spans="1:8">
      <c r="A1239" s="1">
        <v>1247</v>
      </c>
      <c r="B1239" s="2" t="s">
        <v>2080</v>
      </c>
      <c r="C1239" s="3">
        <v>38023</v>
      </c>
      <c r="D1239" s="4">
        <f>YEAR(Table1[[#This Row],[Date]])</f>
        <v>2004</v>
      </c>
      <c r="E1239" s="2" t="s">
        <v>2085</v>
      </c>
      <c r="F1239" s="4">
        <v>48</v>
      </c>
      <c r="G1239" s="5">
        <v>146.4346102431829</v>
      </c>
      <c r="H1239" s="6" t="s">
        <v>2086</v>
      </c>
    </row>
    <row r="1240" spans="1:8">
      <c r="A1240" s="1">
        <v>1248</v>
      </c>
      <c r="B1240" s="2" t="s">
        <v>2098</v>
      </c>
      <c r="C1240" s="3">
        <v>38452</v>
      </c>
      <c r="D1240" s="4">
        <f>YEAR(Table1[[#This Row],[Date]])</f>
        <v>2005</v>
      </c>
      <c r="E1240" s="2" t="s">
        <v>2085</v>
      </c>
      <c r="F1240" s="4">
        <v>55</v>
      </c>
      <c r="G1240" s="5">
        <v>167.32527262577906</v>
      </c>
      <c r="H1240" s="6" t="s">
        <v>2082</v>
      </c>
    </row>
    <row r="1241" spans="1:8">
      <c r="A1241" s="1">
        <v>1249</v>
      </c>
      <c r="B1241" s="2" t="s">
        <v>2080</v>
      </c>
      <c r="C1241" s="3">
        <v>38892</v>
      </c>
      <c r="D1241" s="4">
        <f>YEAR(Table1[[#This Row],[Date]])</f>
        <v>2006</v>
      </c>
      <c r="E1241" s="2" t="s">
        <v>2097</v>
      </c>
      <c r="F1241" s="4">
        <v>42</v>
      </c>
      <c r="G1241" s="5">
        <v>128.47869059837046</v>
      </c>
      <c r="H1241" s="6" t="s">
        <v>2096</v>
      </c>
    </row>
    <row r="1242" spans="1:8">
      <c r="A1242" s="1">
        <v>1250</v>
      </c>
      <c r="B1242" s="2" t="s">
        <v>2100</v>
      </c>
      <c r="C1242" s="3">
        <v>38749</v>
      </c>
      <c r="D1242" s="4">
        <f>YEAR(Table1[[#This Row],[Date]])</f>
        <v>2006</v>
      </c>
      <c r="E1242" s="2" t="s">
        <v>2094</v>
      </c>
      <c r="F1242" s="4">
        <v>39</v>
      </c>
      <c r="G1242" s="5">
        <v>119.42558225930649</v>
      </c>
      <c r="H1242" s="6" t="s">
        <v>2090</v>
      </c>
    </row>
    <row r="1243" spans="1:8">
      <c r="A1243" s="1">
        <v>1251</v>
      </c>
      <c r="B1243" s="2" t="s">
        <v>2093</v>
      </c>
      <c r="C1243" s="3">
        <v>38672</v>
      </c>
      <c r="D1243" s="4">
        <f>YEAR(Table1[[#This Row],[Date]])</f>
        <v>2005</v>
      </c>
      <c r="E1243" s="2" t="s">
        <v>2097</v>
      </c>
      <c r="F1243" s="4">
        <v>26</v>
      </c>
      <c r="G1243" s="5">
        <v>79.641106811056247</v>
      </c>
      <c r="H1243" s="6" t="s">
        <v>2082</v>
      </c>
    </row>
    <row r="1244" spans="1:8">
      <c r="A1244" s="1">
        <v>1252</v>
      </c>
      <c r="B1244" s="2" t="s">
        <v>2080</v>
      </c>
      <c r="C1244" s="3">
        <v>38760</v>
      </c>
      <c r="D1244" s="4">
        <f>YEAR(Table1[[#This Row],[Date]])</f>
        <v>2006</v>
      </c>
      <c r="E1244" s="2" t="s">
        <v>2097</v>
      </c>
      <c r="F1244" s="4">
        <v>26</v>
      </c>
      <c r="G1244" s="5">
        <v>79.499321772308136</v>
      </c>
      <c r="H1244" s="6" t="s">
        <v>2096</v>
      </c>
    </row>
    <row r="1245" spans="1:8">
      <c r="A1245" s="1">
        <v>1253</v>
      </c>
      <c r="B1245" s="2" t="s">
        <v>2080</v>
      </c>
      <c r="C1245" s="3">
        <v>38705</v>
      </c>
      <c r="D1245" s="4">
        <f>YEAR(Table1[[#This Row],[Date]])</f>
        <v>2005</v>
      </c>
      <c r="E1245" s="2" t="s">
        <v>2094</v>
      </c>
      <c r="F1245" s="4">
        <v>52</v>
      </c>
      <c r="G1245" s="5">
        <v>158.28266649648856</v>
      </c>
      <c r="H1245" s="6" t="s">
        <v>2096</v>
      </c>
    </row>
    <row r="1246" spans="1:8">
      <c r="A1246" s="1">
        <v>1254</v>
      </c>
      <c r="B1246" s="2" t="s">
        <v>2093</v>
      </c>
      <c r="C1246" s="3">
        <v>38309</v>
      </c>
      <c r="D1246" s="4">
        <f>YEAR(Table1[[#This Row],[Date]])</f>
        <v>2004</v>
      </c>
      <c r="E1246" s="2" t="s">
        <v>2085</v>
      </c>
      <c r="F1246" s="4">
        <v>19</v>
      </c>
      <c r="G1246" s="5">
        <v>58.769535018680784</v>
      </c>
      <c r="H1246" s="6" t="s">
        <v>2082</v>
      </c>
    </row>
    <row r="1247" spans="1:8">
      <c r="A1247" s="1">
        <v>1255</v>
      </c>
      <c r="B1247" s="2" t="s">
        <v>2087</v>
      </c>
      <c r="C1247" s="3">
        <v>38210</v>
      </c>
      <c r="D1247" s="4">
        <f>YEAR(Table1[[#This Row],[Date]])</f>
        <v>2004</v>
      </c>
      <c r="E1247" s="2" t="s">
        <v>2097</v>
      </c>
      <c r="F1247" s="4">
        <v>18</v>
      </c>
      <c r="G1247" s="5">
        <v>55.683739721262491</v>
      </c>
      <c r="H1247" s="6" t="s">
        <v>2096</v>
      </c>
    </row>
    <row r="1248" spans="1:8">
      <c r="A1248" s="1">
        <v>1256</v>
      </c>
      <c r="B1248" s="2" t="s">
        <v>2084</v>
      </c>
      <c r="C1248" s="3">
        <v>39046</v>
      </c>
      <c r="D1248" s="4">
        <f>YEAR(Table1[[#This Row],[Date]])</f>
        <v>2006</v>
      </c>
      <c r="E1248" s="2" t="s">
        <v>2097</v>
      </c>
      <c r="F1248" s="4">
        <v>87</v>
      </c>
      <c r="G1248" s="5">
        <v>263.04139351081579</v>
      </c>
      <c r="H1248" s="6" t="s">
        <v>2096</v>
      </c>
    </row>
    <row r="1249" spans="1:8">
      <c r="A1249" s="1">
        <v>1257</v>
      </c>
      <c r="B1249" s="2" t="s">
        <v>2093</v>
      </c>
      <c r="C1249" s="3">
        <v>38276</v>
      </c>
      <c r="D1249" s="4">
        <f>YEAR(Table1[[#This Row],[Date]])</f>
        <v>2004</v>
      </c>
      <c r="E1249" s="2" t="s">
        <v>2094</v>
      </c>
      <c r="F1249" s="4">
        <v>46</v>
      </c>
      <c r="G1249" s="5">
        <v>139.93969189998913</v>
      </c>
      <c r="H1249" s="6" t="s">
        <v>2086</v>
      </c>
    </row>
    <row r="1250" spans="1:8">
      <c r="A1250" s="1">
        <v>1258</v>
      </c>
      <c r="B1250" s="2" t="s">
        <v>2080</v>
      </c>
      <c r="C1250" s="3">
        <v>38914</v>
      </c>
      <c r="D1250" s="4">
        <f>YEAR(Table1[[#This Row],[Date]])</f>
        <v>2006</v>
      </c>
      <c r="E1250" s="2" t="s">
        <v>2097</v>
      </c>
      <c r="F1250" s="4">
        <v>54</v>
      </c>
      <c r="G1250" s="5">
        <v>163.69364721145854</v>
      </c>
      <c r="H1250" s="6" t="s">
        <v>2086</v>
      </c>
    </row>
    <row r="1251" spans="1:8">
      <c r="A1251" s="1">
        <v>1259</v>
      </c>
      <c r="B1251" s="2" t="s">
        <v>2091</v>
      </c>
      <c r="C1251" s="3">
        <v>38045</v>
      </c>
      <c r="D1251" s="4">
        <f>YEAR(Table1[[#This Row],[Date]])</f>
        <v>2004</v>
      </c>
      <c r="E1251" s="2" t="s">
        <v>2097</v>
      </c>
      <c r="F1251" s="4">
        <v>21</v>
      </c>
      <c r="G1251" s="5">
        <v>64.701803739735197</v>
      </c>
      <c r="H1251" s="6" t="s">
        <v>2082</v>
      </c>
    </row>
    <row r="1252" spans="1:8">
      <c r="A1252" s="1">
        <v>1260</v>
      </c>
      <c r="B1252" s="2" t="s">
        <v>2093</v>
      </c>
      <c r="C1252" s="3">
        <v>38023</v>
      </c>
      <c r="D1252" s="4">
        <f>YEAR(Table1[[#This Row],[Date]])</f>
        <v>2004</v>
      </c>
      <c r="E1252" s="2" t="s">
        <v>2085</v>
      </c>
      <c r="F1252" s="4">
        <v>6</v>
      </c>
      <c r="G1252" s="5">
        <v>16.23714349589131</v>
      </c>
      <c r="H1252" s="6" t="s">
        <v>2090</v>
      </c>
    </row>
    <row r="1253" spans="1:8">
      <c r="A1253" s="1">
        <v>1261</v>
      </c>
      <c r="B1253" s="2" t="s">
        <v>2095</v>
      </c>
      <c r="C1253" s="3">
        <v>38309</v>
      </c>
      <c r="D1253" s="4">
        <f>YEAR(Table1[[#This Row],[Date]])</f>
        <v>2004</v>
      </c>
      <c r="E1253" s="2" t="s">
        <v>2085</v>
      </c>
      <c r="F1253" s="4">
        <v>47</v>
      </c>
      <c r="G1253" s="5">
        <v>142.41301237194139</v>
      </c>
      <c r="H1253" s="6" t="s">
        <v>2096</v>
      </c>
    </row>
    <row r="1254" spans="1:8">
      <c r="A1254" s="1">
        <v>1262</v>
      </c>
      <c r="B1254" s="2" t="s">
        <v>2099</v>
      </c>
      <c r="C1254" s="3">
        <v>38100</v>
      </c>
      <c r="D1254" s="4">
        <f>YEAR(Table1[[#This Row],[Date]])</f>
        <v>2004</v>
      </c>
      <c r="E1254" s="2" t="s">
        <v>2085</v>
      </c>
      <c r="F1254" s="4">
        <v>14</v>
      </c>
      <c r="G1254" s="5">
        <v>44.23662693928393</v>
      </c>
      <c r="H1254" s="6" t="s">
        <v>2090</v>
      </c>
    </row>
    <row r="1255" spans="1:8">
      <c r="A1255" s="1">
        <v>1263</v>
      </c>
      <c r="B1255" s="2" t="s">
        <v>2099</v>
      </c>
      <c r="C1255" s="3">
        <v>38991</v>
      </c>
      <c r="D1255" s="4">
        <f>YEAR(Table1[[#This Row],[Date]])</f>
        <v>2006</v>
      </c>
      <c r="E1255" s="2" t="s">
        <v>2085</v>
      </c>
      <c r="F1255" s="4">
        <v>73</v>
      </c>
      <c r="G1255" s="5">
        <v>220.5000128058029</v>
      </c>
      <c r="H1255" s="6" t="s">
        <v>2090</v>
      </c>
    </row>
    <row r="1256" spans="1:8">
      <c r="A1256" s="1">
        <v>1264</v>
      </c>
      <c r="B1256" s="2" t="s">
        <v>2099</v>
      </c>
      <c r="C1256" s="3">
        <v>39068</v>
      </c>
      <c r="D1256" s="4">
        <f>YEAR(Table1[[#This Row],[Date]])</f>
        <v>2006</v>
      </c>
      <c r="E1256" s="2" t="s">
        <v>2081</v>
      </c>
      <c r="F1256" s="4">
        <v>14</v>
      </c>
      <c r="G1256" s="5">
        <v>44.424699895790788</v>
      </c>
      <c r="H1256" s="6" t="s">
        <v>2082</v>
      </c>
    </row>
    <row r="1257" spans="1:8">
      <c r="A1257" s="1">
        <v>1265</v>
      </c>
      <c r="B1257" s="2" t="s">
        <v>2084</v>
      </c>
      <c r="C1257" s="3">
        <v>38815</v>
      </c>
      <c r="D1257" s="4">
        <f>YEAR(Table1[[#This Row],[Date]])</f>
        <v>2006</v>
      </c>
      <c r="E1257" s="2" t="s">
        <v>2081</v>
      </c>
      <c r="F1257" s="4">
        <v>95</v>
      </c>
      <c r="G1257" s="5">
        <v>286.75698716058628</v>
      </c>
      <c r="H1257" s="6" t="s">
        <v>2086</v>
      </c>
    </row>
    <row r="1258" spans="1:8">
      <c r="A1258" s="1">
        <v>1266</v>
      </c>
      <c r="B1258" s="2" t="s">
        <v>2095</v>
      </c>
      <c r="C1258" s="3">
        <v>38034</v>
      </c>
      <c r="D1258" s="4">
        <f>YEAR(Table1[[#This Row],[Date]])</f>
        <v>2004</v>
      </c>
      <c r="E1258" s="2" t="s">
        <v>2094</v>
      </c>
      <c r="F1258" s="4">
        <v>64</v>
      </c>
      <c r="G1258" s="5">
        <v>193.36768203630285</v>
      </c>
      <c r="H1258" s="6" t="s">
        <v>2082</v>
      </c>
    </row>
    <row r="1259" spans="1:8">
      <c r="A1259" s="1">
        <v>1267</v>
      </c>
      <c r="B1259" s="2" t="s">
        <v>2100</v>
      </c>
      <c r="C1259" s="3">
        <v>38265</v>
      </c>
      <c r="D1259" s="4">
        <f>YEAR(Table1[[#This Row],[Date]])</f>
        <v>2004</v>
      </c>
      <c r="E1259" s="2" t="s">
        <v>2094</v>
      </c>
      <c r="F1259" s="4">
        <v>47</v>
      </c>
      <c r="G1259" s="5">
        <v>143.14314267064674</v>
      </c>
      <c r="H1259" s="6" t="s">
        <v>2086</v>
      </c>
    </row>
    <row r="1260" spans="1:8">
      <c r="A1260" s="1">
        <v>1268</v>
      </c>
      <c r="B1260" s="2" t="s">
        <v>2095</v>
      </c>
      <c r="C1260" s="3">
        <v>38320</v>
      </c>
      <c r="D1260" s="4">
        <f>YEAR(Table1[[#This Row],[Date]])</f>
        <v>2004</v>
      </c>
      <c r="E1260" s="2" t="s">
        <v>2085</v>
      </c>
      <c r="F1260" s="4">
        <v>20</v>
      </c>
      <c r="G1260" s="5">
        <v>61.937788372758583</v>
      </c>
      <c r="H1260" s="6" t="s">
        <v>2090</v>
      </c>
    </row>
    <row r="1261" spans="1:8">
      <c r="A1261" s="1">
        <v>1269</v>
      </c>
      <c r="B1261" s="2" t="s">
        <v>2091</v>
      </c>
      <c r="C1261" s="3">
        <v>38342</v>
      </c>
      <c r="D1261" s="4">
        <f>YEAR(Table1[[#This Row],[Date]])</f>
        <v>2004</v>
      </c>
      <c r="E1261" s="2" t="s">
        <v>2081</v>
      </c>
      <c r="F1261" s="4">
        <v>71</v>
      </c>
      <c r="G1261" s="5">
        <v>215.32844026172367</v>
      </c>
      <c r="H1261" s="6" t="s">
        <v>2090</v>
      </c>
    </row>
    <row r="1262" spans="1:8">
      <c r="A1262" s="1">
        <v>1270</v>
      </c>
      <c r="B1262" s="2" t="s">
        <v>2095</v>
      </c>
      <c r="C1262" s="3">
        <v>38639</v>
      </c>
      <c r="D1262" s="4">
        <f>YEAR(Table1[[#This Row],[Date]])</f>
        <v>2005</v>
      </c>
      <c r="E1262" s="2" t="s">
        <v>2094</v>
      </c>
      <c r="F1262" s="4">
        <v>66</v>
      </c>
      <c r="G1262" s="5">
        <v>199.49732716580834</v>
      </c>
      <c r="H1262" s="6" t="s">
        <v>2090</v>
      </c>
    </row>
    <row r="1263" spans="1:8">
      <c r="A1263" s="1">
        <v>1271</v>
      </c>
      <c r="B1263" s="2" t="s">
        <v>2084</v>
      </c>
      <c r="C1263" s="3">
        <v>38265</v>
      </c>
      <c r="D1263" s="4">
        <f>YEAR(Table1[[#This Row],[Date]])</f>
        <v>2004</v>
      </c>
      <c r="E1263" s="2" t="s">
        <v>2085</v>
      </c>
      <c r="F1263" s="4">
        <v>79</v>
      </c>
      <c r="G1263" s="5">
        <v>239.43592811272299</v>
      </c>
      <c r="H1263" s="6" t="s">
        <v>2090</v>
      </c>
    </row>
    <row r="1264" spans="1:8">
      <c r="A1264" s="1">
        <v>1272</v>
      </c>
      <c r="B1264" s="2" t="s">
        <v>2084</v>
      </c>
      <c r="C1264" s="3">
        <v>38650</v>
      </c>
      <c r="D1264" s="4">
        <f>YEAR(Table1[[#This Row],[Date]])</f>
        <v>2005</v>
      </c>
      <c r="E1264" s="2" t="s">
        <v>2097</v>
      </c>
      <c r="F1264" s="4">
        <v>7</v>
      </c>
      <c r="G1264" s="5">
        <v>18.401268878071164</v>
      </c>
      <c r="H1264" s="6" t="s">
        <v>2096</v>
      </c>
    </row>
    <row r="1265" spans="1:8">
      <c r="A1265" s="1">
        <v>1273</v>
      </c>
      <c r="B1265" s="2" t="s">
        <v>2080</v>
      </c>
      <c r="C1265" s="3">
        <v>38628</v>
      </c>
      <c r="D1265" s="4">
        <f>YEAR(Table1[[#This Row],[Date]])</f>
        <v>2005</v>
      </c>
      <c r="E1265" s="2" t="s">
        <v>2085</v>
      </c>
      <c r="F1265" s="4">
        <v>72</v>
      </c>
      <c r="G1265" s="5">
        <v>217.35308480664631</v>
      </c>
      <c r="H1265" s="6" t="s">
        <v>2090</v>
      </c>
    </row>
    <row r="1266" spans="1:8">
      <c r="A1266" s="1">
        <v>1274</v>
      </c>
      <c r="B1266" s="2" t="s">
        <v>2084</v>
      </c>
      <c r="C1266" s="3">
        <v>38265</v>
      </c>
      <c r="D1266" s="4">
        <f>YEAR(Table1[[#This Row],[Date]])</f>
        <v>2004</v>
      </c>
      <c r="E1266" s="2" t="s">
        <v>2088</v>
      </c>
      <c r="F1266" s="4">
        <v>91</v>
      </c>
      <c r="G1266" s="5">
        <v>275.36823907836589</v>
      </c>
      <c r="H1266" s="6" t="s">
        <v>2086</v>
      </c>
    </row>
    <row r="1267" spans="1:8">
      <c r="A1267" s="1">
        <v>1275</v>
      </c>
      <c r="B1267" s="2" t="s">
        <v>2093</v>
      </c>
      <c r="C1267" s="3">
        <v>38056</v>
      </c>
      <c r="D1267" s="4">
        <f>YEAR(Table1[[#This Row],[Date]])</f>
        <v>2004</v>
      </c>
      <c r="E1267" s="2" t="s">
        <v>2097</v>
      </c>
      <c r="F1267" s="4">
        <v>57</v>
      </c>
      <c r="G1267" s="5">
        <v>173.47781647307619</v>
      </c>
      <c r="H1267" s="6" t="s">
        <v>2082</v>
      </c>
    </row>
    <row r="1268" spans="1:8">
      <c r="A1268" s="1">
        <v>1276</v>
      </c>
      <c r="B1268" s="2" t="s">
        <v>2100</v>
      </c>
      <c r="C1268" s="3">
        <v>38254</v>
      </c>
      <c r="D1268" s="4">
        <f>YEAR(Table1[[#This Row],[Date]])</f>
        <v>2004</v>
      </c>
      <c r="E1268" s="2" t="s">
        <v>2085</v>
      </c>
      <c r="F1268" s="4">
        <v>8</v>
      </c>
      <c r="G1268" s="5">
        <v>21.82749489869385</v>
      </c>
      <c r="H1268" s="6" t="s">
        <v>2082</v>
      </c>
    </row>
    <row r="1269" spans="1:8">
      <c r="A1269" s="1">
        <v>1277</v>
      </c>
      <c r="B1269" s="2" t="s">
        <v>2095</v>
      </c>
      <c r="C1269" s="3">
        <v>38606</v>
      </c>
      <c r="D1269" s="4">
        <f>YEAR(Table1[[#This Row],[Date]])</f>
        <v>2005</v>
      </c>
      <c r="E1269" s="2" t="s">
        <v>2085</v>
      </c>
      <c r="F1269" s="4">
        <v>45</v>
      </c>
      <c r="G1269" s="5">
        <v>136.95599465560394</v>
      </c>
      <c r="H1269" s="6" t="s">
        <v>2096</v>
      </c>
    </row>
    <row r="1270" spans="1:8">
      <c r="A1270" s="1">
        <v>1278</v>
      </c>
      <c r="B1270" s="2" t="s">
        <v>2091</v>
      </c>
      <c r="C1270" s="3">
        <v>38287</v>
      </c>
      <c r="D1270" s="4">
        <f>YEAR(Table1[[#This Row],[Date]])</f>
        <v>2004</v>
      </c>
      <c r="E1270" s="2" t="s">
        <v>2094</v>
      </c>
      <c r="F1270" s="4">
        <v>92</v>
      </c>
      <c r="G1270" s="5">
        <v>278.04523769732305</v>
      </c>
      <c r="H1270" s="6" t="s">
        <v>2082</v>
      </c>
    </row>
    <row r="1271" spans="1:8">
      <c r="A1271" s="1">
        <v>1279</v>
      </c>
      <c r="B1271" s="2" t="s">
        <v>2093</v>
      </c>
      <c r="C1271" s="3">
        <v>38232</v>
      </c>
      <c r="D1271" s="4">
        <f>YEAR(Table1[[#This Row],[Date]])</f>
        <v>2004</v>
      </c>
      <c r="E1271" s="2" t="s">
        <v>2097</v>
      </c>
      <c r="F1271" s="4">
        <v>28</v>
      </c>
      <c r="G1271" s="5">
        <v>86.457557586126669</v>
      </c>
      <c r="H1271" s="6" t="s">
        <v>2086</v>
      </c>
    </row>
    <row r="1272" spans="1:8">
      <c r="A1272" s="1">
        <v>1280</v>
      </c>
      <c r="B1272" s="2" t="s">
        <v>2080</v>
      </c>
      <c r="C1272" s="3">
        <v>38375</v>
      </c>
      <c r="D1272" s="4">
        <f>YEAR(Table1[[#This Row],[Date]])</f>
        <v>2005</v>
      </c>
      <c r="E1272" s="2" t="s">
        <v>2088</v>
      </c>
      <c r="F1272" s="4">
        <v>79</v>
      </c>
      <c r="G1272" s="5">
        <v>238.98646128992934</v>
      </c>
      <c r="H1272" s="6" t="s">
        <v>2090</v>
      </c>
    </row>
    <row r="1273" spans="1:8">
      <c r="A1273" s="1">
        <v>1281</v>
      </c>
      <c r="B1273" s="2" t="s">
        <v>2099</v>
      </c>
      <c r="C1273" s="3">
        <v>38375</v>
      </c>
      <c r="D1273" s="4">
        <f>YEAR(Table1[[#This Row],[Date]])</f>
        <v>2005</v>
      </c>
      <c r="E1273" s="2" t="s">
        <v>2085</v>
      </c>
      <c r="F1273" s="4">
        <v>92</v>
      </c>
      <c r="G1273" s="5">
        <v>277.53792590877345</v>
      </c>
      <c r="H1273" s="6" t="s">
        <v>2090</v>
      </c>
    </row>
    <row r="1274" spans="1:8">
      <c r="A1274" s="1">
        <v>1282</v>
      </c>
      <c r="B1274" s="2" t="s">
        <v>2095</v>
      </c>
      <c r="C1274" s="3">
        <v>38100</v>
      </c>
      <c r="D1274" s="4">
        <f>YEAR(Table1[[#This Row],[Date]])</f>
        <v>2004</v>
      </c>
      <c r="E1274" s="2" t="s">
        <v>2097</v>
      </c>
      <c r="F1274" s="4">
        <v>11</v>
      </c>
      <c r="G1274" s="5">
        <v>34.457391966440007</v>
      </c>
      <c r="H1274" s="6" t="s">
        <v>2086</v>
      </c>
    </row>
    <row r="1275" spans="1:8">
      <c r="A1275" s="1">
        <v>1283</v>
      </c>
      <c r="B1275" s="2" t="s">
        <v>2093</v>
      </c>
      <c r="C1275" s="3">
        <v>38375</v>
      </c>
      <c r="D1275" s="4">
        <f>YEAR(Table1[[#This Row],[Date]])</f>
        <v>2005</v>
      </c>
      <c r="E1275" s="2" t="s">
        <v>2094</v>
      </c>
      <c r="F1275" s="4">
        <v>23</v>
      </c>
      <c r="G1275" s="5">
        <v>70.69661605650883</v>
      </c>
      <c r="H1275" s="6" t="s">
        <v>2096</v>
      </c>
    </row>
    <row r="1276" spans="1:8">
      <c r="A1276" s="1">
        <v>1284</v>
      </c>
      <c r="B1276" s="2" t="s">
        <v>2080</v>
      </c>
      <c r="C1276" s="3">
        <v>38826</v>
      </c>
      <c r="D1276" s="4">
        <f>YEAR(Table1[[#This Row],[Date]])</f>
        <v>2006</v>
      </c>
      <c r="E1276" s="2" t="s">
        <v>2094</v>
      </c>
      <c r="F1276" s="4">
        <v>2</v>
      </c>
      <c r="G1276" s="5">
        <v>8.8023773142157893</v>
      </c>
      <c r="H1276" s="6" t="s">
        <v>2086</v>
      </c>
    </row>
    <row r="1277" spans="1:8">
      <c r="A1277" s="1">
        <v>1285</v>
      </c>
      <c r="B1277" s="2" t="s">
        <v>2098</v>
      </c>
      <c r="C1277" s="3">
        <v>38353</v>
      </c>
      <c r="D1277" s="4">
        <f>YEAR(Table1[[#This Row],[Date]])</f>
        <v>2005</v>
      </c>
      <c r="E1277" s="2" t="s">
        <v>2094</v>
      </c>
      <c r="F1277" s="4">
        <v>2</v>
      </c>
      <c r="G1277" s="5">
        <v>3.4493356628035219</v>
      </c>
      <c r="H1277" s="6" t="s">
        <v>2096</v>
      </c>
    </row>
    <row r="1278" spans="1:8">
      <c r="A1278" s="1">
        <v>1286</v>
      </c>
      <c r="B1278" s="2" t="s">
        <v>2084</v>
      </c>
      <c r="C1278" s="3">
        <v>38507</v>
      </c>
      <c r="D1278" s="4">
        <f>YEAR(Table1[[#This Row],[Date]])</f>
        <v>2005</v>
      </c>
      <c r="E1278" s="2" t="s">
        <v>2081</v>
      </c>
      <c r="F1278" s="4">
        <v>33</v>
      </c>
      <c r="G1278" s="5">
        <v>100.68617590777907</v>
      </c>
      <c r="H1278" s="6" t="s">
        <v>2090</v>
      </c>
    </row>
    <row r="1279" spans="1:8">
      <c r="A1279" s="1">
        <v>1287</v>
      </c>
      <c r="B1279" s="2" t="s">
        <v>2098</v>
      </c>
      <c r="C1279" s="3">
        <v>38892</v>
      </c>
      <c r="D1279" s="4">
        <f>YEAR(Table1[[#This Row],[Date]])</f>
        <v>2006</v>
      </c>
      <c r="E1279" s="2" t="s">
        <v>2097</v>
      </c>
      <c r="F1279" s="4">
        <v>10</v>
      </c>
      <c r="G1279" s="5">
        <v>31.300935347132732</v>
      </c>
      <c r="H1279" s="6" t="s">
        <v>2086</v>
      </c>
    </row>
    <row r="1280" spans="1:8">
      <c r="A1280" s="1">
        <v>1288</v>
      </c>
      <c r="B1280" s="2" t="s">
        <v>2087</v>
      </c>
      <c r="C1280" s="3">
        <v>38320</v>
      </c>
      <c r="D1280" s="4">
        <f>YEAR(Table1[[#This Row],[Date]])</f>
        <v>2004</v>
      </c>
      <c r="E1280" s="2" t="s">
        <v>2088</v>
      </c>
      <c r="F1280" s="4">
        <v>84</v>
      </c>
      <c r="G1280" s="5">
        <v>254.11937205363179</v>
      </c>
      <c r="H1280" s="6" t="s">
        <v>2096</v>
      </c>
    </row>
    <row r="1281" spans="1:8">
      <c r="A1281" s="1">
        <v>1289</v>
      </c>
      <c r="B1281" s="2" t="s">
        <v>2084</v>
      </c>
      <c r="C1281" s="3">
        <v>38342</v>
      </c>
      <c r="D1281" s="4">
        <f>YEAR(Table1[[#This Row],[Date]])</f>
        <v>2004</v>
      </c>
      <c r="E1281" s="2" t="s">
        <v>2097</v>
      </c>
      <c r="F1281" s="4">
        <v>88</v>
      </c>
      <c r="G1281" s="5">
        <v>266.39334034313327</v>
      </c>
      <c r="H1281" s="6" t="s">
        <v>2086</v>
      </c>
    </row>
    <row r="1282" spans="1:8">
      <c r="A1282" s="1">
        <v>1290</v>
      </c>
      <c r="B1282" s="2" t="s">
        <v>2080</v>
      </c>
      <c r="C1282" s="3">
        <v>38540</v>
      </c>
      <c r="D1282" s="4">
        <f>YEAR(Table1[[#This Row],[Date]])</f>
        <v>2005</v>
      </c>
      <c r="E1282" s="2" t="s">
        <v>2094</v>
      </c>
      <c r="F1282" s="4">
        <v>95</v>
      </c>
      <c r="G1282" s="5">
        <v>286.60843219410157</v>
      </c>
      <c r="H1282" s="6" t="s">
        <v>2096</v>
      </c>
    </row>
    <row r="1283" spans="1:8">
      <c r="A1283" s="1">
        <v>1291</v>
      </c>
      <c r="B1283" s="2" t="s">
        <v>2091</v>
      </c>
      <c r="C1283" s="3">
        <v>38397</v>
      </c>
      <c r="D1283" s="4">
        <f>YEAR(Table1[[#This Row],[Date]])</f>
        <v>2005</v>
      </c>
      <c r="E1283" s="2" t="s">
        <v>2097</v>
      </c>
      <c r="F1283" s="4">
        <v>3</v>
      </c>
      <c r="G1283" s="5">
        <v>11.903882144888168</v>
      </c>
      <c r="H1283" s="6" t="s">
        <v>2086</v>
      </c>
    </row>
    <row r="1284" spans="1:8">
      <c r="A1284" s="1">
        <v>1292</v>
      </c>
      <c r="B1284" s="2" t="s">
        <v>2080</v>
      </c>
      <c r="C1284" s="3">
        <v>38837</v>
      </c>
      <c r="D1284" s="4">
        <f>YEAR(Table1[[#This Row],[Date]])</f>
        <v>2006</v>
      </c>
      <c r="E1284" s="2" t="s">
        <v>2081</v>
      </c>
      <c r="F1284" s="4">
        <v>72</v>
      </c>
      <c r="G1284" s="5">
        <v>217.58131494729014</v>
      </c>
      <c r="H1284" s="6" t="s">
        <v>2090</v>
      </c>
    </row>
    <row r="1285" spans="1:8">
      <c r="A1285" s="1">
        <v>1293</v>
      </c>
      <c r="B1285" s="2" t="s">
        <v>2100</v>
      </c>
      <c r="C1285" s="3">
        <v>38419</v>
      </c>
      <c r="D1285" s="4">
        <f>YEAR(Table1[[#This Row],[Date]])</f>
        <v>2005</v>
      </c>
      <c r="E1285" s="2" t="s">
        <v>2094</v>
      </c>
      <c r="F1285" s="4">
        <v>58</v>
      </c>
      <c r="G1285" s="5">
        <v>176.65394036929425</v>
      </c>
      <c r="H1285" s="6" t="s">
        <v>2086</v>
      </c>
    </row>
    <row r="1286" spans="1:8">
      <c r="A1286" s="1">
        <v>1294</v>
      </c>
      <c r="B1286" s="2" t="s">
        <v>2087</v>
      </c>
      <c r="C1286" s="3">
        <v>38144</v>
      </c>
      <c r="D1286" s="4">
        <f>YEAR(Table1[[#This Row],[Date]])</f>
        <v>2004</v>
      </c>
      <c r="E1286" s="2" t="s">
        <v>2094</v>
      </c>
      <c r="F1286" s="4">
        <v>19</v>
      </c>
      <c r="G1286" s="5">
        <v>59.643357077362239</v>
      </c>
      <c r="H1286" s="6" t="s">
        <v>2090</v>
      </c>
    </row>
    <row r="1287" spans="1:8">
      <c r="A1287" s="1">
        <v>1295</v>
      </c>
      <c r="B1287" s="2" t="s">
        <v>2080</v>
      </c>
      <c r="C1287" s="3">
        <v>38463</v>
      </c>
      <c r="D1287" s="4">
        <f>YEAR(Table1[[#This Row],[Date]])</f>
        <v>2005</v>
      </c>
      <c r="E1287" s="2" t="s">
        <v>2097</v>
      </c>
      <c r="F1287" s="4">
        <v>35</v>
      </c>
      <c r="G1287" s="5">
        <v>106.5070892872302</v>
      </c>
      <c r="H1287" s="6" t="s">
        <v>2082</v>
      </c>
    </row>
    <row r="1288" spans="1:8">
      <c r="A1288" s="1">
        <v>1296</v>
      </c>
      <c r="B1288" s="2" t="s">
        <v>2084</v>
      </c>
      <c r="C1288" s="3">
        <v>38320</v>
      </c>
      <c r="D1288" s="4">
        <f>YEAR(Table1[[#This Row],[Date]])</f>
        <v>2004</v>
      </c>
      <c r="E1288" s="2" t="s">
        <v>2085</v>
      </c>
      <c r="F1288" s="4">
        <v>80</v>
      </c>
      <c r="G1288" s="5">
        <v>242.63330478636408</v>
      </c>
      <c r="H1288" s="6" t="s">
        <v>2090</v>
      </c>
    </row>
    <row r="1289" spans="1:8">
      <c r="A1289" s="1">
        <v>1297</v>
      </c>
      <c r="B1289" s="2" t="s">
        <v>2095</v>
      </c>
      <c r="C1289" s="3">
        <v>38012</v>
      </c>
      <c r="D1289" s="4">
        <f>YEAR(Table1[[#This Row],[Date]])</f>
        <v>2004</v>
      </c>
      <c r="E1289" s="2" t="s">
        <v>2094</v>
      </c>
      <c r="F1289" s="4">
        <v>26</v>
      </c>
      <c r="G1289" s="5">
        <v>80.048584690277565</v>
      </c>
      <c r="H1289" s="6" t="s">
        <v>2082</v>
      </c>
    </row>
    <row r="1290" spans="1:8">
      <c r="A1290" s="1">
        <v>1298</v>
      </c>
      <c r="B1290" s="2" t="s">
        <v>2091</v>
      </c>
      <c r="C1290" s="3">
        <v>38540</v>
      </c>
      <c r="D1290" s="4">
        <f>YEAR(Table1[[#This Row],[Date]])</f>
        <v>2005</v>
      </c>
      <c r="E1290" s="2" t="s">
        <v>2081</v>
      </c>
      <c r="F1290" s="4">
        <v>93</v>
      </c>
      <c r="G1290" s="5">
        <v>280.93222292224493</v>
      </c>
      <c r="H1290" s="6" t="s">
        <v>2090</v>
      </c>
    </row>
    <row r="1291" spans="1:8">
      <c r="A1291" s="1">
        <v>1299</v>
      </c>
      <c r="B1291" s="2" t="s">
        <v>2093</v>
      </c>
      <c r="C1291" s="3">
        <v>38661</v>
      </c>
      <c r="D1291" s="4">
        <f>YEAR(Table1[[#This Row],[Date]])</f>
        <v>2005</v>
      </c>
      <c r="E1291" s="2" t="s">
        <v>2094</v>
      </c>
      <c r="F1291" s="4">
        <v>29</v>
      </c>
      <c r="G1291" s="5">
        <v>90.05707639133125</v>
      </c>
      <c r="H1291" s="6" t="s">
        <v>2086</v>
      </c>
    </row>
    <row r="1292" spans="1:8">
      <c r="A1292" s="1">
        <v>1300</v>
      </c>
      <c r="B1292" s="2" t="s">
        <v>2093</v>
      </c>
      <c r="C1292" s="3">
        <v>38100</v>
      </c>
      <c r="D1292" s="4">
        <f>YEAR(Table1[[#This Row],[Date]])</f>
        <v>2004</v>
      </c>
      <c r="E1292" s="2" t="s">
        <v>2085</v>
      </c>
      <c r="F1292" s="4">
        <v>88</v>
      </c>
      <c r="G1292" s="5">
        <v>266.36925289616937</v>
      </c>
      <c r="H1292" s="6" t="s">
        <v>2086</v>
      </c>
    </row>
    <row r="1293" spans="1:8">
      <c r="A1293" s="1">
        <v>1301</v>
      </c>
      <c r="B1293" s="2" t="s">
        <v>2099</v>
      </c>
      <c r="C1293" s="3">
        <v>38947</v>
      </c>
      <c r="D1293" s="4">
        <f>YEAR(Table1[[#This Row],[Date]])</f>
        <v>2006</v>
      </c>
      <c r="E1293" s="2" t="s">
        <v>2094</v>
      </c>
      <c r="F1293" s="4">
        <v>5</v>
      </c>
      <c r="G1293" s="5">
        <v>16.874201572948834</v>
      </c>
      <c r="H1293" s="6" t="s">
        <v>2096</v>
      </c>
    </row>
    <row r="1294" spans="1:8">
      <c r="A1294" s="1">
        <v>1302</v>
      </c>
      <c r="B1294" s="2" t="s">
        <v>2093</v>
      </c>
      <c r="C1294" s="3">
        <v>38573</v>
      </c>
      <c r="D1294" s="4">
        <f>YEAR(Table1[[#This Row],[Date]])</f>
        <v>2005</v>
      </c>
      <c r="E1294" s="2" t="s">
        <v>2097</v>
      </c>
      <c r="F1294" s="4">
        <v>64</v>
      </c>
      <c r="G1294" s="5">
        <v>194.02715866543952</v>
      </c>
      <c r="H1294" s="6" t="s">
        <v>2090</v>
      </c>
    </row>
    <row r="1295" spans="1:8">
      <c r="A1295" s="1">
        <v>1303</v>
      </c>
      <c r="B1295" s="2" t="s">
        <v>2098</v>
      </c>
      <c r="C1295" s="3">
        <v>38716</v>
      </c>
      <c r="D1295" s="4">
        <f>YEAR(Table1[[#This Row],[Date]])</f>
        <v>2005</v>
      </c>
      <c r="E1295" s="2" t="s">
        <v>2081</v>
      </c>
      <c r="F1295" s="4">
        <v>38</v>
      </c>
      <c r="G1295" s="5">
        <v>116.02781429818391</v>
      </c>
      <c r="H1295" s="6" t="s">
        <v>2096</v>
      </c>
    </row>
    <row r="1296" spans="1:8">
      <c r="A1296" s="1">
        <v>1304</v>
      </c>
      <c r="B1296" s="2" t="s">
        <v>2099</v>
      </c>
      <c r="C1296" s="3">
        <v>38276</v>
      </c>
      <c r="D1296" s="4">
        <f>YEAR(Table1[[#This Row],[Date]])</f>
        <v>2004</v>
      </c>
      <c r="E1296" s="2" t="s">
        <v>2085</v>
      </c>
      <c r="F1296" s="4">
        <v>21</v>
      </c>
      <c r="G1296" s="5">
        <v>65.60411466769294</v>
      </c>
      <c r="H1296" s="6" t="s">
        <v>2090</v>
      </c>
    </row>
    <row r="1297" spans="1:8">
      <c r="A1297" s="1">
        <v>1305</v>
      </c>
      <c r="B1297" s="2" t="s">
        <v>2084</v>
      </c>
      <c r="C1297" s="3">
        <v>38551</v>
      </c>
      <c r="D1297" s="4">
        <f>YEAR(Table1[[#This Row],[Date]])</f>
        <v>2005</v>
      </c>
      <c r="E1297" s="2" t="s">
        <v>2094</v>
      </c>
      <c r="F1297" s="4">
        <v>61</v>
      </c>
      <c r="G1297" s="5">
        <v>184.44189289759726</v>
      </c>
      <c r="H1297" s="6" t="s">
        <v>2090</v>
      </c>
    </row>
    <row r="1298" spans="1:8">
      <c r="A1298" s="1">
        <v>1306</v>
      </c>
      <c r="B1298" s="2" t="s">
        <v>2091</v>
      </c>
      <c r="C1298" s="3">
        <v>38111</v>
      </c>
      <c r="D1298" s="4">
        <f>YEAR(Table1[[#This Row],[Date]])</f>
        <v>2004</v>
      </c>
      <c r="E1298" s="2" t="s">
        <v>2094</v>
      </c>
      <c r="F1298" s="4">
        <v>53</v>
      </c>
      <c r="G1298" s="5">
        <v>160.79564195236946</v>
      </c>
      <c r="H1298" s="6" t="s">
        <v>2090</v>
      </c>
    </row>
    <row r="1299" spans="1:8">
      <c r="A1299" s="1">
        <v>1307</v>
      </c>
      <c r="B1299" s="2" t="s">
        <v>2080</v>
      </c>
      <c r="C1299" s="3">
        <v>38749</v>
      </c>
      <c r="D1299" s="4">
        <f>YEAR(Table1[[#This Row],[Date]])</f>
        <v>2006</v>
      </c>
      <c r="E1299" s="2" t="s">
        <v>2097</v>
      </c>
      <c r="F1299" s="4">
        <v>28</v>
      </c>
      <c r="G1299" s="5">
        <v>86.322863736189788</v>
      </c>
      <c r="H1299" s="6" t="s">
        <v>2096</v>
      </c>
    </row>
    <row r="1300" spans="1:8">
      <c r="A1300" s="1">
        <v>1308</v>
      </c>
      <c r="B1300" s="2" t="s">
        <v>2091</v>
      </c>
      <c r="C1300" s="3">
        <v>38958</v>
      </c>
      <c r="D1300" s="4">
        <f>YEAR(Table1[[#This Row],[Date]])</f>
        <v>2006</v>
      </c>
      <c r="E1300" s="2" t="s">
        <v>2097</v>
      </c>
      <c r="F1300" s="4">
        <v>39</v>
      </c>
      <c r="G1300" s="5">
        <v>119.49155300741148</v>
      </c>
      <c r="H1300" s="6" t="s">
        <v>2096</v>
      </c>
    </row>
    <row r="1301" spans="1:8">
      <c r="A1301" s="1">
        <v>1309</v>
      </c>
      <c r="B1301" s="2" t="s">
        <v>2091</v>
      </c>
      <c r="C1301" s="3">
        <v>39024</v>
      </c>
      <c r="D1301" s="4">
        <f>YEAR(Table1[[#This Row],[Date]])</f>
        <v>2006</v>
      </c>
      <c r="E1301" s="2" t="s">
        <v>2081</v>
      </c>
      <c r="F1301" s="4">
        <v>89</v>
      </c>
      <c r="G1301" s="5">
        <v>268.72040652792879</v>
      </c>
      <c r="H1301" s="6" t="s">
        <v>2090</v>
      </c>
    </row>
    <row r="1302" spans="1:8">
      <c r="A1302" s="1">
        <v>1310</v>
      </c>
      <c r="B1302" s="2" t="s">
        <v>2080</v>
      </c>
      <c r="C1302" s="3">
        <v>38100</v>
      </c>
      <c r="D1302" s="4">
        <f>YEAR(Table1[[#This Row],[Date]])</f>
        <v>2004</v>
      </c>
      <c r="E1302" s="2" t="s">
        <v>2085</v>
      </c>
      <c r="F1302" s="4">
        <v>72</v>
      </c>
      <c r="G1302" s="5">
        <v>218.15784251474992</v>
      </c>
      <c r="H1302" s="6" t="s">
        <v>2082</v>
      </c>
    </row>
    <row r="1303" spans="1:8">
      <c r="A1303" s="1">
        <v>1311</v>
      </c>
      <c r="B1303" s="2" t="s">
        <v>2093</v>
      </c>
      <c r="C1303" s="3">
        <v>38221</v>
      </c>
      <c r="D1303" s="4">
        <f>YEAR(Table1[[#This Row],[Date]])</f>
        <v>2004</v>
      </c>
      <c r="E1303" s="2" t="s">
        <v>2081</v>
      </c>
      <c r="F1303" s="4">
        <v>63</v>
      </c>
      <c r="G1303" s="5">
        <v>191.07967670509865</v>
      </c>
      <c r="H1303" s="6" t="s">
        <v>2082</v>
      </c>
    </row>
    <row r="1304" spans="1:8">
      <c r="A1304" s="1">
        <v>1312</v>
      </c>
      <c r="B1304" s="2" t="s">
        <v>2095</v>
      </c>
      <c r="C1304" s="3">
        <v>39079</v>
      </c>
      <c r="D1304" s="4">
        <f>YEAR(Table1[[#This Row],[Date]])</f>
        <v>2006</v>
      </c>
      <c r="E1304" s="2" t="s">
        <v>2085</v>
      </c>
      <c r="F1304" s="4">
        <v>47</v>
      </c>
      <c r="G1304" s="5">
        <v>142.1470812441363</v>
      </c>
      <c r="H1304" s="6" t="s">
        <v>2090</v>
      </c>
    </row>
    <row r="1305" spans="1:8">
      <c r="A1305" s="1">
        <v>1313</v>
      </c>
      <c r="B1305" s="2" t="s">
        <v>2087</v>
      </c>
      <c r="C1305" s="3">
        <v>38540</v>
      </c>
      <c r="D1305" s="4">
        <f>YEAR(Table1[[#This Row],[Date]])</f>
        <v>2005</v>
      </c>
      <c r="E1305" s="2" t="s">
        <v>2097</v>
      </c>
      <c r="F1305" s="4">
        <v>8</v>
      </c>
      <c r="G1305" s="5">
        <v>25.619997788473359</v>
      </c>
      <c r="H1305" s="6" t="s">
        <v>2086</v>
      </c>
    </row>
    <row r="1306" spans="1:8">
      <c r="A1306" s="1">
        <v>1314</v>
      </c>
      <c r="B1306" s="2" t="s">
        <v>2080</v>
      </c>
      <c r="C1306" s="3">
        <v>38298</v>
      </c>
      <c r="D1306" s="4">
        <f>YEAR(Table1[[#This Row],[Date]])</f>
        <v>2004</v>
      </c>
      <c r="E1306" s="2" t="s">
        <v>2081</v>
      </c>
      <c r="F1306" s="4">
        <v>88</v>
      </c>
      <c r="G1306" s="5">
        <v>265.56717139256853</v>
      </c>
      <c r="H1306" s="6" t="s">
        <v>2096</v>
      </c>
    </row>
    <row r="1307" spans="1:8">
      <c r="A1307" s="1">
        <v>1315</v>
      </c>
      <c r="B1307" s="2" t="s">
        <v>2087</v>
      </c>
      <c r="C1307" s="3">
        <v>38221</v>
      </c>
      <c r="D1307" s="4">
        <f>YEAR(Table1[[#This Row],[Date]])</f>
        <v>2004</v>
      </c>
      <c r="E1307" s="2" t="s">
        <v>2081</v>
      </c>
      <c r="F1307" s="4">
        <v>12</v>
      </c>
      <c r="G1307" s="5">
        <v>37.818679875987904</v>
      </c>
      <c r="H1307" s="6" t="s">
        <v>2086</v>
      </c>
    </row>
    <row r="1308" spans="1:8">
      <c r="A1308" s="1">
        <v>1316</v>
      </c>
      <c r="B1308" s="2" t="s">
        <v>2099</v>
      </c>
      <c r="C1308" s="3">
        <v>38683</v>
      </c>
      <c r="D1308" s="4">
        <f>YEAR(Table1[[#This Row],[Date]])</f>
        <v>2005</v>
      </c>
      <c r="E1308" s="2" t="s">
        <v>2097</v>
      </c>
      <c r="F1308" s="4">
        <v>79</v>
      </c>
      <c r="G1308" s="5">
        <v>239.17519679611866</v>
      </c>
      <c r="H1308" s="6" t="s">
        <v>2086</v>
      </c>
    </row>
    <row r="1309" spans="1:8">
      <c r="A1309" s="1">
        <v>1317</v>
      </c>
      <c r="B1309" s="2" t="s">
        <v>2093</v>
      </c>
      <c r="C1309" s="3">
        <v>38155</v>
      </c>
      <c r="D1309" s="4">
        <f>YEAR(Table1[[#This Row],[Date]])</f>
        <v>2004</v>
      </c>
      <c r="E1309" s="2" t="s">
        <v>2088</v>
      </c>
      <c r="F1309" s="4">
        <v>39</v>
      </c>
      <c r="G1309" s="5">
        <v>118.94488443291594</v>
      </c>
      <c r="H1309" s="6" t="s">
        <v>2082</v>
      </c>
    </row>
    <row r="1310" spans="1:8">
      <c r="A1310" s="1">
        <v>1318</v>
      </c>
      <c r="B1310" s="2" t="s">
        <v>2099</v>
      </c>
      <c r="C1310" s="3">
        <v>38760</v>
      </c>
      <c r="D1310" s="4">
        <f>YEAR(Table1[[#This Row],[Date]])</f>
        <v>2006</v>
      </c>
      <c r="E1310" s="2" t="s">
        <v>2097</v>
      </c>
      <c r="F1310" s="4">
        <v>61</v>
      </c>
      <c r="G1310" s="5">
        <v>185.05613481266943</v>
      </c>
      <c r="H1310" s="6" t="s">
        <v>2090</v>
      </c>
    </row>
    <row r="1311" spans="1:8">
      <c r="A1311" s="1">
        <v>1319</v>
      </c>
      <c r="B1311" s="2" t="s">
        <v>2099</v>
      </c>
      <c r="C1311" s="3">
        <v>38980</v>
      </c>
      <c r="D1311" s="4">
        <f>YEAR(Table1[[#This Row],[Date]])</f>
        <v>2006</v>
      </c>
      <c r="E1311" s="2" t="s">
        <v>2081</v>
      </c>
      <c r="F1311" s="4">
        <v>12</v>
      </c>
      <c r="G1311" s="5">
        <v>38.275233428944262</v>
      </c>
      <c r="H1311" s="6" t="s">
        <v>2090</v>
      </c>
    </row>
    <row r="1312" spans="1:8">
      <c r="A1312" s="1">
        <v>1320</v>
      </c>
      <c r="B1312" s="2" t="s">
        <v>2091</v>
      </c>
      <c r="C1312" s="3">
        <v>38298</v>
      </c>
      <c r="D1312" s="4">
        <f>YEAR(Table1[[#This Row],[Date]])</f>
        <v>2004</v>
      </c>
      <c r="E1312" s="2" t="s">
        <v>2097</v>
      </c>
      <c r="F1312" s="4">
        <v>25</v>
      </c>
      <c r="G1312" s="5">
        <v>76.651168243814681</v>
      </c>
      <c r="H1312" s="6" t="s">
        <v>2096</v>
      </c>
    </row>
    <row r="1313" spans="1:8">
      <c r="A1313" s="1">
        <v>1321</v>
      </c>
      <c r="B1313" s="2" t="s">
        <v>2100</v>
      </c>
      <c r="C1313" s="3">
        <v>38683</v>
      </c>
      <c r="D1313" s="4">
        <f>YEAR(Table1[[#This Row],[Date]])</f>
        <v>2005</v>
      </c>
      <c r="E1313" s="2" t="s">
        <v>2085</v>
      </c>
      <c r="F1313" s="4">
        <v>82</v>
      </c>
      <c r="G1313" s="5">
        <v>248.26100726872076</v>
      </c>
      <c r="H1313" s="6" t="s">
        <v>2082</v>
      </c>
    </row>
    <row r="1314" spans="1:8">
      <c r="A1314" s="1">
        <v>1322</v>
      </c>
      <c r="B1314" s="2" t="s">
        <v>2087</v>
      </c>
      <c r="C1314" s="3">
        <v>38342</v>
      </c>
      <c r="D1314" s="4">
        <f>YEAR(Table1[[#This Row],[Date]])</f>
        <v>2004</v>
      </c>
      <c r="E1314" s="2" t="s">
        <v>2097</v>
      </c>
      <c r="F1314" s="4">
        <v>4</v>
      </c>
      <c r="G1314" s="5">
        <v>14.48265398333678</v>
      </c>
      <c r="H1314" s="6" t="s">
        <v>2090</v>
      </c>
    </row>
    <row r="1315" spans="1:8">
      <c r="A1315" s="1">
        <v>1323</v>
      </c>
      <c r="B1315" s="2" t="s">
        <v>2087</v>
      </c>
      <c r="C1315" s="3">
        <v>39068</v>
      </c>
      <c r="D1315" s="4">
        <f>YEAR(Table1[[#This Row],[Date]])</f>
        <v>2006</v>
      </c>
      <c r="E1315" s="2" t="s">
        <v>2088</v>
      </c>
      <c r="F1315" s="4">
        <v>22</v>
      </c>
      <c r="G1315" s="5">
        <v>68.226854446694333</v>
      </c>
      <c r="H1315" s="6" t="s">
        <v>2082</v>
      </c>
    </row>
    <row r="1316" spans="1:8">
      <c r="A1316" s="1">
        <v>1324</v>
      </c>
      <c r="B1316" s="2" t="s">
        <v>2087</v>
      </c>
      <c r="C1316" s="3">
        <v>38991</v>
      </c>
      <c r="D1316" s="4">
        <f>YEAR(Table1[[#This Row],[Date]])</f>
        <v>2006</v>
      </c>
      <c r="E1316" s="2" t="s">
        <v>2097</v>
      </c>
      <c r="F1316" s="4">
        <v>81</v>
      </c>
      <c r="G1316" s="5">
        <v>244.6243385117169</v>
      </c>
      <c r="H1316" s="6" t="s">
        <v>2086</v>
      </c>
    </row>
    <row r="1317" spans="1:8">
      <c r="A1317" s="1">
        <v>1325</v>
      </c>
      <c r="B1317" s="2" t="s">
        <v>2091</v>
      </c>
      <c r="C1317" s="3">
        <v>38408</v>
      </c>
      <c r="D1317" s="4">
        <f>YEAR(Table1[[#This Row],[Date]])</f>
        <v>2005</v>
      </c>
      <c r="E1317" s="2" t="s">
        <v>2094</v>
      </c>
      <c r="F1317" s="4">
        <v>34</v>
      </c>
      <c r="G1317" s="5">
        <v>103.85172808433745</v>
      </c>
      <c r="H1317" s="6" t="s">
        <v>2082</v>
      </c>
    </row>
    <row r="1318" spans="1:8">
      <c r="A1318" s="1">
        <v>1326</v>
      </c>
      <c r="B1318" s="2" t="s">
        <v>2087</v>
      </c>
      <c r="C1318" s="3">
        <v>38309</v>
      </c>
      <c r="D1318" s="4">
        <f>YEAR(Table1[[#This Row],[Date]])</f>
        <v>2004</v>
      </c>
      <c r="E1318" s="2" t="s">
        <v>2097</v>
      </c>
      <c r="F1318" s="4">
        <v>89</v>
      </c>
      <c r="G1318" s="5">
        <v>269.74478909487721</v>
      </c>
      <c r="H1318" s="6" t="s">
        <v>2096</v>
      </c>
    </row>
    <row r="1319" spans="1:8">
      <c r="A1319" s="1">
        <v>1327</v>
      </c>
      <c r="B1319" s="2" t="s">
        <v>2091</v>
      </c>
      <c r="C1319" s="3">
        <v>38386</v>
      </c>
      <c r="D1319" s="4">
        <f>YEAR(Table1[[#This Row],[Date]])</f>
        <v>2005</v>
      </c>
      <c r="E1319" s="2" t="s">
        <v>2097</v>
      </c>
      <c r="F1319" s="4">
        <v>6</v>
      </c>
      <c r="G1319" s="5">
        <v>20.30969002976488</v>
      </c>
      <c r="H1319" s="6" t="s">
        <v>2086</v>
      </c>
    </row>
    <row r="1320" spans="1:8">
      <c r="A1320" s="1">
        <v>1328</v>
      </c>
      <c r="B1320" s="2" t="s">
        <v>2099</v>
      </c>
      <c r="C1320" s="3">
        <v>38529</v>
      </c>
      <c r="D1320" s="4">
        <f>YEAR(Table1[[#This Row],[Date]])</f>
        <v>2005</v>
      </c>
      <c r="E1320" s="2" t="s">
        <v>2094</v>
      </c>
      <c r="F1320" s="4">
        <v>78</v>
      </c>
      <c r="G1320" s="5">
        <v>235.99588000674026</v>
      </c>
      <c r="H1320" s="6" t="s">
        <v>2082</v>
      </c>
    </row>
    <row r="1321" spans="1:8">
      <c r="A1321" s="1">
        <v>1329</v>
      </c>
      <c r="B1321" s="2" t="s">
        <v>2100</v>
      </c>
      <c r="C1321" s="3">
        <v>38485</v>
      </c>
      <c r="D1321" s="4">
        <f>YEAR(Table1[[#This Row],[Date]])</f>
        <v>2005</v>
      </c>
      <c r="E1321" s="2" t="s">
        <v>2081</v>
      </c>
      <c r="F1321" s="4">
        <v>9</v>
      </c>
      <c r="G1321" s="5">
        <v>28.852711267429889</v>
      </c>
      <c r="H1321" s="6" t="s">
        <v>2082</v>
      </c>
    </row>
    <row r="1322" spans="1:8">
      <c r="A1322" s="1">
        <v>1330</v>
      </c>
      <c r="B1322" s="2" t="s">
        <v>2095</v>
      </c>
      <c r="C1322" s="3">
        <v>39079</v>
      </c>
      <c r="D1322" s="4">
        <f>YEAR(Table1[[#This Row],[Date]])</f>
        <v>2006</v>
      </c>
      <c r="E1322" s="2" t="s">
        <v>2097</v>
      </c>
      <c r="F1322" s="4">
        <v>9</v>
      </c>
      <c r="G1322" s="5">
        <v>29.718118103947955</v>
      </c>
      <c r="H1322" s="6" t="s">
        <v>2096</v>
      </c>
    </row>
    <row r="1323" spans="1:8">
      <c r="A1323" s="1">
        <v>1331</v>
      </c>
      <c r="B1323" s="2" t="s">
        <v>2095</v>
      </c>
      <c r="C1323" s="3">
        <v>38826</v>
      </c>
      <c r="D1323" s="4">
        <f>YEAR(Table1[[#This Row],[Date]])</f>
        <v>2006</v>
      </c>
      <c r="E1323" s="2" t="s">
        <v>2085</v>
      </c>
      <c r="F1323" s="4">
        <v>73</v>
      </c>
      <c r="G1323" s="5">
        <v>221.1834991910803</v>
      </c>
      <c r="H1323" s="6" t="s">
        <v>2096</v>
      </c>
    </row>
    <row r="1324" spans="1:8">
      <c r="A1324" s="1">
        <v>1332</v>
      </c>
      <c r="B1324" s="2" t="s">
        <v>2080</v>
      </c>
      <c r="C1324" s="3">
        <v>38001</v>
      </c>
      <c r="D1324" s="4">
        <f>YEAR(Table1[[#This Row],[Date]])</f>
        <v>2004</v>
      </c>
      <c r="E1324" s="2" t="s">
        <v>2081</v>
      </c>
      <c r="F1324" s="4">
        <v>13</v>
      </c>
      <c r="G1324" s="5">
        <v>41.92379193182763</v>
      </c>
      <c r="H1324" s="6" t="s">
        <v>2086</v>
      </c>
    </row>
    <row r="1325" spans="1:8">
      <c r="A1325" s="1">
        <v>1333</v>
      </c>
      <c r="B1325" s="2" t="s">
        <v>2093</v>
      </c>
      <c r="C1325" s="3">
        <v>38419</v>
      </c>
      <c r="D1325" s="4">
        <f>YEAR(Table1[[#This Row],[Date]])</f>
        <v>2005</v>
      </c>
      <c r="E1325" s="2" t="s">
        <v>2094</v>
      </c>
      <c r="F1325" s="4">
        <v>14</v>
      </c>
      <c r="G1325" s="5">
        <v>43.998808725631548</v>
      </c>
      <c r="H1325" s="6" t="s">
        <v>2086</v>
      </c>
    </row>
    <row r="1326" spans="1:8">
      <c r="A1326" s="1">
        <v>1334</v>
      </c>
      <c r="B1326" s="2" t="s">
        <v>2080</v>
      </c>
      <c r="C1326" s="3">
        <v>38496</v>
      </c>
      <c r="D1326" s="4">
        <f>YEAR(Table1[[#This Row],[Date]])</f>
        <v>2005</v>
      </c>
      <c r="E1326" s="2" t="s">
        <v>2088</v>
      </c>
      <c r="F1326" s="4">
        <v>33</v>
      </c>
      <c r="G1326" s="5">
        <v>100.31195245129152</v>
      </c>
      <c r="H1326" s="6" t="s">
        <v>2086</v>
      </c>
    </row>
    <row r="1327" spans="1:8">
      <c r="A1327" s="1">
        <v>1335</v>
      </c>
      <c r="B1327" s="2" t="s">
        <v>2080</v>
      </c>
      <c r="C1327" s="3">
        <v>38078</v>
      </c>
      <c r="D1327" s="4">
        <f>YEAR(Table1[[#This Row],[Date]])</f>
        <v>2004</v>
      </c>
      <c r="E1327" s="2" t="s">
        <v>2085</v>
      </c>
      <c r="F1327" s="4">
        <v>17</v>
      </c>
      <c r="G1327" s="5">
        <v>53.123119444085049</v>
      </c>
      <c r="H1327" s="6" t="s">
        <v>2096</v>
      </c>
    </row>
    <row r="1328" spans="1:8">
      <c r="A1328" s="1">
        <v>1336</v>
      </c>
      <c r="B1328" s="2" t="s">
        <v>2084</v>
      </c>
      <c r="C1328" s="3">
        <v>38903</v>
      </c>
      <c r="D1328" s="4">
        <f>YEAR(Table1[[#This Row],[Date]])</f>
        <v>2006</v>
      </c>
      <c r="E1328" s="2" t="s">
        <v>2081</v>
      </c>
      <c r="F1328" s="4">
        <v>9</v>
      </c>
      <c r="G1328" s="5">
        <v>29.501152192037068</v>
      </c>
      <c r="H1328" s="6" t="s">
        <v>2082</v>
      </c>
    </row>
    <row r="1329" spans="1:8">
      <c r="A1329" s="1">
        <v>1337</v>
      </c>
      <c r="B1329" s="2" t="s">
        <v>2099</v>
      </c>
      <c r="C1329" s="3">
        <v>38771</v>
      </c>
      <c r="D1329" s="4">
        <f>YEAR(Table1[[#This Row],[Date]])</f>
        <v>2006</v>
      </c>
      <c r="E1329" s="2" t="s">
        <v>2097</v>
      </c>
      <c r="F1329" s="4">
        <v>15</v>
      </c>
      <c r="G1329" s="5">
        <v>47.311523584864588</v>
      </c>
      <c r="H1329" s="6" t="s">
        <v>2086</v>
      </c>
    </row>
    <row r="1330" spans="1:8">
      <c r="A1330" s="1">
        <v>1338</v>
      </c>
      <c r="B1330" s="2" t="s">
        <v>2087</v>
      </c>
      <c r="C1330" s="3">
        <v>38969</v>
      </c>
      <c r="D1330" s="4">
        <f>YEAR(Table1[[#This Row],[Date]])</f>
        <v>2006</v>
      </c>
      <c r="E1330" s="2" t="s">
        <v>2088</v>
      </c>
      <c r="F1330" s="4">
        <v>50</v>
      </c>
      <c r="G1330" s="5">
        <v>152.31019163589909</v>
      </c>
      <c r="H1330" s="6" t="s">
        <v>2096</v>
      </c>
    </row>
    <row r="1331" spans="1:8">
      <c r="A1331" s="1">
        <v>1339</v>
      </c>
      <c r="B1331" s="2" t="s">
        <v>2099</v>
      </c>
      <c r="C1331" s="3">
        <v>38298</v>
      </c>
      <c r="D1331" s="4">
        <f>YEAR(Table1[[#This Row],[Date]])</f>
        <v>2004</v>
      </c>
      <c r="E1331" s="2" t="s">
        <v>2088</v>
      </c>
      <c r="F1331" s="4">
        <v>13</v>
      </c>
      <c r="G1331" s="5">
        <v>40.558759872429341</v>
      </c>
      <c r="H1331" s="6" t="s">
        <v>2090</v>
      </c>
    </row>
    <row r="1332" spans="1:8">
      <c r="A1332" s="1">
        <v>1340</v>
      </c>
      <c r="B1332" s="2" t="s">
        <v>2084</v>
      </c>
      <c r="C1332" s="3">
        <v>38243</v>
      </c>
      <c r="D1332" s="4">
        <f>YEAR(Table1[[#This Row],[Date]])</f>
        <v>2004</v>
      </c>
      <c r="E1332" s="2" t="s">
        <v>2081</v>
      </c>
      <c r="F1332" s="4">
        <v>24</v>
      </c>
      <c r="G1332" s="5">
        <v>74.731137309505712</v>
      </c>
      <c r="H1332" s="6" t="s">
        <v>2090</v>
      </c>
    </row>
    <row r="1333" spans="1:8">
      <c r="A1333" s="1">
        <v>1341</v>
      </c>
      <c r="B1333" s="2" t="s">
        <v>2080</v>
      </c>
      <c r="C1333" s="3">
        <v>38716</v>
      </c>
      <c r="D1333" s="4">
        <f>YEAR(Table1[[#This Row],[Date]])</f>
        <v>2005</v>
      </c>
      <c r="E1333" s="2" t="s">
        <v>2081</v>
      </c>
      <c r="F1333" s="4">
        <v>77</v>
      </c>
      <c r="G1333" s="5">
        <v>232.89275600525073</v>
      </c>
      <c r="H1333" s="6" t="s">
        <v>2082</v>
      </c>
    </row>
    <row r="1334" spans="1:8">
      <c r="A1334" s="1">
        <v>1342</v>
      </c>
      <c r="B1334" s="2" t="s">
        <v>2084</v>
      </c>
      <c r="C1334" s="3">
        <v>38848</v>
      </c>
      <c r="D1334" s="4">
        <f>YEAR(Table1[[#This Row],[Date]])</f>
        <v>2006</v>
      </c>
      <c r="E1334" s="2" t="s">
        <v>2097</v>
      </c>
      <c r="F1334" s="4">
        <v>21</v>
      </c>
      <c r="G1334" s="5">
        <v>65.214588826582613</v>
      </c>
      <c r="H1334" s="6" t="s">
        <v>2096</v>
      </c>
    </row>
    <row r="1335" spans="1:8">
      <c r="A1335" s="1">
        <v>1343</v>
      </c>
      <c r="B1335" s="2" t="s">
        <v>2100</v>
      </c>
      <c r="C1335" s="3">
        <v>38540</v>
      </c>
      <c r="D1335" s="4">
        <f>YEAR(Table1[[#This Row],[Date]])</f>
        <v>2005</v>
      </c>
      <c r="E1335" s="2" t="s">
        <v>2097</v>
      </c>
      <c r="F1335" s="4">
        <v>80</v>
      </c>
      <c r="G1335" s="5">
        <v>240.76226876969253</v>
      </c>
      <c r="H1335" s="6" t="s">
        <v>2086</v>
      </c>
    </row>
    <row r="1336" spans="1:8">
      <c r="A1336" s="1">
        <v>1344</v>
      </c>
      <c r="B1336" s="2" t="s">
        <v>2084</v>
      </c>
      <c r="C1336" s="3">
        <v>38298</v>
      </c>
      <c r="D1336" s="4">
        <f>YEAR(Table1[[#This Row],[Date]])</f>
        <v>2004</v>
      </c>
      <c r="E1336" s="2" t="s">
        <v>2097</v>
      </c>
      <c r="F1336" s="4">
        <v>56</v>
      </c>
      <c r="G1336" s="5">
        <v>170.50901918623575</v>
      </c>
      <c r="H1336" s="6" t="s">
        <v>2082</v>
      </c>
    </row>
    <row r="1337" spans="1:8">
      <c r="A1337" s="1">
        <v>1345</v>
      </c>
      <c r="B1337" s="2" t="s">
        <v>2095</v>
      </c>
      <c r="C1337" s="3">
        <v>38452</v>
      </c>
      <c r="D1337" s="4">
        <f>YEAR(Table1[[#This Row],[Date]])</f>
        <v>2005</v>
      </c>
      <c r="E1337" s="2" t="s">
        <v>2085</v>
      </c>
      <c r="F1337" s="4">
        <v>28</v>
      </c>
      <c r="G1337" s="5">
        <v>86.002698245868487</v>
      </c>
      <c r="H1337" s="6" t="s">
        <v>2090</v>
      </c>
    </row>
    <row r="1338" spans="1:8">
      <c r="A1338" s="1">
        <v>1346</v>
      </c>
      <c r="B1338" s="2" t="s">
        <v>2099</v>
      </c>
      <c r="C1338" s="3">
        <v>38683</v>
      </c>
      <c r="D1338" s="4">
        <f>YEAR(Table1[[#This Row],[Date]])</f>
        <v>2005</v>
      </c>
      <c r="E1338" s="2" t="s">
        <v>2088</v>
      </c>
      <c r="F1338" s="4">
        <v>50</v>
      </c>
      <c r="G1338" s="5">
        <v>151.56909496566121</v>
      </c>
      <c r="H1338" s="6" t="s">
        <v>2086</v>
      </c>
    </row>
    <row r="1339" spans="1:8">
      <c r="A1339" s="1">
        <v>1347</v>
      </c>
      <c r="B1339" s="2" t="s">
        <v>2095</v>
      </c>
      <c r="C1339" s="3">
        <v>38452</v>
      </c>
      <c r="D1339" s="4">
        <f>YEAR(Table1[[#This Row],[Date]])</f>
        <v>2005</v>
      </c>
      <c r="E1339" s="2" t="s">
        <v>2094</v>
      </c>
      <c r="F1339" s="4">
        <v>23</v>
      </c>
      <c r="G1339" s="5">
        <v>71.405303018372905</v>
      </c>
      <c r="H1339" s="6" t="s">
        <v>2096</v>
      </c>
    </row>
    <row r="1340" spans="1:8">
      <c r="A1340" s="1">
        <v>1348</v>
      </c>
      <c r="B1340" s="2" t="s">
        <v>2099</v>
      </c>
      <c r="C1340" s="3">
        <v>38144</v>
      </c>
      <c r="D1340" s="4">
        <f>YEAR(Table1[[#This Row],[Date]])</f>
        <v>2004</v>
      </c>
      <c r="E1340" s="2" t="s">
        <v>2081</v>
      </c>
      <c r="F1340" s="4">
        <v>77</v>
      </c>
      <c r="G1340" s="5">
        <v>232.85049996581651</v>
      </c>
      <c r="H1340" s="6" t="s">
        <v>2086</v>
      </c>
    </row>
    <row r="1341" spans="1:8">
      <c r="A1341" s="1">
        <v>1349</v>
      </c>
      <c r="B1341" s="2" t="s">
        <v>2080</v>
      </c>
      <c r="C1341" s="3">
        <v>38034</v>
      </c>
      <c r="D1341" s="4">
        <f>YEAR(Table1[[#This Row],[Date]])</f>
        <v>2004</v>
      </c>
      <c r="E1341" s="2" t="s">
        <v>2097</v>
      </c>
      <c r="F1341" s="4">
        <v>56</v>
      </c>
      <c r="G1341" s="5">
        <v>170.26270071526079</v>
      </c>
      <c r="H1341" s="6" t="s">
        <v>2096</v>
      </c>
    </row>
    <row r="1342" spans="1:8">
      <c r="A1342" s="1">
        <v>1350</v>
      </c>
      <c r="B1342" s="2" t="s">
        <v>2100</v>
      </c>
      <c r="C1342" s="3">
        <v>38826</v>
      </c>
      <c r="D1342" s="4">
        <f>YEAR(Table1[[#This Row],[Date]])</f>
        <v>2006</v>
      </c>
      <c r="E1342" s="2" t="s">
        <v>2081</v>
      </c>
      <c r="F1342" s="4">
        <v>26</v>
      </c>
      <c r="G1342" s="5">
        <v>79.7600955182413</v>
      </c>
      <c r="H1342" s="6" t="s">
        <v>2096</v>
      </c>
    </row>
    <row r="1343" spans="1:8">
      <c r="A1343" s="1">
        <v>1351</v>
      </c>
      <c r="B1343" s="2" t="s">
        <v>2087</v>
      </c>
      <c r="C1343" s="3">
        <v>38034</v>
      </c>
      <c r="D1343" s="4">
        <f>YEAR(Table1[[#This Row],[Date]])</f>
        <v>2004</v>
      </c>
      <c r="E1343" s="2" t="s">
        <v>2085</v>
      </c>
      <c r="F1343" s="4">
        <v>18</v>
      </c>
      <c r="G1343" s="5">
        <v>55.931706737093798</v>
      </c>
      <c r="H1343" s="6" t="s">
        <v>2082</v>
      </c>
    </row>
    <row r="1344" spans="1:8">
      <c r="A1344" s="1">
        <v>1352</v>
      </c>
      <c r="B1344" s="2" t="s">
        <v>2095</v>
      </c>
      <c r="C1344" s="3">
        <v>38034</v>
      </c>
      <c r="D1344" s="4">
        <f>YEAR(Table1[[#This Row],[Date]])</f>
        <v>2004</v>
      </c>
      <c r="E1344" s="2" t="s">
        <v>2081</v>
      </c>
      <c r="F1344" s="4">
        <v>40</v>
      </c>
      <c r="G1344" s="5">
        <v>121.10292526674064</v>
      </c>
      <c r="H1344" s="6" t="s">
        <v>2082</v>
      </c>
    </row>
    <row r="1345" spans="1:8">
      <c r="A1345" s="1">
        <v>1353</v>
      </c>
      <c r="B1345" s="2" t="s">
        <v>2084</v>
      </c>
      <c r="C1345" s="3">
        <v>38034</v>
      </c>
      <c r="D1345" s="4">
        <f>YEAR(Table1[[#This Row],[Date]])</f>
        <v>2004</v>
      </c>
      <c r="E1345" s="2" t="s">
        <v>2097</v>
      </c>
      <c r="F1345" s="4">
        <v>75</v>
      </c>
      <c r="G1345" s="5">
        <v>227.06641475515934</v>
      </c>
      <c r="H1345" s="6" t="s">
        <v>2082</v>
      </c>
    </row>
    <row r="1346" spans="1:8">
      <c r="A1346" s="1">
        <v>1354</v>
      </c>
      <c r="B1346" s="2" t="s">
        <v>2093</v>
      </c>
      <c r="C1346" s="3">
        <v>38408</v>
      </c>
      <c r="D1346" s="4">
        <f>YEAR(Table1[[#This Row],[Date]])</f>
        <v>2005</v>
      </c>
      <c r="E1346" s="2" t="s">
        <v>2088</v>
      </c>
      <c r="F1346" s="4">
        <v>61</v>
      </c>
      <c r="G1346" s="5">
        <v>184.75393471553485</v>
      </c>
      <c r="H1346" s="6" t="s">
        <v>2086</v>
      </c>
    </row>
    <row r="1347" spans="1:8">
      <c r="A1347" s="1">
        <v>1355</v>
      </c>
      <c r="B1347" s="2" t="s">
        <v>2087</v>
      </c>
      <c r="C1347" s="3">
        <v>38342</v>
      </c>
      <c r="D1347" s="4">
        <f>YEAR(Table1[[#This Row],[Date]])</f>
        <v>2004</v>
      </c>
      <c r="E1347" s="2" t="s">
        <v>2088</v>
      </c>
      <c r="F1347" s="4">
        <v>35</v>
      </c>
      <c r="G1347" s="5">
        <v>106.73579162164692</v>
      </c>
      <c r="H1347" s="6" t="s">
        <v>2090</v>
      </c>
    </row>
    <row r="1348" spans="1:8">
      <c r="A1348" s="1">
        <v>1356</v>
      </c>
      <c r="B1348" s="2" t="s">
        <v>2100</v>
      </c>
      <c r="C1348" s="3">
        <v>38562</v>
      </c>
      <c r="D1348" s="4">
        <f>YEAR(Table1[[#This Row],[Date]])</f>
        <v>2005</v>
      </c>
      <c r="E1348" s="2" t="s">
        <v>2085</v>
      </c>
      <c r="F1348" s="4">
        <v>42</v>
      </c>
      <c r="G1348" s="5">
        <v>127.74297314827389</v>
      </c>
      <c r="H1348" s="6" t="s">
        <v>2090</v>
      </c>
    </row>
    <row r="1349" spans="1:8">
      <c r="A1349" s="1">
        <v>1357</v>
      </c>
      <c r="B1349" s="2" t="s">
        <v>2084</v>
      </c>
      <c r="C1349" s="3">
        <v>38309</v>
      </c>
      <c r="D1349" s="4">
        <f>YEAR(Table1[[#This Row],[Date]])</f>
        <v>2004</v>
      </c>
      <c r="E1349" s="2" t="s">
        <v>2094</v>
      </c>
      <c r="F1349" s="4">
        <v>47</v>
      </c>
      <c r="G1349" s="5">
        <v>142.58640939942609</v>
      </c>
      <c r="H1349" s="6" t="s">
        <v>2082</v>
      </c>
    </row>
    <row r="1350" spans="1:8">
      <c r="A1350" s="1">
        <v>1358</v>
      </c>
      <c r="B1350" s="2" t="s">
        <v>2087</v>
      </c>
      <c r="C1350" s="3">
        <v>38276</v>
      </c>
      <c r="D1350" s="4">
        <f>YEAR(Table1[[#This Row],[Date]])</f>
        <v>2004</v>
      </c>
      <c r="E1350" s="2" t="s">
        <v>2097</v>
      </c>
      <c r="F1350" s="4">
        <v>74</v>
      </c>
      <c r="G1350" s="5">
        <v>225.01925553650543</v>
      </c>
      <c r="H1350" s="6" t="s">
        <v>2082</v>
      </c>
    </row>
    <row r="1351" spans="1:8">
      <c r="A1351" s="1">
        <v>1359</v>
      </c>
      <c r="B1351" s="2" t="s">
        <v>2087</v>
      </c>
      <c r="C1351" s="3">
        <v>38496</v>
      </c>
      <c r="D1351" s="4">
        <f>YEAR(Table1[[#This Row],[Date]])</f>
        <v>2005</v>
      </c>
      <c r="E1351" s="2" t="s">
        <v>2097</v>
      </c>
      <c r="F1351" s="4">
        <v>55</v>
      </c>
      <c r="G1351" s="5">
        <v>166.25169597348713</v>
      </c>
      <c r="H1351" s="6" t="s">
        <v>2090</v>
      </c>
    </row>
    <row r="1352" spans="1:8">
      <c r="A1352" s="1">
        <v>1360</v>
      </c>
      <c r="B1352" s="2" t="s">
        <v>2091</v>
      </c>
      <c r="C1352" s="3">
        <v>38617</v>
      </c>
      <c r="D1352" s="4">
        <f>YEAR(Table1[[#This Row],[Date]])</f>
        <v>2005</v>
      </c>
      <c r="E1352" s="2" t="s">
        <v>2081</v>
      </c>
      <c r="F1352" s="4">
        <v>87</v>
      </c>
      <c r="G1352" s="5">
        <v>263.11074857106775</v>
      </c>
      <c r="H1352" s="6" t="s">
        <v>2090</v>
      </c>
    </row>
    <row r="1353" spans="1:8">
      <c r="A1353" s="1">
        <v>1361</v>
      </c>
      <c r="B1353" s="2" t="s">
        <v>2087</v>
      </c>
      <c r="C1353" s="3">
        <v>38166</v>
      </c>
      <c r="D1353" s="4">
        <f>YEAR(Table1[[#This Row],[Date]])</f>
        <v>2004</v>
      </c>
      <c r="E1353" s="2" t="s">
        <v>2085</v>
      </c>
      <c r="F1353" s="4">
        <v>75</v>
      </c>
      <c r="G1353" s="5">
        <v>227.32916430473495</v>
      </c>
      <c r="H1353" s="6" t="s">
        <v>2082</v>
      </c>
    </row>
    <row r="1354" spans="1:8">
      <c r="A1354" s="1">
        <v>1362</v>
      </c>
      <c r="B1354" s="2" t="s">
        <v>2098</v>
      </c>
      <c r="C1354" s="3">
        <v>38881</v>
      </c>
      <c r="D1354" s="4">
        <f>YEAR(Table1[[#This Row],[Date]])</f>
        <v>2006</v>
      </c>
      <c r="E1354" s="2" t="s">
        <v>2085</v>
      </c>
      <c r="F1354" s="4">
        <v>91</v>
      </c>
      <c r="G1354" s="5">
        <v>274.60744776638205</v>
      </c>
      <c r="H1354" s="6" t="s">
        <v>2090</v>
      </c>
    </row>
    <row r="1355" spans="1:8">
      <c r="A1355" s="1">
        <v>1363</v>
      </c>
      <c r="B1355" s="2" t="s">
        <v>2087</v>
      </c>
      <c r="C1355" s="3">
        <v>38705</v>
      </c>
      <c r="D1355" s="4">
        <f>YEAR(Table1[[#This Row],[Date]])</f>
        <v>2005</v>
      </c>
      <c r="E1355" s="2" t="s">
        <v>2081</v>
      </c>
      <c r="F1355" s="4">
        <v>79</v>
      </c>
      <c r="G1355" s="5">
        <v>238.20578213903983</v>
      </c>
      <c r="H1355" s="6" t="s">
        <v>2082</v>
      </c>
    </row>
    <row r="1356" spans="1:8">
      <c r="A1356" s="1">
        <v>1364</v>
      </c>
      <c r="B1356" s="2" t="s">
        <v>2100</v>
      </c>
      <c r="C1356" s="3">
        <v>38155</v>
      </c>
      <c r="D1356" s="4">
        <f>YEAR(Table1[[#This Row],[Date]])</f>
        <v>2004</v>
      </c>
      <c r="E1356" s="2" t="s">
        <v>2097</v>
      </c>
      <c r="F1356" s="4">
        <v>31</v>
      </c>
      <c r="G1356" s="5">
        <v>94.915314626942674</v>
      </c>
      <c r="H1356" s="6" t="s">
        <v>2086</v>
      </c>
    </row>
    <row r="1357" spans="1:8">
      <c r="A1357" s="1">
        <v>1365</v>
      </c>
      <c r="B1357" s="2" t="s">
        <v>2084</v>
      </c>
      <c r="C1357" s="3">
        <v>38265</v>
      </c>
      <c r="D1357" s="4">
        <f>YEAR(Table1[[#This Row],[Date]])</f>
        <v>2004</v>
      </c>
      <c r="E1357" s="2" t="s">
        <v>2094</v>
      </c>
      <c r="F1357" s="4">
        <v>36</v>
      </c>
      <c r="G1357" s="5">
        <v>109.8683994875889</v>
      </c>
      <c r="H1357" s="6" t="s">
        <v>2086</v>
      </c>
    </row>
    <row r="1358" spans="1:8">
      <c r="A1358" s="1">
        <v>1366</v>
      </c>
      <c r="B1358" s="2" t="s">
        <v>2099</v>
      </c>
      <c r="C1358" s="3">
        <v>38166</v>
      </c>
      <c r="D1358" s="4">
        <f>YEAR(Table1[[#This Row],[Date]])</f>
        <v>2004</v>
      </c>
      <c r="E1358" s="2" t="s">
        <v>2097</v>
      </c>
      <c r="F1358" s="4">
        <v>80</v>
      </c>
      <c r="G1358" s="5">
        <v>242.06313932235889</v>
      </c>
      <c r="H1358" s="6" t="s">
        <v>2082</v>
      </c>
    </row>
    <row r="1359" spans="1:8">
      <c r="A1359" s="1">
        <v>1367</v>
      </c>
      <c r="B1359" s="2" t="s">
        <v>2080</v>
      </c>
      <c r="C1359" s="3">
        <v>38793</v>
      </c>
      <c r="D1359" s="4">
        <f>YEAR(Table1[[#This Row],[Date]])</f>
        <v>2006</v>
      </c>
      <c r="E1359" s="2" t="s">
        <v>2081</v>
      </c>
      <c r="F1359" s="4">
        <v>32</v>
      </c>
      <c r="G1359" s="5">
        <v>98.105863423861408</v>
      </c>
      <c r="H1359" s="6" t="s">
        <v>2096</v>
      </c>
    </row>
    <row r="1360" spans="1:8">
      <c r="A1360" s="1">
        <v>1368</v>
      </c>
      <c r="B1360" s="2" t="s">
        <v>2091</v>
      </c>
      <c r="C1360" s="3">
        <v>38166</v>
      </c>
      <c r="D1360" s="4">
        <f>YEAR(Table1[[#This Row],[Date]])</f>
        <v>2004</v>
      </c>
      <c r="E1360" s="2" t="s">
        <v>2088</v>
      </c>
      <c r="F1360" s="4">
        <v>29</v>
      </c>
      <c r="G1360" s="5">
        <v>89.172802878693929</v>
      </c>
      <c r="H1360" s="6" t="s">
        <v>2090</v>
      </c>
    </row>
    <row r="1361" spans="1:8">
      <c r="A1361" s="1">
        <v>1369</v>
      </c>
      <c r="B1361" s="2" t="s">
        <v>2084</v>
      </c>
      <c r="C1361" s="3">
        <v>38485</v>
      </c>
      <c r="D1361" s="4">
        <f>YEAR(Table1[[#This Row],[Date]])</f>
        <v>2005</v>
      </c>
      <c r="E1361" s="2" t="s">
        <v>2085</v>
      </c>
      <c r="F1361" s="4">
        <v>64</v>
      </c>
      <c r="G1361" s="5">
        <v>193.51676296767636</v>
      </c>
      <c r="H1361" s="6" t="s">
        <v>2090</v>
      </c>
    </row>
    <row r="1362" spans="1:8">
      <c r="A1362" s="1">
        <v>1370</v>
      </c>
      <c r="B1362" s="2" t="s">
        <v>2095</v>
      </c>
      <c r="C1362" s="3">
        <v>38056</v>
      </c>
      <c r="D1362" s="4">
        <f>YEAR(Table1[[#This Row],[Date]])</f>
        <v>2004</v>
      </c>
      <c r="E1362" s="2" t="s">
        <v>2081</v>
      </c>
      <c r="F1362" s="4">
        <v>27</v>
      </c>
      <c r="G1362" s="5">
        <v>83.668497347720773</v>
      </c>
      <c r="H1362" s="6" t="s">
        <v>2090</v>
      </c>
    </row>
    <row r="1363" spans="1:8">
      <c r="A1363" s="1">
        <v>1371</v>
      </c>
      <c r="B1363" s="2" t="s">
        <v>2100</v>
      </c>
      <c r="C1363" s="3">
        <v>38254</v>
      </c>
      <c r="D1363" s="4">
        <f>YEAR(Table1[[#This Row],[Date]])</f>
        <v>2004</v>
      </c>
      <c r="E1363" s="2" t="s">
        <v>2081</v>
      </c>
      <c r="F1363" s="4">
        <v>36</v>
      </c>
      <c r="G1363" s="5">
        <v>109.80928591136637</v>
      </c>
      <c r="H1363" s="6" t="s">
        <v>2090</v>
      </c>
    </row>
    <row r="1364" spans="1:8">
      <c r="A1364" s="1">
        <v>1372</v>
      </c>
      <c r="B1364" s="2" t="s">
        <v>2080</v>
      </c>
      <c r="C1364" s="3">
        <v>39057</v>
      </c>
      <c r="D1364" s="4">
        <f>YEAR(Table1[[#This Row],[Date]])</f>
        <v>2006</v>
      </c>
      <c r="E1364" s="2" t="s">
        <v>2097</v>
      </c>
      <c r="F1364" s="4">
        <v>36</v>
      </c>
      <c r="G1364" s="5">
        <v>109.45657773500436</v>
      </c>
      <c r="H1364" s="6" t="s">
        <v>2090</v>
      </c>
    </row>
    <row r="1365" spans="1:8">
      <c r="A1365" s="1">
        <v>1373</v>
      </c>
      <c r="B1365" s="2" t="s">
        <v>2099</v>
      </c>
      <c r="C1365" s="3">
        <v>39013</v>
      </c>
      <c r="D1365" s="4">
        <f>YEAR(Table1[[#This Row],[Date]])</f>
        <v>2006</v>
      </c>
      <c r="E1365" s="2" t="s">
        <v>2097</v>
      </c>
      <c r="F1365" s="4">
        <v>32</v>
      </c>
      <c r="G1365" s="5">
        <v>97.343399963409695</v>
      </c>
      <c r="H1365" s="6" t="s">
        <v>2082</v>
      </c>
    </row>
    <row r="1366" spans="1:8">
      <c r="A1366" s="1">
        <v>1374</v>
      </c>
      <c r="B1366" s="2" t="s">
        <v>2095</v>
      </c>
      <c r="C1366" s="3">
        <v>38958</v>
      </c>
      <c r="D1366" s="4">
        <f>YEAR(Table1[[#This Row],[Date]])</f>
        <v>2006</v>
      </c>
      <c r="E1366" s="2" t="s">
        <v>2097</v>
      </c>
      <c r="F1366" s="4">
        <v>9</v>
      </c>
      <c r="G1366" s="5">
        <v>29.173034652532433</v>
      </c>
      <c r="H1366" s="6" t="s">
        <v>2096</v>
      </c>
    </row>
    <row r="1367" spans="1:8">
      <c r="A1367" s="1">
        <v>1375</v>
      </c>
      <c r="B1367" s="2" t="s">
        <v>2091</v>
      </c>
      <c r="C1367" s="3">
        <v>38859</v>
      </c>
      <c r="D1367" s="4">
        <f>YEAR(Table1[[#This Row],[Date]])</f>
        <v>2006</v>
      </c>
      <c r="E1367" s="2" t="s">
        <v>2085</v>
      </c>
      <c r="F1367" s="4">
        <v>78</v>
      </c>
      <c r="G1367" s="5">
        <v>235.63570757894917</v>
      </c>
      <c r="H1367" s="6" t="s">
        <v>2096</v>
      </c>
    </row>
    <row r="1368" spans="1:8">
      <c r="A1368" s="1">
        <v>1376</v>
      </c>
      <c r="B1368" s="2" t="s">
        <v>2091</v>
      </c>
      <c r="C1368" s="3">
        <v>38375</v>
      </c>
      <c r="D1368" s="4">
        <f>YEAR(Table1[[#This Row],[Date]])</f>
        <v>2005</v>
      </c>
      <c r="E1368" s="2" t="s">
        <v>2088</v>
      </c>
      <c r="F1368" s="4">
        <v>55</v>
      </c>
      <c r="G1368" s="5">
        <v>167.69300314757166</v>
      </c>
      <c r="H1368" s="6" t="s">
        <v>2090</v>
      </c>
    </row>
    <row r="1369" spans="1:8">
      <c r="A1369" s="1">
        <v>1377</v>
      </c>
      <c r="B1369" s="2" t="s">
        <v>2084</v>
      </c>
      <c r="C1369" s="3">
        <v>38221</v>
      </c>
      <c r="D1369" s="4">
        <f>YEAR(Table1[[#This Row],[Date]])</f>
        <v>2004</v>
      </c>
      <c r="E1369" s="2" t="s">
        <v>2097</v>
      </c>
      <c r="F1369" s="4">
        <v>79</v>
      </c>
      <c r="G1369" s="5">
        <v>239.25822655633112</v>
      </c>
      <c r="H1369" s="6" t="s">
        <v>2082</v>
      </c>
    </row>
    <row r="1370" spans="1:8">
      <c r="A1370" s="1">
        <v>1378</v>
      </c>
      <c r="B1370" s="2" t="s">
        <v>2084</v>
      </c>
      <c r="C1370" s="3">
        <v>37990</v>
      </c>
      <c r="D1370" s="4">
        <f>YEAR(Table1[[#This Row],[Date]])</f>
        <v>2004</v>
      </c>
      <c r="E1370" s="2" t="s">
        <v>2094</v>
      </c>
      <c r="F1370" s="4">
        <v>9</v>
      </c>
      <c r="G1370" s="5">
        <v>29.36931208514244</v>
      </c>
      <c r="H1370" s="6" t="s">
        <v>2082</v>
      </c>
    </row>
    <row r="1371" spans="1:8">
      <c r="A1371" s="1">
        <v>1379</v>
      </c>
      <c r="B1371" s="2" t="s">
        <v>2080</v>
      </c>
      <c r="C1371" s="3">
        <v>39068</v>
      </c>
      <c r="D1371" s="4">
        <f>YEAR(Table1[[#This Row],[Date]])</f>
        <v>2006</v>
      </c>
      <c r="E1371" s="2" t="s">
        <v>2085</v>
      </c>
      <c r="F1371" s="4">
        <v>4</v>
      </c>
      <c r="G1371" s="5">
        <v>14.276329980408619</v>
      </c>
      <c r="H1371" s="6" t="s">
        <v>2090</v>
      </c>
    </row>
    <row r="1372" spans="1:8">
      <c r="A1372" s="1">
        <v>1380</v>
      </c>
      <c r="B1372" s="2" t="s">
        <v>2084</v>
      </c>
      <c r="C1372" s="3">
        <v>38826</v>
      </c>
      <c r="D1372" s="4">
        <f>YEAR(Table1[[#This Row],[Date]])</f>
        <v>2006</v>
      </c>
      <c r="E1372" s="2" t="s">
        <v>2097</v>
      </c>
      <c r="F1372" s="4">
        <v>6</v>
      </c>
      <c r="G1372" s="5">
        <v>20.165246376870389</v>
      </c>
      <c r="H1372" s="6" t="s">
        <v>2086</v>
      </c>
    </row>
    <row r="1373" spans="1:8">
      <c r="A1373" s="1">
        <v>1381</v>
      </c>
      <c r="B1373" s="2" t="s">
        <v>2100</v>
      </c>
      <c r="C1373" s="3">
        <v>38496</v>
      </c>
      <c r="D1373" s="4">
        <f>YEAR(Table1[[#This Row],[Date]])</f>
        <v>2005</v>
      </c>
      <c r="E1373" s="2" t="s">
        <v>2094</v>
      </c>
      <c r="F1373" s="4">
        <v>18</v>
      </c>
      <c r="G1373" s="5">
        <v>55.91901948813328</v>
      </c>
      <c r="H1373" s="6" t="s">
        <v>2086</v>
      </c>
    </row>
    <row r="1374" spans="1:8">
      <c r="A1374" s="1">
        <v>1382</v>
      </c>
      <c r="B1374" s="2" t="s">
        <v>2091</v>
      </c>
      <c r="C1374" s="3">
        <v>38650</v>
      </c>
      <c r="D1374" s="4">
        <f>YEAR(Table1[[#This Row],[Date]])</f>
        <v>2005</v>
      </c>
      <c r="E1374" s="2" t="s">
        <v>2094</v>
      </c>
      <c r="F1374" s="4">
        <v>14</v>
      </c>
      <c r="G1374" s="5">
        <v>44.491260768813873</v>
      </c>
      <c r="H1374" s="6" t="s">
        <v>2090</v>
      </c>
    </row>
    <row r="1375" spans="1:8">
      <c r="A1375" s="1">
        <v>1383</v>
      </c>
      <c r="B1375" s="2" t="s">
        <v>2095</v>
      </c>
      <c r="C1375" s="3">
        <v>38947</v>
      </c>
      <c r="D1375" s="4">
        <f>YEAR(Table1[[#This Row],[Date]])</f>
        <v>2006</v>
      </c>
      <c r="E1375" s="2" t="s">
        <v>2081</v>
      </c>
      <c r="F1375" s="4">
        <v>91</v>
      </c>
      <c r="G1375" s="5">
        <v>275.50447930379551</v>
      </c>
      <c r="H1375" s="6" t="s">
        <v>2096</v>
      </c>
    </row>
    <row r="1376" spans="1:8">
      <c r="A1376" s="1">
        <v>1384</v>
      </c>
      <c r="B1376" s="2" t="s">
        <v>2091</v>
      </c>
      <c r="C1376" s="3">
        <v>38694</v>
      </c>
      <c r="D1376" s="4">
        <f>YEAR(Table1[[#This Row],[Date]])</f>
        <v>2005</v>
      </c>
      <c r="E1376" s="2" t="s">
        <v>2094</v>
      </c>
      <c r="F1376" s="4">
        <v>74</v>
      </c>
      <c r="G1376" s="5">
        <v>224.07187760825997</v>
      </c>
      <c r="H1376" s="6" t="s">
        <v>2082</v>
      </c>
    </row>
    <row r="1377" spans="1:8">
      <c r="A1377" s="1">
        <v>1385</v>
      </c>
      <c r="B1377" s="2" t="s">
        <v>2080</v>
      </c>
      <c r="C1377" s="3">
        <v>38199</v>
      </c>
      <c r="D1377" s="4">
        <f>YEAR(Table1[[#This Row],[Date]])</f>
        <v>2004</v>
      </c>
      <c r="E1377" s="2" t="s">
        <v>2081</v>
      </c>
      <c r="F1377" s="4">
        <v>47</v>
      </c>
      <c r="G1377" s="5">
        <v>143.8575641603407</v>
      </c>
      <c r="H1377" s="6" t="s">
        <v>2090</v>
      </c>
    </row>
    <row r="1378" spans="1:8">
      <c r="A1378" s="1">
        <v>1386</v>
      </c>
      <c r="B1378" s="2" t="s">
        <v>2093</v>
      </c>
      <c r="C1378" s="3">
        <v>39024</v>
      </c>
      <c r="D1378" s="4">
        <f>YEAR(Table1[[#This Row],[Date]])</f>
        <v>2006</v>
      </c>
      <c r="E1378" s="2" t="s">
        <v>2085</v>
      </c>
      <c r="F1378" s="4">
        <v>28</v>
      </c>
      <c r="G1378" s="5">
        <v>86.468289532216389</v>
      </c>
      <c r="H1378" s="6" t="s">
        <v>2082</v>
      </c>
    </row>
    <row r="1379" spans="1:8">
      <c r="A1379" s="1">
        <v>1387</v>
      </c>
      <c r="B1379" s="2" t="s">
        <v>2093</v>
      </c>
      <c r="C1379" s="3">
        <v>38980</v>
      </c>
      <c r="D1379" s="4">
        <f>YEAR(Table1[[#This Row],[Date]])</f>
        <v>2006</v>
      </c>
      <c r="E1379" s="2" t="s">
        <v>2094</v>
      </c>
      <c r="F1379" s="4">
        <v>21</v>
      </c>
      <c r="G1379" s="5">
        <v>64.784207766072953</v>
      </c>
      <c r="H1379" s="6" t="s">
        <v>2090</v>
      </c>
    </row>
    <row r="1380" spans="1:8">
      <c r="A1380" s="1">
        <v>1388</v>
      </c>
      <c r="B1380" s="2" t="s">
        <v>2095</v>
      </c>
      <c r="C1380" s="3">
        <v>38441</v>
      </c>
      <c r="D1380" s="4">
        <f>YEAR(Table1[[#This Row],[Date]])</f>
        <v>2005</v>
      </c>
      <c r="E1380" s="2" t="s">
        <v>2085</v>
      </c>
      <c r="F1380" s="4">
        <v>52</v>
      </c>
      <c r="G1380" s="5">
        <v>157.69424365413772</v>
      </c>
      <c r="H1380" s="6" t="s">
        <v>2082</v>
      </c>
    </row>
    <row r="1381" spans="1:8">
      <c r="A1381" s="1">
        <v>1389</v>
      </c>
      <c r="B1381" s="2" t="s">
        <v>2091</v>
      </c>
      <c r="C1381" s="3">
        <v>38166</v>
      </c>
      <c r="D1381" s="4">
        <f>YEAR(Table1[[#This Row],[Date]])</f>
        <v>2004</v>
      </c>
      <c r="E1381" s="2" t="s">
        <v>2088</v>
      </c>
      <c r="F1381" s="4">
        <v>33</v>
      </c>
      <c r="G1381" s="5">
        <v>101.08856134949143</v>
      </c>
      <c r="H1381" s="6" t="s">
        <v>2082</v>
      </c>
    </row>
    <row r="1382" spans="1:8">
      <c r="A1382" s="1">
        <v>1390</v>
      </c>
      <c r="B1382" s="2" t="s">
        <v>2093</v>
      </c>
      <c r="C1382" s="3">
        <v>38023</v>
      </c>
      <c r="D1382" s="4">
        <f>YEAR(Table1[[#This Row],[Date]])</f>
        <v>2004</v>
      </c>
      <c r="E1382" s="2" t="s">
        <v>2097</v>
      </c>
      <c r="F1382" s="4">
        <v>7</v>
      </c>
      <c r="G1382" s="5">
        <v>19.437923961194201</v>
      </c>
      <c r="H1382" s="6" t="s">
        <v>2096</v>
      </c>
    </row>
    <row r="1383" spans="1:8">
      <c r="A1383" s="1">
        <v>1391</v>
      </c>
      <c r="B1383" s="2" t="s">
        <v>2095</v>
      </c>
      <c r="C1383" s="3">
        <v>38078</v>
      </c>
      <c r="D1383" s="4">
        <f>YEAR(Table1[[#This Row],[Date]])</f>
        <v>2004</v>
      </c>
      <c r="E1383" s="2" t="s">
        <v>2081</v>
      </c>
      <c r="F1383" s="4">
        <v>12</v>
      </c>
      <c r="G1383" s="5">
        <v>38.2380881700618</v>
      </c>
      <c r="H1383" s="6" t="s">
        <v>2082</v>
      </c>
    </row>
    <row r="1384" spans="1:8">
      <c r="A1384" s="1">
        <v>1392</v>
      </c>
      <c r="B1384" s="2" t="s">
        <v>2091</v>
      </c>
      <c r="C1384" s="3">
        <v>38045</v>
      </c>
      <c r="D1384" s="4">
        <f>YEAR(Table1[[#This Row],[Date]])</f>
        <v>2004</v>
      </c>
      <c r="E1384" s="2" t="s">
        <v>2094</v>
      </c>
      <c r="F1384" s="4">
        <v>1</v>
      </c>
      <c r="G1384" s="5">
        <v>4.5049727728030682</v>
      </c>
      <c r="H1384" s="6" t="s">
        <v>2082</v>
      </c>
    </row>
    <row r="1385" spans="1:8">
      <c r="A1385" s="1">
        <v>1393</v>
      </c>
      <c r="B1385" s="2" t="s">
        <v>2080</v>
      </c>
      <c r="C1385" s="3">
        <v>38012</v>
      </c>
      <c r="D1385" s="4">
        <f>YEAR(Table1[[#This Row],[Date]])</f>
        <v>2004</v>
      </c>
      <c r="E1385" s="2" t="s">
        <v>2097</v>
      </c>
      <c r="F1385" s="4">
        <v>56</v>
      </c>
      <c r="G1385" s="5">
        <v>169.75770217815491</v>
      </c>
      <c r="H1385" s="6" t="s">
        <v>2082</v>
      </c>
    </row>
    <row r="1386" spans="1:8">
      <c r="A1386" s="1">
        <v>1394</v>
      </c>
      <c r="B1386" s="2" t="s">
        <v>2095</v>
      </c>
      <c r="C1386" s="3">
        <v>38529</v>
      </c>
      <c r="D1386" s="4">
        <f>YEAR(Table1[[#This Row],[Date]])</f>
        <v>2005</v>
      </c>
      <c r="E1386" s="2" t="s">
        <v>2085</v>
      </c>
      <c r="F1386" s="4">
        <v>34</v>
      </c>
      <c r="G1386" s="5">
        <v>104.47706646910852</v>
      </c>
      <c r="H1386" s="6" t="s">
        <v>2082</v>
      </c>
    </row>
    <row r="1387" spans="1:8">
      <c r="A1387" s="1">
        <v>1395</v>
      </c>
      <c r="B1387" s="2" t="s">
        <v>2100</v>
      </c>
      <c r="C1387" s="3">
        <v>38408</v>
      </c>
      <c r="D1387" s="4">
        <f>YEAR(Table1[[#This Row],[Date]])</f>
        <v>2005</v>
      </c>
      <c r="E1387" s="2" t="s">
        <v>2085</v>
      </c>
      <c r="F1387" s="4">
        <v>83</v>
      </c>
      <c r="G1387" s="5">
        <v>250.38974883045833</v>
      </c>
      <c r="H1387" s="6" t="s">
        <v>2086</v>
      </c>
    </row>
    <row r="1388" spans="1:8">
      <c r="A1388" s="1">
        <v>1396</v>
      </c>
      <c r="B1388" s="2" t="s">
        <v>2093</v>
      </c>
      <c r="C1388" s="3">
        <v>38430</v>
      </c>
      <c r="D1388" s="4">
        <f>YEAR(Table1[[#This Row],[Date]])</f>
        <v>2005</v>
      </c>
      <c r="E1388" s="2" t="s">
        <v>2094</v>
      </c>
      <c r="F1388" s="4">
        <v>4</v>
      </c>
      <c r="G1388" s="5">
        <v>10.155624843092607</v>
      </c>
      <c r="H1388" s="6" t="s">
        <v>2082</v>
      </c>
    </row>
    <row r="1389" spans="1:8">
      <c r="A1389" s="1">
        <v>1397</v>
      </c>
      <c r="B1389" s="2" t="s">
        <v>2095</v>
      </c>
      <c r="C1389" s="3">
        <v>38386</v>
      </c>
      <c r="D1389" s="4">
        <f>YEAR(Table1[[#This Row],[Date]])</f>
        <v>2005</v>
      </c>
      <c r="E1389" s="2" t="s">
        <v>2085</v>
      </c>
      <c r="F1389" s="4">
        <v>9</v>
      </c>
      <c r="G1389" s="5">
        <v>29.703664221901175</v>
      </c>
      <c r="H1389" s="6" t="s">
        <v>2082</v>
      </c>
    </row>
    <row r="1390" spans="1:8">
      <c r="A1390" s="1">
        <v>1398</v>
      </c>
      <c r="B1390" s="2" t="s">
        <v>2084</v>
      </c>
      <c r="C1390" s="3">
        <v>38122</v>
      </c>
      <c r="D1390" s="4">
        <f>YEAR(Table1[[#This Row],[Date]])</f>
        <v>2004</v>
      </c>
      <c r="E1390" s="2" t="s">
        <v>2094</v>
      </c>
      <c r="F1390" s="4">
        <v>64</v>
      </c>
      <c r="G1390" s="5">
        <v>193.99078398349641</v>
      </c>
      <c r="H1390" s="6" t="s">
        <v>2090</v>
      </c>
    </row>
    <row r="1391" spans="1:8">
      <c r="A1391" s="1">
        <v>1399</v>
      </c>
      <c r="B1391" s="2" t="s">
        <v>2100</v>
      </c>
      <c r="C1391" s="3">
        <v>38122</v>
      </c>
      <c r="D1391" s="4">
        <f>YEAR(Table1[[#This Row],[Date]])</f>
        <v>2004</v>
      </c>
      <c r="E1391" s="2" t="s">
        <v>2081</v>
      </c>
      <c r="F1391" s="4">
        <v>13</v>
      </c>
      <c r="G1391" s="5">
        <v>40.947424828889474</v>
      </c>
      <c r="H1391" s="6" t="s">
        <v>2082</v>
      </c>
    </row>
    <row r="1392" spans="1:8">
      <c r="A1392" s="1">
        <v>1400</v>
      </c>
      <c r="B1392" s="2" t="s">
        <v>2091</v>
      </c>
      <c r="C1392" s="3">
        <v>38100</v>
      </c>
      <c r="D1392" s="4">
        <f>YEAR(Table1[[#This Row],[Date]])</f>
        <v>2004</v>
      </c>
      <c r="E1392" s="2" t="s">
        <v>2081</v>
      </c>
      <c r="F1392" s="4">
        <v>9</v>
      </c>
      <c r="G1392" s="5">
        <v>28.683682099948655</v>
      </c>
      <c r="H1392" s="6" t="s">
        <v>2082</v>
      </c>
    </row>
    <row r="1393" spans="1:8">
      <c r="A1393" s="1">
        <v>1401</v>
      </c>
      <c r="B1393" s="2" t="s">
        <v>2098</v>
      </c>
      <c r="C1393" s="3">
        <v>38980</v>
      </c>
      <c r="D1393" s="4">
        <f>YEAR(Table1[[#This Row],[Date]])</f>
        <v>2006</v>
      </c>
      <c r="E1393" s="2" t="s">
        <v>2081</v>
      </c>
      <c r="F1393" s="4">
        <v>6</v>
      </c>
      <c r="G1393" s="5">
        <v>19.546281446888681</v>
      </c>
      <c r="H1393" s="6" t="s">
        <v>2090</v>
      </c>
    </row>
    <row r="1394" spans="1:8">
      <c r="A1394" s="1">
        <v>1402</v>
      </c>
      <c r="B1394" s="2" t="s">
        <v>2087</v>
      </c>
      <c r="C1394" s="3">
        <v>38859</v>
      </c>
      <c r="D1394" s="4">
        <f>YEAR(Table1[[#This Row],[Date]])</f>
        <v>2006</v>
      </c>
      <c r="E1394" s="2" t="s">
        <v>2085</v>
      </c>
      <c r="F1394" s="4">
        <v>55</v>
      </c>
      <c r="G1394" s="5">
        <v>167.0921059108752</v>
      </c>
      <c r="H1394" s="6" t="s">
        <v>2086</v>
      </c>
    </row>
    <row r="1395" spans="1:8">
      <c r="A1395" s="1">
        <v>1403</v>
      </c>
      <c r="B1395" s="2" t="s">
        <v>2099</v>
      </c>
      <c r="C1395" s="3">
        <v>38870</v>
      </c>
      <c r="D1395" s="4">
        <f>YEAR(Table1[[#This Row],[Date]])</f>
        <v>2006</v>
      </c>
      <c r="E1395" s="2" t="s">
        <v>2088</v>
      </c>
      <c r="F1395" s="4">
        <v>64</v>
      </c>
      <c r="G1395" s="5">
        <v>194.83490930195086</v>
      </c>
      <c r="H1395" s="6" t="s">
        <v>2082</v>
      </c>
    </row>
    <row r="1396" spans="1:8">
      <c r="A1396" s="1">
        <v>1404</v>
      </c>
      <c r="B1396" s="2" t="s">
        <v>2080</v>
      </c>
      <c r="C1396" s="3">
        <v>38518</v>
      </c>
      <c r="D1396" s="4">
        <f>YEAR(Table1[[#This Row],[Date]])</f>
        <v>2005</v>
      </c>
      <c r="E1396" s="2" t="s">
        <v>2081</v>
      </c>
      <c r="F1396" s="4">
        <v>27</v>
      </c>
      <c r="G1396" s="5">
        <v>82.654748876430304</v>
      </c>
      <c r="H1396" s="6" t="s">
        <v>2096</v>
      </c>
    </row>
    <row r="1397" spans="1:8">
      <c r="A1397" s="1">
        <v>1405</v>
      </c>
      <c r="B1397" s="2" t="s">
        <v>2099</v>
      </c>
      <c r="C1397" s="3">
        <v>38276</v>
      </c>
      <c r="D1397" s="4">
        <f>YEAR(Table1[[#This Row],[Date]])</f>
        <v>2004</v>
      </c>
      <c r="E1397" s="2" t="s">
        <v>2081</v>
      </c>
      <c r="F1397" s="4">
        <v>4</v>
      </c>
      <c r="G1397" s="5">
        <v>14.358367110038117</v>
      </c>
      <c r="H1397" s="6" t="s">
        <v>2090</v>
      </c>
    </row>
    <row r="1398" spans="1:8">
      <c r="A1398" s="1">
        <v>1406</v>
      </c>
      <c r="B1398" s="2" t="s">
        <v>2100</v>
      </c>
      <c r="C1398" s="3">
        <v>38661</v>
      </c>
      <c r="D1398" s="4">
        <f>YEAR(Table1[[#This Row],[Date]])</f>
        <v>2005</v>
      </c>
      <c r="E1398" s="2" t="s">
        <v>2081</v>
      </c>
      <c r="F1398" s="4">
        <v>17</v>
      </c>
      <c r="G1398" s="5">
        <v>53.450226015325889</v>
      </c>
      <c r="H1398" s="6" t="s">
        <v>2086</v>
      </c>
    </row>
    <row r="1399" spans="1:8">
      <c r="A1399" s="1">
        <v>1407</v>
      </c>
      <c r="B1399" s="2" t="s">
        <v>2087</v>
      </c>
      <c r="C1399" s="3">
        <v>38947</v>
      </c>
      <c r="D1399" s="4">
        <f>YEAR(Table1[[#This Row],[Date]])</f>
        <v>2006</v>
      </c>
      <c r="E1399" s="2" t="s">
        <v>2081</v>
      </c>
      <c r="F1399" s="4">
        <v>24</v>
      </c>
      <c r="G1399" s="5">
        <v>74.287417398883491</v>
      </c>
      <c r="H1399" s="6" t="s">
        <v>2096</v>
      </c>
    </row>
    <row r="1400" spans="1:8">
      <c r="A1400" s="1">
        <v>1408</v>
      </c>
      <c r="B1400" s="2" t="s">
        <v>2098</v>
      </c>
      <c r="C1400" s="3">
        <v>38694</v>
      </c>
      <c r="D1400" s="4">
        <f>YEAR(Table1[[#This Row],[Date]])</f>
        <v>2005</v>
      </c>
      <c r="E1400" s="2" t="s">
        <v>2081</v>
      </c>
      <c r="F1400" s="4">
        <v>87</v>
      </c>
      <c r="G1400" s="5">
        <v>262.8805946680697</v>
      </c>
      <c r="H1400" s="6" t="s">
        <v>2090</v>
      </c>
    </row>
    <row r="1401" spans="1:8">
      <c r="A1401" s="1">
        <v>1409</v>
      </c>
      <c r="B1401" s="2" t="s">
        <v>2091</v>
      </c>
      <c r="C1401" s="3">
        <v>38309</v>
      </c>
      <c r="D1401" s="4">
        <f>YEAR(Table1[[#This Row],[Date]])</f>
        <v>2004</v>
      </c>
      <c r="E1401" s="2" t="s">
        <v>2097</v>
      </c>
      <c r="F1401" s="4">
        <v>10</v>
      </c>
      <c r="G1401" s="5">
        <v>31.759227784320323</v>
      </c>
      <c r="H1401" s="6" t="s">
        <v>2096</v>
      </c>
    </row>
    <row r="1402" spans="1:8">
      <c r="A1402" s="1">
        <v>1410</v>
      </c>
      <c r="B1402" s="2" t="s">
        <v>2095</v>
      </c>
      <c r="C1402" s="3">
        <v>38276</v>
      </c>
      <c r="D1402" s="4">
        <f>YEAR(Table1[[#This Row],[Date]])</f>
        <v>2004</v>
      </c>
      <c r="E1402" s="2" t="s">
        <v>2097</v>
      </c>
      <c r="F1402" s="4">
        <v>0</v>
      </c>
      <c r="G1402" s="5">
        <v>1.8311339455634805</v>
      </c>
      <c r="H1402" s="6" t="s">
        <v>2086</v>
      </c>
    </row>
    <row r="1403" spans="1:8">
      <c r="A1403" s="1">
        <v>1411</v>
      </c>
      <c r="B1403" s="2" t="s">
        <v>2095</v>
      </c>
      <c r="C1403" s="3">
        <v>38375</v>
      </c>
      <c r="D1403" s="4">
        <f>YEAR(Table1[[#This Row],[Date]])</f>
        <v>2005</v>
      </c>
      <c r="E1403" s="2" t="s">
        <v>2081</v>
      </c>
      <c r="F1403" s="4">
        <v>73</v>
      </c>
      <c r="G1403" s="5">
        <v>221.0091797499388</v>
      </c>
      <c r="H1403" s="6" t="s">
        <v>2086</v>
      </c>
    </row>
    <row r="1404" spans="1:8">
      <c r="A1404" s="1">
        <v>1412</v>
      </c>
      <c r="B1404" s="2" t="s">
        <v>2084</v>
      </c>
      <c r="C1404" s="3">
        <v>38067</v>
      </c>
      <c r="D1404" s="4">
        <f>YEAR(Table1[[#This Row],[Date]])</f>
        <v>2004</v>
      </c>
      <c r="E1404" s="2" t="s">
        <v>2081</v>
      </c>
      <c r="F1404" s="4">
        <v>66</v>
      </c>
      <c r="G1404" s="5">
        <v>200.12198246327054</v>
      </c>
      <c r="H1404" s="6" t="s">
        <v>2086</v>
      </c>
    </row>
    <row r="1405" spans="1:8">
      <c r="A1405" s="1">
        <v>1413</v>
      </c>
      <c r="B1405" s="2" t="s">
        <v>2080</v>
      </c>
      <c r="C1405" s="3">
        <v>38947</v>
      </c>
      <c r="D1405" s="4">
        <f>YEAR(Table1[[#This Row],[Date]])</f>
        <v>2006</v>
      </c>
      <c r="E1405" s="2" t="s">
        <v>2081</v>
      </c>
      <c r="F1405" s="4">
        <v>70</v>
      </c>
      <c r="G1405" s="5">
        <v>211.75333647455852</v>
      </c>
      <c r="H1405" s="6" t="s">
        <v>2090</v>
      </c>
    </row>
    <row r="1406" spans="1:8">
      <c r="A1406" s="1">
        <v>1414</v>
      </c>
      <c r="B1406" s="2" t="s">
        <v>2091</v>
      </c>
      <c r="C1406" s="3">
        <v>38331</v>
      </c>
      <c r="D1406" s="4">
        <f>YEAR(Table1[[#This Row],[Date]])</f>
        <v>2004</v>
      </c>
      <c r="E1406" s="2" t="s">
        <v>2085</v>
      </c>
      <c r="F1406" s="4">
        <v>78</v>
      </c>
      <c r="G1406" s="5">
        <v>235.90596023209099</v>
      </c>
      <c r="H1406" s="6" t="s">
        <v>2096</v>
      </c>
    </row>
    <row r="1407" spans="1:8">
      <c r="A1407" s="1">
        <v>1415</v>
      </c>
      <c r="B1407" s="2" t="s">
        <v>2099</v>
      </c>
      <c r="C1407" s="3">
        <v>38661</v>
      </c>
      <c r="D1407" s="4">
        <f>YEAR(Table1[[#This Row],[Date]])</f>
        <v>2005</v>
      </c>
      <c r="E1407" s="2" t="s">
        <v>2097</v>
      </c>
      <c r="F1407" s="4">
        <v>22</v>
      </c>
      <c r="G1407" s="5">
        <v>66.965065793990505</v>
      </c>
      <c r="H1407" s="6" t="s">
        <v>2096</v>
      </c>
    </row>
    <row r="1408" spans="1:8">
      <c r="A1408" s="1">
        <v>1416</v>
      </c>
      <c r="B1408" s="2" t="s">
        <v>2098</v>
      </c>
      <c r="C1408" s="3">
        <v>38265</v>
      </c>
      <c r="D1408" s="4">
        <f>YEAR(Table1[[#This Row],[Date]])</f>
        <v>2004</v>
      </c>
      <c r="E1408" s="2" t="s">
        <v>2097</v>
      </c>
      <c r="F1408" s="4">
        <v>21</v>
      </c>
      <c r="G1408" s="5">
        <v>65.217462708012192</v>
      </c>
      <c r="H1408" s="6" t="s">
        <v>2082</v>
      </c>
    </row>
    <row r="1409" spans="1:8">
      <c r="A1409" s="1">
        <v>1417</v>
      </c>
      <c r="B1409" s="2" t="s">
        <v>2080</v>
      </c>
      <c r="C1409" s="3">
        <v>38276</v>
      </c>
      <c r="D1409" s="4">
        <f>YEAR(Table1[[#This Row],[Date]])</f>
        <v>2004</v>
      </c>
      <c r="E1409" s="2" t="s">
        <v>2081</v>
      </c>
      <c r="F1409" s="4">
        <v>8</v>
      </c>
      <c r="G1409" s="5">
        <v>25.824952877477109</v>
      </c>
      <c r="H1409" s="6" t="s">
        <v>2096</v>
      </c>
    </row>
    <row r="1410" spans="1:8">
      <c r="A1410" s="1">
        <v>1418</v>
      </c>
      <c r="B1410" s="2" t="s">
        <v>2087</v>
      </c>
      <c r="C1410" s="3">
        <v>38034</v>
      </c>
      <c r="D1410" s="4">
        <f>YEAR(Table1[[#This Row],[Date]])</f>
        <v>2004</v>
      </c>
      <c r="E1410" s="2" t="s">
        <v>2097</v>
      </c>
      <c r="F1410" s="4">
        <v>62</v>
      </c>
      <c r="G1410" s="5">
        <v>187.80112722106594</v>
      </c>
      <c r="H1410" s="6" t="s">
        <v>2090</v>
      </c>
    </row>
    <row r="1411" spans="1:8">
      <c r="A1411" s="1">
        <v>1419</v>
      </c>
      <c r="B1411" s="2" t="s">
        <v>2093</v>
      </c>
      <c r="C1411" s="3">
        <v>38848</v>
      </c>
      <c r="D1411" s="4">
        <f>YEAR(Table1[[#This Row],[Date]])</f>
        <v>2006</v>
      </c>
      <c r="E1411" s="2" t="s">
        <v>2097</v>
      </c>
      <c r="F1411" s="4">
        <v>81</v>
      </c>
      <c r="G1411" s="5">
        <v>244.50746507200088</v>
      </c>
      <c r="H1411" s="6" t="s">
        <v>2096</v>
      </c>
    </row>
    <row r="1412" spans="1:8">
      <c r="A1412" s="1">
        <v>1420</v>
      </c>
      <c r="B1412" s="2" t="s">
        <v>2091</v>
      </c>
      <c r="C1412" s="3">
        <v>38342</v>
      </c>
      <c r="D1412" s="4">
        <f>YEAR(Table1[[#This Row],[Date]])</f>
        <v>2004</v>
      </c>
      <c r="E1412" s="2" t="s">
        <v>2081</v>
      </c>
      <c r="F1412" s="4">
        <v>72</v>
      </c>
      <c r="G1412" s="5">
        <v>218.17265722795503</v>
      </c>
      <c r="H1412" s="6" t="s">
        <v>2096</v>
      </c>
    </row>
    <row r="1413" spans="1:8">
      <c r="A1413" s="1">
        <v>1421</v>
      </c>
      <c r="B1413" s="2" t="s">
        <v>2084</v>
      </c>
      <c r="C1413" s="3">
        <v>39002</v>
      </c>
      <c r="D1413" s="4">
        <f>YEAR(Table1[[#This Row],[Date]])</f>
        <v>2006</v>
      </c>
      <c r="E1413" s="2" t="s">
        <v>2094</v>
      </c>
      <c r="F1413" s="4">
        <v>13</v>
      </c>
      <c r="G1413" s="5">
        <v>41.356875522020459</v>
      </c>
      <c r="H1413" s="6" t="s">
        <v>2090</v>
      </c>
    </row>
    <row r="1414" spans="1:8">
      <c r="A1414" s="1">
        <v>1422</v>
      </c>
      <c r="B1414" s="2" t="s">
        <v>2080</v>
      </c>
      <c r="C1414" s="3">
        <v>38595</v>
      </c>
      <c r="D1414" s="4">
        <f>YEAR(Table1[[#This Row],[Date]])</f>
        <v>2005</v>
      </c>
      <c r="E1414" s="2" t="s">
        <v>2088</v>
      </c>
      <c r="F1414" s="4">
        <v>52</v>
      </c>
      <c r="G1414" s="5">
        <v>157.41873231061072</v>
      </c>
      <c r="H1414" s="6" t="s">
        <v>2082</v>
      </c>
    </row>
    <row r="1415" spans="1:8">
      <c r="A1415" s="1">
        <v>1423</v>
      </c>
      <c r="B1415" s="2" t="s">
        <v>2095</v>
      </c>
      <c r="C1415" s="3">
        <v>38738</v>
      </c>
      <c r="D1415" s="4">
        <f>YEAR(Table1[[#This Row],[Date]])</f>
        <v>2006</v>
      </c>
      <c r="E1415" s="2" t="s">
        <v>2094</v>
      </c>
      <c r="F1415" s="4">
        <v>49</v>
      </c>
      <c r="G1415" s="5">
        <v>148.10679359164916</v>
      </c>
      <c r="H1415" s="6" t="s">
        <v>2090</v>
      </c>
    </row>
    <row r="1416" spans="1:8">
      <c r="A1416" s="1">
        <v>1424</v>
      </c>
      <c r="B1416" s="2" t="s">
        <v>2095</v>
      </c>
      <c r="C1416" s="3">
        <v>38067</v>
      </c>
      <c r="D1416" s="4">
        <f>YEAR(Table1[[#This Row],[Date]])</f>
        <v>2004</v>
      </c>
      <c r="E1416" s="2" t="s">
        <v>2094</v>
      </c>
      <c r="F1416" s="4">
        <v>82</v>
      </c>
      <c r="G1416" s="5">
        <v>248.16915651860171</v>
      </c>
      <c r="H1416" s="6" t="s">
        <v>2082</v>
      </c>
    </row>
    <row r="1417" spans="1:8">
      <c r="A1417" s="1">
        <v>1425</v>
      </c>
      <c r="B1417" s="2" t="s">
        <v>2091</v>
      </c>
      <c r="C1417" s="3">
        <v>38815</v>
      </c>
      <c r="D1417" s="4">
        <f>YEAR(Table1[[#This Row],[Date]])</f>
        <v>2006</v>
      </c>
      <c r="E1417" s="2" t="s">
        <v>2094</v>
      </c>
      <c r="F1417" s="4">
        <v>5</v>
      </c>
      <c r="G1417" s="5">
        <v>17.015690322490627</v>
      </c>
      <c r="H1417" s="6" t="s">
        <v>2086</v>
      </c>
    </row>
    <row r="1418" spans="1:8">
      <c r="A1418" s="1">
        <v>1426</v>
      </c>
      <c r="B1418" s="2" t="s">
        <v>2099</v>
      </c>
      <c r="C1418" s="3">
        <v>38617</v>
      </c>
      <c r="D1418" s="4">
        <f>YEAR(Table1[[#This Row],[Date]])</f>
        <v>2005</v>
      </c>
      <c r="E1418" s="2" t="s">
        <v>2097</v>
      </c>
      <c r="F1418" s="4">
        <v>45</v>
      </c>
      <c r="G1418" s="5">
        <v>136.85630897508477</v>
      </c>
      <c r="H1418" s="6" t="s">
        <v>2090</v>
      </c>
    </row>
    <row r="1419" spans="1:8">
      <c r="A1419" s="1">
        <v>1427</v>
      </c>
      <c r="B1419" s="2" t="s">
        <v>2098</v>
      </c>
      <c r="C1419" s="3">
        <v>38694</v>
      </c>
      <c r="D1419" s="4">
        <f>YEAR(Table1[[#This Row],[Date]])</f>
        <v>2005</v>
      </c>
      <c r="E1419" s="2" t="s">
        <v>2097</v>
      </c>
      <c r="F1419" s="4">
        <v>10</v>
      </c>
      <c r="G1419" s="5">
        <v>27.350902782330042</v>
      </c>
      <c r="H1419" s="6" t="s">
        <v>2086</v>
      </c>
    </row>
    <row r="1420" spans="1:8">
      <c r="A1420" s="1">
        <v>1428</v>
      </c>
      <c r="B1420" s="2" t="s">
        <v>2087</v>
      </c>
      <c r="C1420" s="3">
        <v>39057</v>
      </c>
      <c r="D1420" s="4">
        <f>YEAR(Table1[[#This Row],[Date]])</f>
        <v>2006</v>
      </c>
      <c r="E1420" s="2" t="s">
        <v>2094</v>
      </c>
      <c r="F1420" s="4">
        <v>53</v>
      </c>
      <c r="G1420" s="5">
        <v>160.85164058435507</v>
      </c>
      <c r="H1420" s="6" t="s">
        <v>2086</v>
      </c>
    </row>
    <row r="1421" spans="1:8">
      <c r="A1421" s="1">
        <v>1429</v>
      </c>
      <c r="B1421" s="2" t="s">
        <v>2084</v>
      </c>
      <c r="C1421" s="3">
        <v>38441</v>
      </c>
      <c r="D1421" s="4">
        <f>YEAR(Table1[[#This Row],[Date]])</f>
        <v>2005</v>
      </c>
      <c r="E1421" s="2" t="s">
        <v>2088</v>
      </c>
      <c r="F1421" s="4">
        <v>24</v>
      </c>
      <c r="G1421" s="5">
        <v>73.616064458141409</v>
      </c>
      <c r="H1421" s="6" t="s">
        <v>2096</v>
      </c>
    </row>
    <row r="1422" spans="1:8">
      <c r="A1422" s="1">
        <v>1430</v>
      </c>
      <c r="B1422" s="2" t="s">
        <v>2095</v>
      </c>
      <c r="C1422" s="3">
        <v>38914</v>
      </c>
      <c r="D1422" s="4">
        <f>YEAR(Table1[[#This Row],[Date]])</f>
        <v>2006</v>
      </c>
      <c r="E1422" s="2" t="s">
        <v>2081</v>
      </c>
      <c r="F1422" s="4">
        <v>27</v>
      </c>
      <c r="G1422" s="5">
        <v>83.23212229417976</v>
      </c>
      <c r="H1422" s="6" t="s">
        <v>2086</v>
      </c>
    </row>
    <row r="1423" spans="1:8">
      <c r="A1423" s="1">
        <v>1431</v>
      </c>
      <c r="B1423" s="2" t="s">
        <v>2099</v>
      </c>
      <c r="C1423" s="3">
        <v>38837</v>
      </c>
      <c r="D1423" s="4">
        <f>YEAR(Table1[[#This Row],[Date]])</f>
        <v>2006</v>
      </c>
      <c r="E1423" s="2" t="s">
        <v>2085</v>
      </c>
      <c r="F1423" s="4">
        <v>52</v>
      </c>
      <c r="G1423" s="5">
        <v>158.63001694196066</v>
      </c>
      <c r="H1423" s="6" t="s">
        <v>2090</v>
      </c>
    </row>
    <row r="1424" spans="1:8">
      <c r="A1424" s="1">
        <v>1432</v>
      </c>
      <c r="B1424" s="2" t="s">
        <v>2091</v>
      </c>
      <c r="C1424" s="3">
        <v>39013</v>
      </c>
      <c r="D1424" s="4">
        <f>YEAR(Table1[[#This Row],[Date]])</f>
        <v>2006</v>
      </c>
      <c r="E1424" s="2" t="s">
        <v>2085</v>
      </c>
      <c r="F1424" s="4">
        <v>0</v>
      </c>
      <c r="G1424" s="5">
        <v>1.7815728693963861</v>
      </c>
      <c r="H1424" s="6" t="s">
        <v>2096</v>
      </c>
    </row>
    <row r="1425" spans="1:8">
      <c r="A1425" s="1">
        <v>1433</v>
      </c>
      <c r="B1425" s="2" t="s">
        <v>2095</v>
      </c>
      <c r="C1425" s="3">
        <v>38155</v>
      </c>
      <c r="D1425" s="4">
        <f>YEAR(Table1[[#This Row],[Date]])</f>
        <v>2004</v>
      </c>
      <c r="E1425" s="2" t="s">
        <v>2097</v>
      </c>
      <c r="F1425" s="4">
        <v>92</v>
      </c>
      <c r="G1425" s="5">
        <v>278.65173044503393</v>
      </c>
      <c r="H1425" s="6" t="s">
        <v>2096</v>
      </c>
    </row>
    <row r="1426" spans="1:8">
      <c r="A1426" s="1">
        <v>1434</v>
      </c>
      <c r="B1426" s="2" t="s">
        <v>2098</v>
      </c>
      <c r="C1426" s="3">
        <v>39013</v>
      </c>
      <c r="D1426" s="4">
        <f>YEAR(Table1[[#This Row],[Date]])</f>
        <v>2006</v>
      </c>
      <c r="E1426" s="2" t="s">
        <v>2097</v>
      </c>
      <c r="F1426" s="4">
        <v>22</v>
      </c>
      <c r="G1426" s="5">
        <v>67.706785390101601</v>
      </c>
      <c r="H1426" s="6" t="s">
        <v>2096</v>
      </c>
    </row>
    <row r="1427" spans="1:8">
      <c r="A1427" s="1">
        <v>1435</v>
      </c>
      <c r="B1427" s="2" t="s">
        <v>2100</v>
      </c>
      <c r="C1427" s="3">
        <v>38837</v>
      </c>
      <c r="D1427" s="4">
        <f>YEAR(Table1[[#This Row],[Date]])</f>
        <v>2006</v>
      </c>
      <c r="E1427" s="2" t="s">
        <v>2094</v>
      </c>
      <c r="F1427" s="4">
        <v>67</v>
      </c>
      <c r="G1427" s="5">
        <v>202.90370530776514</v>
      </c>
      <c r="H1427" s="6" t="s">
        <v>2090</v>
      </c>
    </row>
    <row r="1428" spans="1:8">
      <c r="A1428" s="1">
        <v>1436</v>
      </c>
      <c r="B1428" s="2" t="s">
        <v>2091</v>
      </c>
      <c r="C1428" s="3">
        <v>38639</v>
      </c>
      <c r="D1428" s="4">
        <f>YEAR(Table1[[#This Row],[Date]])</f>
        <v>2005</v>
      </c>
      <c r="E1428" s="2" t="s">
        <v>2097</v>
      </c>
      <c r="F1428" s="4">
        <v>7</v>
      </c>
      <c r="G1428" s="5">
        <v>23.034327347174614</v>
      </c>
      <c r="H1428" s="6" t="s">
        <v>2090</v>
      </c>
    </row>
    <row r="1429" spans="1:8">
      <c r="A1429" s="1">
        <v>1437</v>
      </c>
      <c r="B1429" s="2" t="s">
        <v>2100</v>
      </c>
      <c r="C1429" s="3">
        <v>38122</v>
      </c>
      <c r="D1429" s="4">
        <f>YEAR(Table1[[#This Row],[Date]])</f>
        <v>2004</v>
      </c>
      <c r="E1429" s="2" t="s">
        <v>2094</v>
      </c>
      <c r="F1429" s="4">
        <v>10</v>
      </c>
      <c r="G1429" s="5">
        <v>27.962734354764166</v>
      </c>
      <c r="H1429" s="6" t="s">
        <v>2082</v>
      </c>
    </row>
    <row r="1430" spans="1:8">
      <c r="A1430" s="1">
        <v>1438</v>
      </c>
      <c r="B1430" s="2" t="s">
        <v>2093</v>
      </c>
      <c r="C1430" s="3">
        <v>38947</v>
      </c>
      <c r="D1430" s="4">
        <f>YEAR(Table1[[#This Row],[Date]])</f>
        <v>2006</v>
      </c>
      <c r="E1430" s="2" t="s">
        <v>2097</v>
      </c>
      <c r="F1430" s="4">
        <v>10</v>
      </c>
      <c r="G1430" s="5">
        <v>31.667217946817743</v>
      </c>
      <c r="H1430" s="6" t="s">
        <v>2086</v>
      </c>
    </row>
    <row r="1431" spans="1:8">
      <c r="A1431" s="1">
        <v>1439</v>
      </c>
      <c r="B1431" s="2" t="s">
        <v>2095</v>
      </c>
      <c r="C1431" s="3">
        <v>38529</v>
      </c>
      <c r="D1431" s="4">
        <f>YEAR(Table1[[#This Row],[Date]])</f>
        <v>2005</v>
      </c>
      <c r="E1431" s="2" t="s">
        <v>2085</v>
      </c>
      <c r="F1431" s="4">
        <v>15</v>
      </c>
      <c r="G1431" s="5">
        <v>46.477551483409364</v>
      </c>
      <c r="H1431" s="6" t="s">
        <v>2086</v>
      </c>
    </row>
    <row r="1432" spans="1:8">
      <c r="A1432" s="1">
        <v>1440</v>
      </c>
      <c r="B1432" s="2" t="s">
        <v>2087</v>
      </c>
      <c r="C1432" s="3">
        <v>38529</v>
      </c>
      <c r="D1432" s="4">
        <f>YEAR(Table1[[#This Row],[Date]])</f>
        <v>2005</v>
      </c>
      <c r="E1432" s="2" t="s">
        <v>2088</v>
      </c>
      <c r="F1432" s="4">
        <v>0</v>
      </c>
      <c r="G1432" s="5">
        <v>2.1309055922780948</v>
      </c>
      <c r="H1432" s="6" t="s">
        <v>2082</v>
      </c>
    </row>
    <row r="1433" spans="1:8">
      <c r="A1433" s="1">
        <v>1441</v>
      </c>
      <c r="B1433" s="2" t="s">
        <v>2091</v>
      </c>
      <c r="C1433" s="3">
        <v>38793</v>
      </c>
      <c r="D1433" s="4">
        <f>YEAR(Table1[[#This Row],[Date]])</f>
        <v>2006</v>
      </c>
      <c r="E1433" s="2" t="s">
        <v>2085</v>
      </c>
      <c r="F1433" s="4">
        <v>93</v>
      </c>
      <c r="G1433" s="5">
        <v>280.90891395594838</v>
      </c>
      <c r="H1433" s="6" t="s">
        <v>2096</v>
      </c>
    </row>
    <row r="1434" spans="1:8">
      <c r="A1434" s="1">
        <v>1442</v>
      </c>
      <c r="B1434" s="2" t="s">
        <v>2084</v>
      </c>
      <c r="C1434" s="3">
        <v>38738</v>
      </c>
      <c r="D1434" s="4">
        <f>YEAR(Table1[[#This Row],[Date]])</f>
        <v>2006</v>
      </c>
      <c r="E1434" s="2" t="s">
        <v>2085</v>
      </c>
      <c r="F1434" s="4">
        <v>57</v>
      </c>
      <c r="G1434" s="5">
        <v>172.62177980113168</v>
      </c>
      <c r="H1434" s="6" t="s">
        <v>2090</v>
      </c>
    </row>
    <row r="1435" spans="1:8">
      <c r="A1435" s="1">
        <v>1443</v>
      </c>
      <c r="B1435" s="2" t="s">
        <v>2095</v>
      </c>
      <c r="C1435" s="3">
        <v>38254</v>
      </c>
      <c r="D1435" s="4">
        <f>YEAR(Table1[[#This Row],[Date]])</f>
        <v>2004</v>
      </c>
      <c r="E1435" s="2" t="s">
        <v>2081</v>
      </c>
      <c r="F1435" s="4">
        <v>69</v>
      </c>
      <c r="G1435" s="5">
        <v>208.76551379204989</v>
      </c>
      <c r="H1435" s="6" t="s">
        <v>2090</v>
      </c>
    </row>
    <row r="1436" spans="1:8">
      <c r="A1436" s="1">
        <v>1444</v>
      </c>
      <c r="B1436" s="2" t="s">
        <v>2100</v>
      </c>
      <c r="C1436" s="3">
        <v>38716</v>
      </c>
      <c r="D1436" s="4">
        <f>YEAR(Table1[[#This Row],[Date]])</f>
        <v>2005</v>
      </c>
      <c r="E1436" s="2" t="s">
        <v>2085</v>
      </c>
      <c r="F1436" s="4">
        <v>53</v>
      </c>
      <c r="G1436" s="5">
        <v>161.64817183248223</v>
      </c>
      <c r="H1436" s="6" t="s">
        <v>2082</v>
      </c>
    </row>
    <row r="1437" spans="1:8">
      <c r="A1437" s="1">
        <v>1445</v>
      </c>
      <c r="B1437" s="2" t="s">
        <v>2087</v>
      </c>
      <c r="C1437" s="3">
        <v>39013</v>
      </c>
      <c r="D1437" s="4">
        <f>YEAR(Table1[[#This Row],[Date]])</f>
        <v>2006</v>
      </c>
      <c r="E1437" s="2" t="s">
        <v>2088</v>
      </c>
      <c r="F1437" s="4">
        <v>67</v>
      </c>
      <c r="G1437" s="5">
        <v>203.5655299819017</v>
      </c>
      <c r="H1437" s="6" t="s">
        <v>2082</v>
      </c>
    </row>
    <row r="1438" spans="1:8">
      <c r="A1438" s="1">
        <v>1446</v>
      </c>
      <c r="B1438" s="2" t="s">
        <v>2100</v>
      </c>
      <c r="C1438" s="3">
        <v>38078</v>
      </c>
      <c r="D1438" s="4">
        <f>YEAR(Table1[[#This Row],[Date]])</f>
        <v>2004</v>
      </c>
      <c r="E1438" s="2" t="s">
        <v>2094</v>
      </c>
      <c r="F1438" s="4">
        <v>23</v>
      </c>
      <c r="G1438" s="5">
        <v>70.708152765050201</v>
      </c>
      <c r="H1438" s="6" t="s">
        <v>2096</v>
      </c>
    </row>
    <row r="1439" spans="1:8">
      <c r="A1439" s="1">
        <v>1447</v>
      </c>
      <c r="B1439" s="2" t="s">
        <v>2093</v>
      </c>
      <c r="C1439" s="3">
        <v>38155</v>
      </c>
      <c r="D1439" s="4">
        <f>YEAR(Table1[[#This Row],[Date]])</f>
        <v>2004</v>
      </c>
      <c r="E1439" s="2" t="s">
        <v>2097</v>
      </c>
      <c r="F1439" s="4">
        <v>43</v>
      </c>
      <c r="G1439" s="5">
        <v>131.16019141346013</v>
      </c>
      <c r="H1439" s="6" t="s">
        <v>2090</v>
      </c>
    </row>
    <row r="1440" spans="1:8">
      <c r="A1440" s="1">
        <v>1448</v>
      </c>
      <c r="B1440" s="2" t="s">
        <v>2099</v>
      </c>
      <c r="C1440" s="3">
        <v>39013</v>
      </c>
      <c r="D1440" s="4">
        <f>YEAR(Table1[[#This Row],[Date]])</f>
        <v>2006</v>
      </c>
      <c r="E1440" s="2" t="s">
        <v>2081</v>
      </c>
      <c r="F1440" s="4">
        <v>69</v>
      </c>
      <c r="G1440" s="5">
        <v>209.39515625574666</v>
      </c>
      <c r="H1440" s="6" t="s">
        <v>2090</v>
      </c>
    </row>
    <row r="1441" spans="1:8">
      <c r="A1441" s="1">
        <v>1449</v>
      </c>
      <c r="B1441" s="2" t="s">
        <v>2084</v>
      </c>
      <c r="C1441" s="3">
        <v>38991</v>
      </c>
      <c r="D1441" s="4">
        <f>YEAR(Table1[[#This Row],[Date]])</f>
        <v>2006</v>
      </c>
      <c r="E1441" s="2" t="s">
        <v>2088</v>
      </c>
      <c r="F1441" s="4">
        <v>45</v>
      </c>
      <c r="G1441" s="5">
        <v>136.50342219375273</v>
      </c>
      <c r="H1441" s="6" t="s">
        <v>2086</v>
      </c>
    </row>
    <row r="1442" spans="1:8">
      <c r="A1442" s="1">
        <v>1450</v>
      </c>
      <c r="B1442" s="2" t="s">
        <v>2091</v>
      </c>
      <c r="C1442" s="3">
        <v>38661</v>
      </c>
      <c r="D1442" s="4">
        <f>YEAR(Table1[[#This Row],[Date]])</f>
        <v>2005</v>
      </c>
      <c r="E1442" s="2" t="s">
        <v>2094</v>
      </c>
      <c r="F1442" s="4">
        <v>70</v>
      </c>
      <c r="G1442" s="5">
        <v>211.70097135907523</v>
      </c>
      <c r="H1442" s="6" t="s">
        <v>2090</v>
      </c>
    </row>
    <row r="1443" spans="1:8">
      <c r="A1443" s="1">
        <v>1451</v>
      </c>
      <c r="B1443" s="2" t="s">
        <v>2093</v>
      </c>
      <c r="C1443" s="3">
        <v>39013</v>
      </c>
      <c r="D1443" s="4">
        <f>YEAR(Table1[[#This Row],[Date]])</f>
        <v>2006</v>
      </c>
      <c r="E1443" s="2" t="s">
        <v>2097</v>
      </c>
      <c r="F1443" s="4">
        <v>91</v>
      </c>
      <c r="G1443" s="5">
        <v>274.50140154950032</v>
      </c>
      <c r="H1443" s="6" t="s">
        <v>2096</v>
      </c>
    </row>
    <row r="1444" spans="1:8">
      <c r="A1444" s="1">
        <v>1452</v>
      </c>
      <c r="B1444" s="2" t="s">
        <v>2098</v>
      </c>
      <c r="C1444" s="3">
        <v>39068</v>
      </c>
      <c r="D1444" s="4">
        <f>YEAR(Table1[[#This Row],[Date]])</f>
        <v>2006</v>
      </c>
      <c r="E1444" s="2" t="s">
        <v>2097</v>
      </c>
      <c r="F1444" s="4">
        <v>33</v>
      </c>
      <c r="G1444" s="5">
        <v>100.48140496751634</v>
      </c>
      <c r="H1444" s="6" t="s">
        <v>2086</v>
      </c>
    </row>
    <row r="1445" spans="1:8">
      <c r="A1445" s="1">
        <v>1453</v>
      </c>
      <c r="B1445" s="2" t="s">
        <v>2093</v>
      </c>
      <c r="C1445" s="3">
        <v>38936</v>
      </c>
      <c r="D1445" s="4">
        <f>YEAR(Table1[[#This Row],[Date]])</f>
        <v>2006</v>
      </c>
      <c r="E1445" s="2" t="s">
        <v>2085</v>
      </c>
      <c r="F1445" s="4">
        <v>90</v>
      </c>
      <c r="G1445" s="5">
        <v>272.35779457225038</v>
      </c>
      <c r="H1445" s="6" t="s">
        <v>2086</v>
      </c>
    </row>
    <row r="1446" spans="1:8">
      <c r="A1446" s="1">
        <v>1454</v>
      </c>
      <c r="B1446" s="2" t="s">
        <v>2093</v>
      </c>
      <c r="C1446" s="3">
        <v>38342</v>
      </c>
      <c r="D1446" s="4">
        <f>YEAR(Table1[[#This Row],[Date]])</f>
        <v>2004</v>
      </c>
      <c r="E1446" s="2" t="s">
        <v>2097</v>
      </c>
      <c r="F1446" s="4">
        <v>17</v>
      </c>
      <c r="G1446" s="5">
        <v>52.516260583580817</v>
      </c>
      <c r="H1446" s="6" t="s">
        <v>2096</v>
      </c>
    </row>
    <row r="1447" spans="1:8">
      <c r="A1447" s="1">
        <v>1455</v>
      </c>
      <c r="B1447" s="2" t="s">
        <v>2091</v>
      </c>
      <c r="C1447" s="3">
        <v>38199</v>
      </c>
      <c r="D1447" s="4">
        <f>YEAR(Table1[[#This Row],[Date]])</f>
        <v>2004</v>
      </c>
      <c r="E1447" s="2" t="s">
        <v>2094</v>
      </c>
      <c r="F1447" s="4">
        <v>7</v>
      </c>
      <c r="G1447" s="5">
        <v>18.916737992903691</v>
      </c>
      <c r="H1447" s="6" t="s">
        <v>2096</v>
      </c>
    </row>
    <row r="1448" spans="1:8">
      <c r="A1448" s="1">
        <v>1456</v>
      </c>
      <c r="B1448" s="2" t="s">
        <v>2087</v>
      </c>
      <c r="C1448" s="3">
        <v>38232</v>
      </c>
      <c r="D1448" s="4">
        <f>YEAR(Table1[[#This Row],[Date]])</f>
        <v>2004</v>
      </c>
      <c r="E1448" s="2" t="s">
        <v>2097</v>
      </c>
      <c r="F1448" s="4">
        <v>21</v>
      </c>
      <c r="G1448" s="5">
        <v>64.912642276982112</v>
      </c>
      <c r="H1448" s="6" t="s">
        <v>2090</v>
      </c>
    </row>
    <row r="1449" spans="1:8">
      <c r="A1449" s="1">
        <v>1457</v>
      </c>
      <c r="B1449" s="2" t="s">
        <v>2099</v>
      </c>
      <c r="C1449" s="3">
        <v>38573</v>
      </c>
      <c r="D1449" s="4">
        <f>YEAR(Table1[[#This Row],[Date]])</f>
        <v>2005</v>
      </c>
      <c r="E1449" s="2" t="s">
        <v>2085</v>
      </c>
      <c r="F1449" s="4">
        <v>14</v>
      </c>
      <c r="G1449" s="5">
        <v>44.327818174178198</v>
      </c>
      <c r="H1449" s="6" t="s">
        <v>2086</v>
      </c>
    </row>
    <row r="1450" spans="1:8">
      <c r="A1450" s="1">
        <v>1458</v>
      </c>
      <c r="B1450" s="2" t="s">
        <v>2091</v>
      </c>
      <c r="C1450" s="3">
        <v>38826</v>
      </c>
      <c r="D1450" s="4">
        <f>YEAR(Table1[[#This Row],[Date]])</f>
        <v>2006</v>
      </c>
      <c r="E1450" s="2" t="s">
        <v>2088</v>
      </c>
      <c r="F1450" s="4">
        <v>84</v>
      </c>
      <c r="G1450" s="5">
        <v>254.27232164491826</v>
      </c>
      <c r="H1450" s="6" t="s">
        <v>2096</v>
      </c>
    </row>
    <row r="1451" spans="1:8">
      <c r="A1451" s="1">
        <v>1459</v>
      </c>
      <c r="B1451" s="2" t="s">
        <v>2095</v>
      </c>
      <c r="C1451" s="3">
        <v>38738</v>
      </c>
      <c r="D1451" s="4">
        <f>YEAR(Table1[[#This Row],[Date]])</f>
        <v>2006</v>
      </c>
      <c r="E1451" s="2" t="s">
        <v>2088</v>
      </c>
      <c r="F1451" s="4">
        <v>92</v>
      </c>
      <c r="G1451" s="5">
        <v>278.12892270091868</v>
      </c>
      <c r="H1451" s="6" t="s">
        <v>2090</v>
      </c>
    </row>
    <row r="1452" spans="1:8">
      <c r="A1452" s="1">
        <v>1460</v>
      </c>
      <c r="B1452" s="2" t="s">
        <v>2091</v>
      </c>
      <c r="C1452" s="3">
        <v>39013</v>
      </c>
      <c r="D1452" s="4">
        <f>YEAR(Table1[[#This Row],[Date]])</f>
        <v>2006</v>
      </c>
      <c r="E1452" s="2" t="s">
        <v>2081</v>
      </c>
      <c r="F1452" s="4">
        <v>1</v>
      </c>
      <c r="G1452" s="5">
        <v>0.12859943512322669</v>
      </c>
      <c r="H1452" s="6" t="s">
        <v>2090</v>
      </c>
    </row>
    <row r="1453" spans="1:8">
      <c r="A1453" s="1">
        <v>1461</v>
      </c>
      <c r="B1453" s="2" t="s">
        <v>2091</v>
      </c>
      <c r="C1453" s="3">
        <v>38485</v>
      </c>
      <c r="D1453" s="4">
        <f>YEAR(Table1[[#This Row],[Date]])</f>
        <v>2005</v>
      </c>
      <c r="E1453" s="2" t="s">
        <v>2081</v>
      </c>
      <c r="F1453" s="4">
        <v>73</v>
      </c>
      <c r="G1453" s="5">
        <v>222.08676582590357</v>
      </c>
      <c r="H1453" s="6" t="s">
        <v>2082</v>
      </c>
    </row>
    <row r="1454" spans="1:8">
      <c r="A1454" s="1">
        <v>1462</v>
      </c>
      <c r="B1454" s="2" t="s">
        <v>2100</v>
      </c>
      <c r="C1454" s="3">
        <v>38727</v>
      </c>
      <c r="D1454" s="4">
        <f>YEAR(Table1[[#This Row],[Date]])</f>
        <v>2006</v>
      </c>
      <c r="E1454" s="2" t="s">
        <v>2085</v>
      </c>
      <c r="F1454" s="4">
        <v>48</v>
      </c>
      <c r="G1454" s="5">
        <v>146.42108275927566</v>
      </c>
      <c r="H1454" s="6" t="s">
        <v>2096</v>
      </c>
    </row>
    <row r="1455" spans="1:8">
      <c r="A1455" s="1">
        <v>1463</v>
      </c>
      <c r="B1455" s="2" t="s">
        <v>2100</v>
      </c>
      <c r="C1455" s="3">
        <v>38331</v>
      </c>
      <c r="D1455" s="4">
        <f>YEAR(Table1[[#This Row],[Date]])</f>
        <v>2004</v>
      </c>
      <c r="E1455" s="2" t="s">
        <v>2094</v>
      </c>
      <c r="F1455" s="4">
        <v>72</v>
      </c>
      <c r="G1455" s="5">
        <v>217.08233008534265</v>
      </c>
      <c r="H1455" s="6" t="s">
        <v>2082</v>
      </c>
    </row>
    <row r="1456" spans="1:8">
      <c r="A1456" s="1">
        <v>1464</v>
      </c>
      <c r="B1456" s="2" t="s">
        <v>2080</v>
      </c>
      <c r="C1456" s="3">
        <v>38903</v>
      </c>
      <c r="D1456" s="4">
        <f>YEAR(Table1[[#This Row],[Date]])</f>
        <v>2006</v>
      </c>
      <c r="E1456" s="2" t="s">
        <v>2085</v>
      </c>
      <c r="F1456" s="4">
        <v>42</v>
      </c>
      <c r="G1456" s="5">
        <v>127.6087139856683</v>
      </c>
      <c r="H1456" s="6" t="s">
        <v>2096</v>
      </c>
    </row>
    <row r="1457" spans="1:8">
      <c r="A1457" s="1">
        <v>1465</v>
      </c>
      <c r="B1457" s="2" t="s">
        <v>2091</v>
      </c>
      <c r="C1457" s="3">
        <v>38342</v>
      </c>
      <c r="D1457" s="4">
        <f>YEAR(Table1[[#This Row],[Date]])</f>
        <v>2004</v>
      </c>
      <c r="E1457" s="2" t="s">
        <v>2085</v>
      </c>
      <c r="F1457" s="4">
        <v>80</v>
      </c>
      <c r="G1457" s="5">
        <v>242.20754620036109</v>
      </c>
      <c r="H1457" s="6" t="s">
        <v>2090</v>
      </c>
    </row>
    <row r="1458" spans="1:8">
      <c r="A1458" s="1">
        <v>1466</v>
      </c>
      <c r="B1458" s="2" t="s">
        <v>2091</v>
      </c>
      <c r="C1458" s="3">
        <v>38595</v>
      </c>
      <c r="D1458" s="4">
        <f>YEAR(Table1[[#This Row],[Date]])</f>
        <v>2005</v>
      </c>
      <c r="E1458" s="2" t="s">
        <v>2085</v>
      </c>
      <c r="F1458" s="4">
        <v>56</v>
      </c>
      <c r="G1458" s="5">
        <v>170.85558875726406</v>
      </c>
      <c r="H1458" s="6" t="s">
        <v>2082</v>
      </c>
    </row>
    <row r="1459" spans="1:8">
      <c r="A1459" s="1">
        <v>1467</v>
      </c>
      <c r="B1459" s="2" t="s">
        <v>2099</v>
      </c>
      <c r="C1459" s="3">
        <v>38012</v>
      </c>
      <c r="D1459" s="4">
        <f>YEAR(Table1[[#This Row],[Date]])</f>
        <v>2004</v>
      </c>
      <c r="E1459" s="2" t="s">
        <v>2097</v>
      </c>
      <c r="F1459" s="4">
        <v>46</v>
      </c>
      <c r="G1459" s="5">
        <v>140.57686436306247</v>
      </c>
      <c r="H1459" s="6" t="s">
        <v>2096</v>
      </c>
    </row>
    <row r="1460" spans="1:8">
      <c r="A1460" s="1">
        <v>1468</v>
      </c>
      <c r="B1460" s="2" t="s">
        <v>2080</v>
      </c>
      <c r="C1460" s="3">
        <v>38870</v>
      </c>
      <c r="D1460" s="4">
        <f>YEAR(Table1[[#This Row],[Date]])</f>
        <v>2006</v>
      </c>
      <c r="E1460" s="2" t="s">
        <v>2094</v>
      </c>
      <c r="F1460" s="4">
        <v>45</v>
      </c>
      <c r="G1460" s="5">
        <v>136.77216386728932</v>
      </c>
      <c r="H1460" s="6" t="s">
        <v>2090</v>
      </c>
    </row>
    <row r="1461" spans="1:8">
      <c r="A1461" s="1">
        <v>1469</v>
      </c>
      <c r="B1461" s="2" t="s">
        <v>2087</v>
      </c>
      <c r="C1461" s="3">
        <v>38507</v>
      </c>
      <c r="D1461" s="4">
        <f>YEAR(Table1[[#This Row],[Date]])</f>
        <v>2005</v>
      </c>
      <c r="E1461" s="2" t="s">
        <v>2085</v>
      </c>
      <c r="F1461" s="4">
        <v>53</v>
      </c>
      <c r="G1461" s="5">
        <v>160.40163840433979</v>
      </c>
      <c r="H1461" s="6" t="s">
        <v>2096</v>
      </c>
    </row>
    <row r="1462" spans="1:8">
      <c r="A1462" s="1">
        <v>1470</v>
      </c>
      <c r="B1462" s="2" t="s">
        <v>2087</v>
      </c>
      <c r="C1462" s="3">
        <v>38628</v>
      </c>
      <c r="D1462" s="4">
        <f>YEAR(Table1[[#This Row],[Date]])</f>
        <v>2005</v>
      </c>
      <c r="E1462" s="2" t="s">
        <v>2094</v>
      </c>
      <c r="F1462" s="4">
        <v>51</v>
      </c>
      <c r="G1462" s="5">
        <v>155.05152823672236</v>
      </c>
      <c r="H1462" s="6" t="s">
        <v>2090</v>
      </c>
    </row>
    <row r="1463" spans="1:8">
      <c r="A1463" s="1">
        <v>1471</v>
      </c>
      <c r="B1463" s="2" t="s">
        <v>2095</v>
      </c>
      <c r="C1463" s="3">
        <v>38705</v>
      </c>
      <c r="D1463" s="4">
        <f>YEAR(Table1[[#This Row],[Date]])</f>
        <v>2005</v>
      </c>
      <c r="E1463" s="2" t="s">
        <v>2097</v>
      </c>
      <c r="F1463" s="4">
        <v>64</v>
      </c>
      <c r="G1463" s="5">
        <v>193.29903203964747</v>
      </c>
      <c r="H1463" s="6" t="s">
        <v>2096</v>
      </c>
    </row>
    <row r="1464" spans="1:8">
      <c r="A1464" s="1">
        <v>1472</v>
      </c>
      <c r="B1464" s="2" t="s">
        <v>2080</v>
      </c>
      <c r="C1464" s="3">
        <v>38298</v>
      </c>
      <c r="D1464" s="4">
        <f>YEAR(Table1[[#This Row],[Date]])</f>
        <v>2004</v>
      </c>
      <c r="E1464" s="2" t="s">
        <v>2094</v>
      </c>
      <c r="F1464" s="4">
        <v>15</v>
      </c>
      <c r="G1464" s="5">
        <v>47.086660569111189</v>
      </c>
      <c r="H1464" s="6" t="s">
        <v>2090</v>
      </c>
    </row>
    <row r="1465" spans="1:8">
      <c r="A1465" s="1">
        <v>1473</v>
      </c>
      <c r="B1465" s="2" t="s">
        <v>2091</v>
      </c>
      <c r="C1465" s="3">
        <v>38078</v>
      </c>
      <c r="D1465" s="4">
        <f>YEAR(Table1[[#This Row],[Date]])</f>
        <v>2004</v>
      </c>
      <c r="E1465" s="2" t="s">
        <v>2088</v>
      </c>
      <c r="F1465" s="4">
        <v>33</v>
      </c>
      <c r="G1465" s="5">
        <v>101.69988655484008</v>
      </c>
      <c r="H1465" s="6" t="s">
        <v>2096</v>
      </c>
    </row>
    <row r="1466" spans="1:8">
      <c r="A1466" s="1">
        <v>1474</v>
      </c>
      <c r="B1466" s="2" t="s">
        <v>2098</v>
      </c>
      <c r="C1466" s="3">
        <v>38848</v>
      </c>
      <c r="D1466" s="4">
        <f>YEAR(Table1[[#This Row],[Date]])</f>
        <v>2006</v>
      </c>
      <c r="E1466" s="2" t="s">
        <v>2094</v>
      </c>
      <c r="F1466" s="4">
        <v>31</v>
      </c>
      <c r="G1466" s="5">
        <v>95.050667546988379</v>
      </c>
      <c r="H1466" s="6" t="s">
        <v>2090</v>
      </c>
    </row>
    <row r="1467" spans="1:8">
      <c r="A1467" s="1">
        <v>1475</v>
      </c>
      <c r="B1467" s="2" t="s">
        <v>2087</v>
      </c>
      <c r="C1467" s="3">
        <v>38705</v>
      </c>
      <c r="D1467" s="4">
        <f>YEAR(Table1[[#This Row],[Date]])</f>
        <v>2005</v>
      </c>
      <c r="E1467" s="2" t="s">
        <v>2088</v>
      </c>
      <c r="F1467" s="4">
        <v>51</v>
      </c>
      <c r="G1467" s="5">
        <v>155.18472828999515</v>
      </c>
      <c r="H1467" s="6" t="s">
        <v>2096</v>
      </c>
    </row>
    <row r="1468" spans="1:8">
      <c r="A1468" s="1">
        <v>1476</v>
      </c>
      <c r="B1468" s="2" t="s">
        <v>2095</v>
      </c>
      <c r="C1468" s="3">
        <v>38947</v>
      </c>
      <c r="D1468" s="4">
        <f>YEAR(Table1[[#This Row],[Date]])</f>
        <v>2006</v>
      </c>
      <c r="E1468" s="2" t="s">
        <v>2085</v>
      </c>
      <c r="F1468" s="4">
        <v>7</v>
      </c>
      <c r="G1468" s="5">
        <v>18.636086701073594</v>
      </c>
      <c r="H1468" s="6" t="s">
        <v>2096</v>
      </c>
    </row>
    <row r="1469" spans="1:8">
      <c r="A1469" s="1">
        <v>1477</v>
      </c>
      <c r="B1469" s="2" t="s">
        <v>2087</v>
      </c>
      <c r="C1469" s="3">
        <v>38485</v>
      </c>
      <c r="D1469" s="4">
        <f>YEAR(Table1[[#This Row],[Date]])</f>
        <v>2005</v>
      </c>
      <c r="E1469" s="2" t="s">
        <v>2094</v>
      </c>
      <c r="F1469" s="4">
        <v>37</v>
      </c>
      <c r="G1469" s="5">
        <v>112.07406400171799</v>
      </c>
      <c r="H1469" s="6" t="s">
        <v>2096</v>
      </c>
    </row>
    <row r="1470" spans="1:8">
      <c r="A1470" s="1">
        <v>1478</v>
      </c>
      <c r="B1470" s="2" t="s">
        <v>2080</v>
      </c>
      <c r="C1470" s="3">
        <v>38518</v>
      </c>
      <c r="D1470" s="4">
        <f>YEAR(Table1[[#This Row],[Date]])</f>
        <v>2005</v>
      </c>
      <c r="E1470" s="2" t="s">
        <v>2085</v>
      </c>
      <c r="F1470" s="4">
        <v>43</v>
      </c>
      <c r="G1470" s="5">
        <v>130.97379554914517</v>
      </c>
      <c r="H1470" s="6" t="s">
        <v>2082</v>
      </c>
    </row>
    <row r="1471" spans="1:8">
      <c r="A1471" s="1">
        <v>1479</v>
      </c>
      <c r="B1471" s="2" t="s">
        <v>2100</v>
      </c>
      <c r="C1471" s="3">
        <v>38859</v>
      </c>
      <c r="D1471" s="4">
        <f>YEAR(Table1[[#This Row],[Date]])</f>
        <v>2006</v>
      </c>
      <c r="E1471" s="2" t="s">
        <v>2097</v>
      </c>
      <c r="F1471" s="4">
        <v>63</v>
      </c>
      <c r="G1471" s="5">
        <v>190.69209828626822</v>
      </c>
      <c r="H1471" s="6" t="s">
        <v>2082</v>
      </c>
    </row>
    <row r="1472" spans="1:8">
      <c r="A1472" s="1">
        <v>1480</v>
      </c>
      <c r="B1472" s="2" t="s">
        <v>2093</v>
      </c>
      <c r="C1472" s="3">
        <v>38177</v>
      </c>
      <c r="D1472" s="4">
        <f>YEAR(Table1[[#This Row],[Date]])</f>
        <v>2004</v>
      </c>
      <c r="E1472" s="2" t="s">
        <v>2094</v>
      </c>
      <c r="F1472" s="4">
        <v>29</v>
      </c>
      <c r="G1472" s="5">
        <v>89.589016206328608</v>
      </c>
      <c r="H1472" s="6" t="s">
        <v>2090</v>
      </c>
    </row>
    <row r="1473" spans="1:8">
      <c r="A1473" s="1">
        <v>1481</v>
      </c>
      <c r="B1473" s="2" t="s">
        <v>2100</v>
      </c>
      <c r="C1473" s="3">
        <v>38694</v>
      </c>
      <c r="D1473" s="4">
        <f>YEAR(Table1[[#This Row],[Date]])</f>
        <v>2005</v>
      </c>
      <c r="E1473" s="2" t="s">
        <v>2097</v>
      </c>
      <c r="F1473" s="4">
        <v>20</v>
      </c>
      <c r="G1473" s="5">
        <v>61.944091716082518</v>
      </c>
      <c r="H1473" s="6" t="s">
        <v>2086</v>
      </c>
    </row>
    <row r="1474" spans="1:8">
      <c r="A1474" s="1">
        <v>1482</v>
      </c>
      <c r="B1474" s="2" t="s">
        <v>2098</v>
      </c>
      <c r="C1474" s="3">
        <v>38804</v>
      </c>
      <c r="D1474" s="4">
        <f>YEAR(Table1[[#This Row],[Date]])</f>
        <v>2006</v>
      </c>
      <c r="E1474" s="2" t="s">
        <v>2094</v>
      </c>
      <c r="F1474" s="4">
        <v>48</v>
      </c>
      <c r="G1474" s="5">
        <v>146.44223986116381</v>
      </c>
      <c r="H1474" s="6" t="s">
        <v>2090</v>
      </c>
    </row>
    <row r="1475" spans="1:8">
      <c r="A1475" s="1">
        <v>1483</v>
      </c>
      <c r="B1475" s="2" t="s">
        <v>2080</v>
      </c>
      <c r="C1475" s="3">
        <v>38562</v>
      </c>
      <c r="D1475" s="4">
        <f>YEAR(Table1[[#This Row],[Date]])</f>
        <v>2005</v>
      </c>
      <c r="E1475" s="2" t="s">
        <v>2094</v>
      </c>
      <c r="F1475" s="4">
        <v>94</v>
      </c>
      <c r="G1475" s="5">
        <v>284.30651580761617</v>
      </c>
      <c r="H1475" s="6" t="s">
        <v>2086</v>
      </c>
    </row>
    <row r="1476" spans="1:8">
      <c r="A1476" s="1">
        <v>1484</v>
      </c>
      <c r="B1476" s="2" t="s">
        <v>2080</v>
      </c>
      <c r="C1476" s="3">
        <v>38969</v>
      </c>
      <c r="D1476" s="4">
        <f>YEAR(Table1[[#This Row],[Date]])</f>
        <v>2006</v>
      </c>
      <c r="E1476" s="2" t="s">
        <v>2085</v>
      </c>
      <c r="F1476" s="4">
        <v>41</v>
      </c>
      <c r="G1476" s="5">
        <v>124.88343538167078</v>
      </c>
      <c r="H1476" s="6" t="s">
        <v>2086</v>
      </c>
    </row>
    <row r="1477" spans="1:8">
      <c r="A1477" s="1">
        <v>1485</v>
      </c>
      <c r="B1477" s="2" t="s">
        <v>2080</v>
      </c>
      <c r="C1477" s="3">
        <v>38375</v>
      </c>
      <c r="D1477" s="4">
        <f>YEAR(Table1[[#This Row],[Date]])</f>
        <v>2005</v>
      </c>
      <c r="E1477" s="2" t="s">
        <v>2094</v>
      </c>
      <c r="F1477" s="4">
        <v>45</v>
      </c>
      <c r="G1477" s="5">
        <v>137.54620754134569</v>
      </c>
      <c r="H1477" s="6" t="s">
        <v>2082</v>
      </c>
    </row>
    <row r="1478" spans="1:8">
      <c r="A1478" s="1">
        <v>1486</v>
      </c>
      <c r="B1478" s="2" t="s">
        <v>2099</v>
      </c>
      <c r="C1478" s="3">
        <v>38485</v>
      </c>
      <c r="D1478" s="4">
        <f>YEAR(Table1[[#This Row],[Date]])</f>
        <v>2005</v>
      </c>
      <c r="E1478" s="2" t="s">
        <v>2081</v>
      </c>
      <c r="F1478" s="4">
        <v>69</v>
      </c>
      <c r="G1478" s="5">
        <v>208.60656085319707</v>
      </c>
      <c r="H1478" s="6" t="s">
        <v>2090</v>
      </c>
    </row>
    <row r="1479" spans="1:8">
      <c r="A1479" s="1">
        <v>1487</v>
      </c>
      <c r="B1479" s="2" t="s">
        <v>2087</v>
      </c>
      <c r="C1479" s="3">
        <v>38078</v>
      </c>
      <c r="D1479" s="4">
        <f>YEAR(Table1[[#This Row],[Date]])</f>
        <v>2004</v>
      </c>
      <c r="E1479" s="2" t="s">
        <v>2097</v>
      </c>
      <c r="F1479" s="4">
        <v>48</v>
      </c>
      <c r="G1479" s="5">
        <v>146.16733998853596</v>
      </c>
      <c r="H1479" s="6" t="s">
        <v>2082</v>
      </c>
    </row>
    <row r="1480" spans="1:8">
      <c r="A1480" s="1">
        <v>1488</v>
      </c>
      <c r="B1480" s="2" t="s">
        <v>2095</v>
      </c>
      <c r="C1480" s="3">
        <v>38375</v>
      </c>
      <c r="D1480" s="4">
        <f>YEAR(Table1[[#This Row],[Date]])</f>
        <v>2005</v>
      </c>
      <c r="E1480" s="2" t="s">
        <v>2097</v>
      </c>
      <c r="F1480" s="4">
        <v>38</v>
      </c>
      <c r="G1480" s="5">
        <v>115.70319467233371</v>
      </c>
      <c r="H1480" s="6" t="s">
        <v>2090</v>
      </c>
    </row>
    <row r="1481" spans="1:8">
      <c r="A1481" s="1">
        <v>1489</v>
      </c>
      <c r="B1481" s="2" t="s">
        <v>2080</v>
      </c>
      <c r="C1481" s="3">
        <v>38738</v>
      </c>
      <c r="D1481" s="4">
        <f>YEAR(Table1[[#This Row],[Date]])</f>
        <v>2006</v>
      </c>
      <c r="E1481" s="2" t="s">
        <v>2081</v>
      </c>
      <c r="F1481" s="4">
        <v>49</v>
      </c>
      <c r="G1481" s="5">
        <v>149.11052069470631</v>
      </c>
      <c r="H1481" s="6" t="s">
        <v>2082</v>
      </c>
    </row>
    <row r="1482" spans="1:8">
      <c r="A1482" s="1">
        <v>1490</v>
      </c>
      <c r="B1482" s="2" t="s">
        <v>2093</v>
      </c>
      <c r="C1482" s="3">
        <v>38232</v>
      </c>
      <c r="D1482" s="4">
        <f>YEAR(Table1[[#This Row],[Date]])</f>
        <v>2004</v>
      </c>
      <c r="E1482" s="2" t="s">
        <v>2085</v>
      </c>
      <c r="F1482" s="4">
        <v>79</v>
      </c>
      <c r="G1482" s="5">
        <v>239.15028034352162</v>
      </c>
      <c r="H1482" s="6" t="s">
        <v>2090</v>
      </c>
    </row>
    <row r="1483" spans="1:8">
      <c r="A1483" s="1">
        <v>1491</v>
      </c>
      <c r="B1483" s="2" t="s">
        <v>2087</v>
      </c>
      <c r="C1483" s="3">
        <v>38551</v>
      </c>
      <c r="D1483" s="4">
        <f>YEAR(Table1[[#This Row],[Date]])</f>
        <v>2005</v>
      </c>
      <c r="E1483" s="2" t="s">
        <v>2085</v>
      </c>
      <c r="F1483" s="4">
        <v>93</v>
      </c>
      <c r="G1483" s="5">
        <v>281.34133684394243</v>
      </c>
      <c r="H1483" s="6" t="s">
        <v>2082</v>
      </c>
    </row>
    <row r="1484" spans="1:8">
      <c r="A1484" s="1">
        <v>1492</v>
      </c>
      <c r="B1484" s="2" t="s">
        <v>2093</v>
      </c>
      <c r="C1484" s="3">
        <v>38342</v>
      </c>
      <c r="D1484" s="4">
        <f>YEAR(Table1[[#This Row],[Date]])</f>
        <v>2004</v>
      </c>
      <c r="E1484" s="2" t="s">
        <v>2085</v>
      </c>
      <c r="F1484" s="4">
        <v>67</v>
      </c>
      <c r="G1484" s="5">
        <v>202.43601829550036</v>
      </c>
      <c r="H1484" s="6" t="s">
        <v>2090</v>
      </c>
    </row>
    <row r="1485" spans="1:8">
      <c r="A1485" s="1">
        <v>1493</v>
      </c>
      <c r="B1485" s="2" t="s">
        <v>2080</v>
      </c>
      <c r="C1485" s="3">
        <v>38859</v>
      </c>
      <c r="D1485" s="4">
        <f>YEAR(Table1[[#This Row],[Date]])</f>
        <v>2006</v>
      </c>
      <c r="E1485" s="2" t="s">
        <v>2085</v>
      </c>
      <c r="F1485" s="4">
        <v>13</v>
      </c>
      <c r="G1485" s="5">
        <v>41.318769528122459</v>
      </c>
      <c r="H1485" s="6" t="s">
        <v>2096</v>
      </c>
    </row>
    <row r="1486" spans="1:8">
      <c r="A1486" s="1">
        <v>1494</v>
      </c>
      <c r="B1486" s="2" t="s">
        <v>2087</v>
      </c>
      <c r="C1486" s="3">
        <v>38639</v>
      </c>
      <c r="D1486" s="4">
        <f>YEAR(Table1[[#This Row],[Date]])</f>
        <v>2005</v>
      </c>
      <c r="E1486" s="2" t="s">
        <v>2081</v>
      </c>
      <c r="F1486" s="4">
        <v>71</v>
      </c>
      <c r="G1486" s="5">
        <v>215.36222588622564</v>
      </c>
      <c r="H1486" s="6" t="s">
        <v>2090</v>
      </c>
    </row>
    <row r="1487" spans="1:8">
      <c r="A1487" s="1">
        <v>1495</v>
      </c>
      <c r="B1487" s="2" t="s">
        <v>2080</v>
      </c>
      <c r="C1487" s="3">
        <v>39013</v>
      </c>
      <c r="D1487" s="4">
        <f>YEAR(Table1[[#This Row],[Date]])</f>
        <v>2006</v>
      </c>
      <c r="E1487" s="2" t="s">
        <v>2085</v>
      </c>
      <c r="F1487" s="4">
        <v>15</v>
      </c>
      <c r="G1487" s="5">
        <v>46.386549546936031</v>
      </c>
      <c r="H1487" s="6" t="s">
        <v>2090</v>
      </c>
    </row>
    <row r="1488" spans="1:8">
      <c r="A1488" s="1">
        <v>1496</v>
      </c>
      <c r="B1488" s="2" t="s">
        <v>2091</v>
      </c>
      <c r="C1488" s="3">
        <v>38606</v>
      </c>
      <c r="D1488" s="4">
        <f>YEAR(Table1[[#This Row],[Date]])</f>
        <v>2005</v>
      </c>
      <c r="E1488" s="2" t="s">
        <v>2094</v>
      </c>
      <c r="F1488" s="4">
        <v>89</v>
      </c>
      <c r="G1488" s="5">
        <v>269.12365453676284</v>
      </c>
      <c r="H1488" s="6" t="s">
        <v>2082</v>
      </c>
    </row>
    <row r="1489" spans="1:8">
      <c r="A1489" s="1">
        <v>1497</v>
      </c>
      <c r="B1489" s="2" t="s">
        <v>2091</v>
      </c>
      <c r="C1489" s="3">
        <v>38650</v>
      </c>
      <c r="D1489" s="4">
        <f>YEAR(Table1[[#This Row],[Date]])</f>
        <v>2005</v>
      </c>
      <c r="E1489" s="2" t="s">
        <v>2097</v>
      </c>
      <c r="F1489" s="4">
        <v>65</v>
      </c>
      <c r="G1489" s="5">
        <v>197.49619907968821</v>
      </c>
      <c r="H1489" s="6" t="s">
        <v>2086</v>
      </c>
    </row>
    <row r="1490" spans="1:8">
      <c r="A1490" s="1">
        <v>1498</v>
      </c>
      <c r="B1490" s="2" t="s">
        <v>2091</v>
      </c>
      <c r="C1490" s="3">
        <v>38342</v>
      </c>
      <c r="D1490" s="4">
        <f>YEAR(Table1[[#This Row],[Date]])</f>
        <v>2004</v>
      </c>
      <c r="E1490" s="2" t="s">
        <v>2094</v>
      </c>
      <c r="F1490" s="4">
        <v>16</v>
      </c>
      <c r="G1490" s="5">
        <v>49.977621498939477</v>
      </c>
      <c r="H1490" s="6" t="s">
        <v>2086</v>
      </c>
    </row>
    <row r="1491" spans="1:8">
      <c r="A1491" s="1">
        <v>1499</v>
      </c>
      <c r="B1491" s="2" t="s">
        <v>2080</v>
      </c>
      <c r="C1491" s="3">
        <v>38870</v>
      </c>
      <c r="D1491" s="4">
        <f>YEAR(Table1[[#This Row],[Date]])</f>
        <v>2006</v>
      </c>
      <c r="E1491" s="2" t="s">
        <v>2081</v>
      </c>
      <c r="F1491" s="4">
        <v>48</v>
      </c>
      <c r="G1491" s="5">
        <v>146.12940219412363</v>
      </c>
      <c r="H1491" s="6" t="s">
        <v>2096</v>
      </c>
    </row>
    <row r="1492" spans="1:8">
      <c r="A1492" s="1">
        <v>1500</v>
      </c>
      <c r="B1492" s="2" t="s">
        <v>2084</v>
      </c>
      <c r="C1492" s="3">
        <v>38595</v>
      </c>
      <c r="D1492" s="4">
        <f>YEAR(Table1[[#This Row],[Date]])</f>
        <v>2005</v>
      </c>
      <c r="E1492" s="2" t="s">
        <v>2094</v>
      </c>
      <c r="F1492" s="4">
        <v>78</v>
      </c>
      <c r="G1492" s="5">
        <v>235.9430418370726</v>
      </c>
      <c r="H1492" s="6" t="s">
        <v>2086</v>
      </c>
    </row>
    <row r="1493" spans="1:8">
      <c r="A1493" s="1">
        <v>1501</v>
      </c>
      <c r="B1493" s="2" t="s">
        <v>2100</v>
      </c>
      <c r="C1493" s="3">
        <v>38012</v>
      </c>
      <c r="D1493" s="4">
        <f>YEAR(Table1[[#This Row],[Date]])</f>
        <v>2004</v>
      </c>
      <c r="E1493" s="2" t="s">
        <v>2081</v>
      </c>
      <c r="F1493" s="4">
        <v>5</v>
      </c>
      <c r="G1493" s="5">
        <v>17.19135783501677</v>
      </c>
      <c r="H1493" s="6" t="s">
        <v>2090</v>
      </c>
    </row>
    <row r="1494" spans="1:8">
      <c r="A1494" s="1">
        <v>1502</v>
      </c>
      <c r="B1494" s="2" t="s">
        <v>2098</v>
      </c>
      <c r="C1494" s="3">
        <v>38727</v>
      </c>
      <c r="D1494" s="4">
        <f>YEAR(Table1[[#This Row],[Date]])</f>
        <v>2006</v>
      </c>
      <c r="E1494" s="2" t="s">
        <v>2081</v>
      </c>
      <c r="F1494" s="4">
        <v>33</v>
      </c>
      <c r="G1494" s="5">
        <v>101.70689339051272</v>
      </c>
      <c r="H1494" s="6" t="s">
        <v>2090</v>
      </c>
    </row>
    <row r="1495" spans="1:8">
      <c r="A1495" s="1">
        <v>1503</v>
      </c>
      <c r="B1495" s="2" t="s">
        <v>2087</v>
      </c>
      <c r="C1495" s="3">
        <v>38804</v>
      </c>
      <c r="D1495" s="4">
        <f>YEAR(Table1[[#This Row],[Date]])</f>
        <v>2006</v>
      </c>
      <c r="E1495" s="2" t="s">
        <v>2085</v>
      </c>
      <c r="F1495" s="4">
        <v>73</v>
      </c>
      <c r="G1495" s="5">
        <v>220.6254493831498</v>
      </c>
      <c r="H1495" s="6" t="s">
        <v>2086</v>
      </c>
    </row>
    <row r="1496" spans="1:8">
      <c r="A1496" s="1">
        <v>1504</v>
      </c>
      <c r="B1496" s="2" t="s">
        <v>2080</v>
      </c>
      <c r="C1496" s="3">
        <v>38188</v>
      </c>
      <c r="D1496" s="4">
        <f>YEAR(Table1[[#This Row],[Date]])</f>
        <v>2004</v>
      </c>
      <c r="E1496" s="2" t="s">
        <v>2097</v>
      </c>
      <c r="F1496" s="4">
        <v>93</v>
      </c>
      <c r="G1496" s="5">
        <v>280.86225864864616</v>
      </c>
      <c r="H1496" s="6" t="s">
        <v>2082</v>
      </c>
    </row>
    <row r="1497" spans="1:8">
      <c r="A1497" s="1">
        <v>1505</v>
      </c>
      <c r="B1497" s="2" t="s">
        <v>2080</v>
      </c>
      <c r="C1497" s="3">
        <v>38716</v>
      </c>
      <c r="D1497" s="4">
        <f>YEAR(Table1[[#This Row],[Date]])</f>
        <v>2005</v>
      </c>
      <c r="E1497" s="2" t="s">
        <v>2085</v>
      </c>
      <c r="F1497" s="4">
        <v>37</v>
      </c>
      <c r="G1497" s="5">
        <v>113.24236035613511</v>
      </c>
      <c r="H1497" s="6" t="s">
        <v>2096</v>
      </c>
    </row>
    <row r="1498" spans="1:8">
      <c r="A1498" s="1">
        <v>1506</v>
      </c>
      <c r="B1498" s="2" t="s">
        <v>2093</v>
      </c>
      <c r="C1498" s="3">
        <v>38562</v>
      </c>
      <c r="D1498" s="4">
        <f>YEAR(Table1[[#This Row],[Date]])</f>
        <v>2005</v>
      </c>
      <c r="E1498" s="2" t="s">
        <v>2081</v>
      </c>
      <c r="F1498" s="4">
        <v>23</v>
      </c>
      <c r="G1498" s="5">
        <v>70.338092994751676</v>
      </c>
      <c r="H1498" s="6" t="s">
        <v>2082</v>
      </c>
    </row>
    <row r="1499" spans="1:8">
      <c r="A1499" s="1">
        <v>1507</v>
      </c>
      <c r="B1499" s="2" t="s">
        <v>2093</v>
      </c>
      <c r="C1499" s="3">
        <v>38683</v>
      </c>
      <c r="D1499" s="4">
        <f>YEAR(Table1[[#This Row],[Date]])</f>
        <v>2005</v>
      </c>
      <c r="E1499" s="2" t="s">
        <v>2081</v>
      </c>
      <c r="F1499" s="4">
        <v>3</v>
      </c>
      <c r="G1499" s="5">
        <v>7.2085961879253206</v>
      </c>
      <c r="H1499" s="6" t="s">
        <v>2090</v>
      </c>
    </row>
    <row r="1500" spans="1:8">
      <c r="A1500" s="1">
        <v>1508</v>
      </c>
      <c r="B1500" s="2" t="s">
        <v>2099</v>
      </c>
      <c r="C1500" s="3">
        <v>38771</v>
      </c>
      <c r="D1500" s="4">
        <f>YEAR(Table1[[#This Row],[Date]])</f>
        <v>2006</v>
      </c>
      <c r="E1500" s="2" t="s">
        <v>2094</v>
      </c>
      <c r="F1500" s="4">
        <v>39</v>
      </c>
      <c r="G1500" s="5">
        <v>118.95540899877352</v>
      </c>
      <c r="H1500" s="6" t="s">
        <v>2082</v>
      </c>
    </row>
    <row r="1501" spans="1:8">
      <c r="A1501" s="1">
        <v>1509</v>
      </c>
      <c r="B1501" s="2" t="s">
        <v>2080</v>
      </c>
      <c r="C1501" s="3">
        <v>38837</v>
      </c>
      <c r="D1501" s="4">
        <f>YEAR(Table1[[#This Row],[Date]])</f>
        <v>2006</v>
      </c>
      <c r="E1501" s="2" t="s">
        <v>2094</v>
      </c>
      <c r="F1501" s="4">
        <v>83</v>
      </c>
      <c r="G1501" s="5">
        <v>251.40370686680004</v>
      </c>
      <c r="H1501" s="6" t="s">
        <v>2086</v>
      </c>
    </row>
    <row r="1502" spans="1:8">
      <c r="A1502" s="1">
        <v>1510</v>
      </c>
      <c r="B1502" s="2" t="s">
        <v>2098</v>
      </c>
      <c r="C1502" s="3">
        <v>38958</v>
      </c>
      <c r="D1502" s="4">
        <f>YEAR(Table1[[#This Row],[Date]])</f>
        <v>2006</v>
      </c>
      <c r="E1502" s="2" t="s">
        <v>2085</v>
      </c>
      <c r="F1502" s="4">
        <v>65</v>
      </c>
      <c r="G1502" s="5">
        <v>197.80862125573833</v>
      </c>
      <c r="H1502" s="6" t="s">
        <v>2082</v>
      </c>
    </row>
    <row r="1503" spans="1:8">
      <c r="A1503" s="1">
        <v>1511</v>
      </c>
      <c r="B1503" s="2" t="s">
        <v>2080</v>
      </c>
      <c r="C1503" s="3">
        <v>38320</v>
      </c>
      <c r="D1503" s="4">
        <f>YEAR(Table1[[#This Row],[Date]])</f>
        <v>2004</v>
      </c>
      <c r="E1503" s="2" t="s">
        <v>2081</v>
      </c>
      <c r="F1503" s="4">
        <v>13</v>
      </c>
      <c r="G1503" s="5">
        <v>41.739412502907776</v>
      </c>
      <c r="H1503" s="6" t="s">
        <v>2096</v>
      </c>
    </row>
    <row r="1504" spans="1:8">
      <c r="A1504" s="1">
        <v>1512</v>
      </c>
      <c r="B1504" s="2" t="s">
        <v>2098</v>
      </c>
      <c r="C1504" s="3">
        <v>38672</v>
      </c>
      <c r="D1504" s="4">
        <f>YEAR(Table1[[#This Row],[Date]])</f>
        <v>2005</v>
      </c>
      <c r="E1504" s="2" t="s">
        <v>2085</v>
      </c>
      <c r="F1504" s="4">
        <v>9</v>
      </c>
      <c r="G1504" s="5">
        <v>28.855899545684331</v>
      </c>
      <c r="H1504" s="6" t="s">
        <v>2096</v>
      </c>
    </row>
    <row r="1505" spans="1:8">
      <c r="A1505" s="1">
        <v>1513</v>
      </c>
      <c r="B1505" s="2" t="s">
        <v>2095</v>
      </c>
      <c r="C1505" s="3">
        <v>39068</v>
      </c>
      <c r="D1505" s="4">
        <f>YEAR(Table1[[#This Row],[Date]])</f>
        <v>2006</v>
      </c>
      <c r="E1505" s="2" t="s">
        <v>2094</v>
      </c>
      <c r="F1505" s="4">
        <v>4</v>
      </c>
      <c r="G1505" s="5">
        <v>10.353255411982897</v>
      </c>
      <c r="H1505" s="6" t="s">
        <v>2082</v>
      </c>
    </row>
    <row r="1506" spans="1:8">
      <c r="A1506" s="1">
        <v>1514</v>
      </c>
      <c r="B1506" s="2" t="s">
        <v>2087</v>
      </c>
      <c r="C1506" s="3">
        <v>38287</v>
      </c>
      <c r="D1506" s="4">
        <f>YEAR(Table1[[#This Row],[Date]])</f>
        <v>2004</v>
      </c>
      <c r="E1506" s="2" t="s">
        <v>2097</v>
      </c>
      <c r="F1506" s="4">
        <v>22</v>
      </c>
      <c r="G1506" s="5">
        <v>67.745285115132006</v>
      </c>
      <c r="H1506" s="6" t="s">
        <v>2082</v>
      </c>
    </row>
    <row r="1507" spans="1:8">
      <c r="A1507" s="1">
        <v>1515</v>
      </c>
      <c r="B1507" s="2" t="s">
        <v>2084</v>
      </c>
      <c r="C1507" s="3">
        <v>38441</v>
      </c>
      <c r="D1507" s="4">
        <f>YEAR(Table1[[#This Row],[Date]])</f>
        <v>2005</v>
      </c>
      <c r="E1507" s="2" t="s">
        <v>2097</v>
      </c>
      <c r="F1507" s="4">
        <v>3</v>
      </c>
      <c r="G1507" s="5">
        <v>6.8920180610801349</v>
      </c>
      <c r="H1507" s="6" t="s">
        <v>2082</v>
      </c>
    </row>
    <row r="1508" spans="1:8">
      <c r="A1508" s="1">
        <v>1516</v>
      </c>
      <c r="B1508" s="2" t="s">
        <v>2093</v>
      </c>
      <c r="C1508" s="3">
        <v>38199</v>
      </c>
      <c r="D1508" s="4">
        <f>YEAR(Table1[[#This Row],[Date]])</f>
        <v>2004</v>
      </c>
      <c r="E1508" s="2" t="s">
        <v>2097</v>
      </c>
      <c r="F1508" s="4">
        <v>58</v>
      </c>
      <c r="G1508" s="5">
        <v>176.19804950784601</v>
      </c>
      <c r="H1508" s="6" t="s">
        <v>2082</v>
      </c>
    </row>
    <row r="1509" spans="1:8">
      <c r="A1509" s="1">
        <v>1517</v>
      </c>
      <c r="B1509" s="2" t="s">
        <v>2095</v>
      </c>
      <c r="C1509" s="3">
        <v>38221</v>
      </c>
      <c r="D1509" s="4">
        <f>YEAR(Table1[[#This Row],[Date]])</f>
        <v>2004</v>
      </c>
      <c r="E1509" s="2" t="s">
        <v>2094</v>
      </c>
      <c r="F1509" s="4">
        <v>65</v>
      </c>
      <c r="G1509" s="5">
        <v>196.63911479091979</v>
      </c>
      <c r="H1509" s="6" t="s">
        <v>2082</v>
      </c>
    </row>
    <row r="1510" spans="1:8">
      <c r="A1510" s="1">
        <v>1518</v>
      </c>
      <c r="B1510" s="2" t="s">
        <v>2093</v>
      </c>
      <c r="C1510" s="3">
        <v>38166</v>
      </c>
      <c r="D1510" s="4">
        <f>YEAR(Table1[[#This Row],[Date]])</f>
        <v>2004</v>
      </c>
      <c r="E1510" s="2" t="s">
        <v>2094</v>
      </c>
      <c r="F1510" s="4">
        <v>9</v>
      </c>
      <c r="G1510" s="5">
        <v>28.459065178844462</v>
      </c>
      <c r="H1510" s="6" t="s">
        <v>2086</v>
      </c>
    </row>
    <row r="1511" spans="1:8">
      <c r="A1511" s="1">
        <v>1519</v>
      </c>
      <c r="B1511" s="2" t="s">
        <v>2098</v>
      </c>
      <c r="C1511" s="3">
        <v>39013</v>
      </c>
      <c r="D1511" s="4">
        <f>YEAR(Table1[[#This Row],[Date]])</f>
        <v>2006</v>
      </c>
      <c r="E1511" s="2" t="s">
        <v>2088</v>
      </c>
      <c r="F1511" s="4">
        <v>18</v>
      </c>
      <c r="G1511" s="5">
        <v>56.300241442258397</v>
      </c>
      <c r="H1511" s="6" t="s">
        <v>2082</v>
      </c>
    </row>
    <row r="1512" spans="1:8">
      <c r="A1512" s="1">
        <v>1520</v>
      </c>
      <c r="B1512" s="2" t="s">
        <v>2084</v>
      </c>
      <c r="C1512" s="3">
        <v>38111</v>
      </c>
      <c r="D1512" s="4">
        <f>YEAR(Table1[[#This Row],[Date]])</f>
        <v>2004</v>
      </c>
      <c r="E1512" s="2" t="s">
        <v>2085</v>
      </c>
      <c r="F1512" s="4">
        <v>55</v>
      </c>
      <c r="G1512" s="5">
        <v>166.7781249229084</v>
      </c>
      <c r="H1512" s="6" t="s">
        <v>2096</v>
      </c>
    </row>
    <row r="1513" spans="1:8">
      <c r="A1513" s="1">
        <v>1521</v>
      </c>
      <c r="B1513" s="2" t="s">
        <v>2095</v>
      </c>
      <c r="C1513" s="3">
        <v>38364</v>
      </c>
      <c r="D1513" s="4">
        <f>YEAR(Table1[[#This Row],[Date]])</f>
        <v>2005</v>
      </c>
      <c r="E1513" s="2" t="s">
        <v>2094</v>
      </c>
      <c r="F1513" s="4">
        <v>69</v>
      </c>
      <c r="G1513" s="5">
        <v>209.56822946203218</v>
      </c>
      <c r="H1513" s="6" t="s">
        <v>2082</v>
      </c>
    </row>
    <row r="1514" spans="1:8">
      <c r="A1514" s="1">
        <v>1522</v>
      </c>
      <c r="B1514" s="2" t="s">
        <v>2091</v>
      </c>
      <c r="C1514" s="3">
        <v>38089</v>
      </c>
      <c r="D1514" s="4">
        <f>YEAR(Table1[[#This Row],[Date]])</f>
        <v>2004</v>
      </c>
      <c r="E1514" s="2" t="s">
        <v>2094</v>
      </c>
      <c r="F1514" s="4">
        <v>51</v>
      </c>
      <c r="G1514" s="5">
        <v>155.55960489398822</v>
      </c>
      <c r="H1514" s="6" t="s">
        <v>2090</v>
      </c>
    </row>
    <row r="1515" spans="1:8">
      <c r="A1515" s="1">
        <v>1523</v>
      </c>
      <c r="B1515" s="2" t="s">
        <v>2087</v>
      </c>
      <c r="C1515" s="3">
        <v>38738</v>
      </c>
      <c r="D1515" s="4">
        <f>YEAR(Table1[[#This Row],[Date]])</f>
        <v>2006</v>
      </c>
      <c r="E1515" s="2" t="s">
        <v>2088</v>
      </c>
      <c r="F1515" s="4">
        <v>23</v>
      </c>
      <c r="G1515" s="5">
        <v>71.150007929550512</v>
      </c>
      <c r="H1515" s="6" t="s">
        <v>2082</v>
      </c>
    </row>
    <row r="1516" spans="1:8">
      <c r="A1516" s="1">
        <v>1524</v>
      </c>
      <c r="B1516" s="2" t="s">
        <v>2080</v>
      </c>
      <c r="C1516" s="3">
        <v>38826</v>
      </c>
      <c r="D1516" s="4">
        <f>YEAR(Table1[[#This Row],[Date]])</f>
        <v>2006</v>
      </c>
      <c r="E1516" s="2" t="s">
        <v>2081</v>
      </c>
      <c r="F1516" s="4">
        <v>38</v>
      </c>
      <c r="G1516" s="5">
        <v>115.80895982640449</v>
      </c>
      <c r="H1516" s="6" t="s">
        <v>2090</v>
      </c>
    </row>
    <row r="1517" spans="1:8">
      <c r="A1517" s="1">
        <v>1525</v>
      </c>
      <c r="B1517" s="2" t="s">
        <v>2091</v>
      </c>
      <c r="C1517" s="3">
        <v>38320</v>
      </c>
      <c r="D1517" s="4">
        <f>YEAR(Table1[[#This Row],[Date]])</f>
        <v>2004</v>
      </c>
      <c r="E1517" s="2" t="s">
        <v>2088</v>
      </c>
      <c r="F1517" s="4">
        <v>8</v>
      </c>
      <c r="G1517" s="5">
        <v>22.286591550898308</v>
      </c>
      <c r="H1517" s="6" t="s">
        <v>2086</v>
      </c>
    </row>
    <row r="1518" spans="1:8">
      <c r="A1518" s="1">
        <v>1526</v>
      </c>
      <c r="B1518" s="2" t="s">
        <v>2084</v>
      </c>
      <c r="C1518" s="3">
        <v>39013</v>
      </c>
      <c r="D1518" s="4">
        <f>YEAR(Table1[[#This Row],[Date]])</f>
        <v>2006</v>
      </c>
      <c r="E1518" s="2" t="s">
        <v>2094</v>
      </c>
      <c r="F1518" s="4">
        <v>20</v>
      </c>
      <c r="G1518" s="5">
        <v>61.782563000840952</v>
      </c>
      <c r="H1518" s="6" t="s">
        <v>2090</v>
      </c>
    </row>
    <row r="1519" spans="1:8">
      <c r="A1519" s="1">
        <v>1527</v>
      </c>
      <c r="B1519" s="2" t="s">
        <v>2095</v>
      </c>
      <c r="C1519" s="3">
        <v>38540</v>
      </c>
      <c r="D1519" s="4">
        <f>YEAR(Table1[[#This Row],[Date]])</f>
        <v>2005</v>
      </c>
      <c r="E1519" s="2" t="s">
        <v>2081</v>
      </c>
      <c r="F1519" s="4">
        <v>25</v>
      </c>
      <c r="G1519" s="5">
        <v>76.800582511934167</v>
      </c>
      <c r="H1519" s="6" t="s">
        <v>2090</v>
      </c>
    </row>
    <row r="1520" spans="1:8">
      <c r="A1520" s="1">
        <v>1528</v>
      </c>
      <c r="B1520" s="2" t="s">
        <v>2080</v>
      </c>
      <c r="C1520" s="3">
        <v>39013</v>
      </c>
      <c r="D1520" s="4">
        <f>YEAR(Table1[[#This Row],[Date]])</f>
        <v>2006</v>
      </c>
      <c r="E1520" s="2" t="s">
        <v>2094</v>
      </c>
      <c r="F1520" s="4">
        <v>6</v>
      </c>
      <c r="G1520" s="5">
        <v>16.105946140968253</v>
      </c>
      <c r="H1520" s="6" t="s">
        <v>2090</v>
      </c>
    </row>
    <row r="1521" spans="1:8">
      <c r="A1521" s="1">
        <v>1529</v>
      </c>
      <c r="B1521" s="2" t="s">
        <v>2091</v>
      </c>
      <c r="C1521" s="3">
        <v>38925</v>
      </c>
      <c r="D1521" s="4">
        <f>YEAR(Table1[[#This Row],[Date]])</f>
        <v>2006</v>
      </c>
      <c r="E1521" s="2" t="s">
        <v>2081</v>
      </c>
      <c r="F1521" s="4">
        <v>88</v>
      </c>
      <c r="G1521" s="5">
        <v>266.77209888218033</v>
      </c>
      <c r="H1521" s="6" t="s">
        <v>2086</v>
      </c>
    </row>
    <row r="1522" spans="1:8">
      <c r="A1522" s="1">
        <v>1530</v>
      </c>
      <c r="B1522" s="2" t="s">
        <v>2099</v>
      </c>
      <c r="C1522" s="3">
        <v>38859</v>
      </c>
      <c r="D1522" s="4">
        <f>YEAR(Table1[[#This Row],[Date]])</f>
        <v>2006</v>
      </c>
      <c r="E1522" s="2" t="s">
        <v>2094</v>
      </c>
      <c r="F1522" s="4">
        <v>62</v>
      </c>
      <c r="G1522" s="5">
        <v>187.54179752226122</v>
      </c>
      <c r="H1522" s="6" t="s">
        <v>2082</v>
      </c>
    </row>
    <row r="1523" spans="1:8">
      <c r="A1523" s="1">
        <v>1531</v>
      </c>
      <c r="B1523" s="2" t="s">
        <v>2084</v>
      </c>
      <c r="C1523" s="3">
        <v>37990</v>
      </c>
      <c r="D1523" s="4">
        <f>YEAR(Table1[[#This Row],[Date]])</f>
        <v>2004</v>
      </c>
      <c r="E1523" s="2" t="s">
        <v>2088</v>
      </c>
      <c r="F1523" s="4">
        <v>80</v>
      </c>
      <c r="G1523" s="5">
        <v>242.16012405865823</v>
      </c>
      <c r="H1523" s="6" t="s">
        <v>2082</v>
      </c>
    </row>
    <row r="1524" spans="1:8">
      <c r="A1524" s="1">
        <v>1532</v>
      </c>
      <c r="B1524" s="2" t="s">
        <v>2100</v>
      </c>
      <c r="C1524" s="3">
        <v>38056</v>
      </c>
      <c r="D1524" s="4">
        <f>YEAR(Table1[[#This Row],[Date]])</f>
        <v>2004</v>
      </c>
      <c r="E1524" s="2" t="s">
        <v>2088</v>
      </c>
      <c r="F1524" s="4">
        <v>66</v>
      </c>
      <c r="G1524" s="5">
        <v>199.70376718058844</v>
      </c>
      <c r="H1524" s="6" t="s">
        <v>2090</v>
      </c>
    </row>
    <row r="1525" spans="1:8">
      <c r="A1525" s="1">
        <v>1533</v>
      </c>
      <c r="B1525" s="2" t="s">
        <v>2098</v>
      </c>
      <c r="C1525" s="3">
        <v>38298</v>
      </c>
      <c r="D1525" s="4">
        <f>YEAR(Table1[[#This Row],[Date]])</f>
        <v>2004</v>
      </c>
      <c r="E1525" s="2" t="s">
        <v>2085</v>
      </c>
      <c r="F1525" s="4">
        <v>34</v>
      </c>
      <c r="G1525" s="5">
        <v>104.44930690558964</v>
      </c>
      <c r="H1525" s="6" t="s">
        <v>2090</v>
      </c>
    </row>
    <row r="1526" spans="1:8">
      <c r="A1526" s="1">
        <v>1534</v>
      </c>
      <c r="B1526" s="2" t="s">
        <v>2084</v>
      </c>
      <c r="C1526" s="3">
        <v>38331</v>
      </c>
      <c r="D1526" s="4">
        <f>YEAR(Table1[[#This Row],[Date]])</f>
        <v>2004</v>
      </c>
      <c r="E1526" s="2" t="s">
        <v>2094</v>
      </c>
      <c r="F1526" s="4">
        <v>49</v>
      </c>
      <c r="G1526" s="5">
        <v>149.81621502008079</v>
      </c>
      <c r="H1526" s="6" t="s">
        <v>2086</v>
      </c>
    </row>
    <row r="1527" spans="1:8">
      <c r="A1527" s="1">
        <v>1535</v>
      </c>
      <c r="B1527" s="2" t="s">
        <v>2100</v>
      </c>
      <c r="C1527" s="3">
        <v>38188</v>
      </c>
      <c r="D1527" s="4">
        <f>YEAR(Table1[[#This Row],[Date]])</f>
        <v>2004</v>
      </c>
      <c r="E1527" s="2" t="s">
        <v>2081</v>
      </c>
      <c r="F1527" s="4">
        <v>45</v>
      </c>
      <c r="G1527" s="5">
        <v>136.92331868568616</v>
      </c>
      <c r="H1527" s="6" t="s">
        <v>2082</v>
      </c>
    </row>
    <row r="1528" spans="1:8">
      <c r="A1528" s="1">
        <v>1536</v>
      </c>
      <c r="B1528" s="2" t="s">
        <v>2095</v>
      </c>
      <c r="C1528" s="3">
        <v>38705</v>
      </c>
      <c r="D1528" s="4">
        <f>YEAR(Table1[[#This Row],[Date]])</f>
        <v>2005</v>
      </c>
      <c r="E1528" s="2" t="s">
        <v>2085</v>
      </c>
      <c r="F1528" s="4">
        <v>16</v>
      </c>
      <c r="G1528" s="5">
        <v>49.650187557976459</v>
      </c>
      <c r="H1528" s="6" t="s">
        <v>2090</v>
      </c>
    </row>
    <row r="1529" spans="1:8">
      <c r="A1529" s="1">
        <v>1537</v>
      </c>
      <c r="B1529" s="2" t="s">
        <v>2099</v>
      </c>
      <c r="C1529" s="3">
        <v>38584</v>
      </c>
      <c r="D1529" s="4">
        <f>YEAR(Table1[[#This Row],[Date]])</f>
        <v>2005</v>
      </c>
      <c r="E1529" s="2" t="s">
        <v>2088</v>
      </c>
      <c r="F1529" s="4">
        <v>45</v>
      </c>
      <c r="G1529" s="5">
        <v>136.63786720901078</v>
      </c>
      <c r="H1529" s="6" t="s">
        <v>2090</v>
      </c>
    </row>
    <row r="1530" spans="1:8">
      <c r="A1530" s="1">
        <v>1538</v>
      </c>
      <c r="B1530" s="2" t="s">
        <v>2087</v>
      </c>
      <c r="C1530" s="3">
        <v>38155</v>
      </c>
      <c r="D1530" s="4">
        <f>YEAR(Table1[[#This Row],[Date]])</f>
        <v>2004</v>
      </c>
      <c r="E1530" s="2" t="s">
        <v>2094</v>
      </c>
      <c r="F1530" s="4">
        <v>1</v>
      </c>
      <c r="G1530" s="5">
        <v>5.7263479599581428</v>
      </c>
      <c r="H1530" s="6" t="s">
        <v>2086</v>
      </c>
    </row>
    <row r="1531" spans="1:8">
      <c r="A1531" s="1">
        <v>1539</v>
      </c>
      <c r="B1531" s="2" t="s">
        <v>2100</v>
      </c>
      <c r="C1531" s="3">
        <v>38562</v>
      </c>
      <c r="D1531" s="4">
        <f>YEAR(Table1[[#This Row],[Date]])</f>
        <v>2005</v>
      </c>
      <c r="E1531" s="2" t="s">
        <v>2097</v>
      </c>
      <c r="F1531" s="4">
        <v>33</v>
      </c>
      <c r="G1531" s="5">
        <v>100.97055324855179</v>
      </c>
      <c r="H1531" s="6" t="s">
        <v>2082</v>
      </c>
    </row>
    <row r="1532" spans="1:8">
      <c r="A1532" s="1">
        <v>1540</v>
      </c>
      <c r="B1532" s="2" t="s">
        <v>2084</v>
      </c>
      <c r="C1532" s="3">
        <v>38595</v>
      </c>
      <c r="D1532" s="4">
        <f>YEAR(Table1[[#This Row],[Date]])</f>
        <v>2005</v>
      </c>
      <c r="E1532" s="2" t="s">
        <v>2088</v>
      </c>
      <c r="F1532" s="4">
        <v>37</v>
      </c>
      <c r="G1532" s="5">
        <v>113.03930108234786</v>
      </c>
      <c r="H1532" s="6" t="s">
        <v>2082</v>
      </c>
    </row>
    <row r="1533" spans="1:8">
      <c r="A1533" s="1">
        <v>1541</v>
      </c>
      <c r="B1533" s="2" t="s">
        <v>2087</v>
      </c>
      <c r="C1533" s="3">
        <v>38540</v>
      </c>
      <c r="D1533" s="4">
        <f>YEAR(Table1[[#This Row],[Date]])</f>
        <v>2005</v>
      </c>
      <c r="E1533" s="2" t="s">
        <v>2094</v>
      </c>
      <c r="F1533" s="4">
        <v>46</v>
      </c>
      <c r="G1533" s="5">
        <v>139.33709070957588</v>
      </c>
      <c r="H1533" s="6" t="s">
        <v>2090</v>
      </c>
    </row>
    <row r="1534" spans="1:8">
      <c r="A1534" s="1">
        <v>1542</v>
      </c>
      <c r="B1534" s="2" t="s">
        <v>2080</v>
      </c>
      <c r="C1534" s="3">
        <v>38023</v>
      </c>
      <c r="D1534" s="4">
        <f>YEAR(Table1[[#This Row],[Date]])</f>
        <v>2004</v>
      </c>
      <c r="E1534" s="2" t="s">
        <v>2085</v>
      </c>
      <c r="F1534" s="4">
        <v>71</v>
      </c>
      <c r="G1534" s="5">
        <v>215.35016800732583</v>
      </c>
      <c r="H1534" s="6" t="s">
        <v>2082</v>
      </c>
    </row>
    <row r="1535" spans="1:8">
      <c r="A1535" s="1">
        <v>1543</v>
      </c>
      <c r="B1535" s="2" t="s">
        <v>2091</v>
      </c>
      <c r="C1535" s="3">
        <v>38320</v>
      </c>
      <c r="D1535" s="4">
        <f>YEAR(Table1[[#This Row],[Date]])</f>
        <v>2004</v>
      </c>
      <c r="E1535" s="2" t="s">
        <v>2097</v>
      </c>
      <c r="F1535" s="4">
        <v>59</v>
      </c>
      <c r="G1535" s="5">
        <v>179.11705650607632</v>
      </c>
      <c r="H1535" s="6" t="s">
        <v>2090</v>
      </c>
    </row>
    <row r="1536" spans="1:8">
      <c r="A1536" s="1">
        <v>1544</v>
      </c>
      <c r="B1536" s="2" t="s">
        <v>2091</v>
      </c>
      <c r="C1536" s="3">
        <v>38463</v>
      </c>
      <c r="D1536" s="4">
        <f>YEAR(Table1[[#This Row],[Date]])</f>
        <v>2005</v>
      </c>
      <c r="E1536" s="2" t="s">
        <v>2088</v>
      </c>
      <c r="F1536" s="4">
        <v>84</v>
      </c>
      <c r="G1536" s="5">
        <v>253.54108298185832</v>
      </c>
      <c r="H1536" s="6" t="s">
        <v>2090</v>
      </c>
    </row>
    <row r="1537" spans="1:8">
      <c r="A1537" s="1">
        <v>1545</v>
      </c>
      <c r="B1537" s="2" t="s">
        <v>2091</v>
      </c>
      <c r="C1537" s="3">
        <v>38892</v>
      </c>
      <c r="D1537" s="4">
        <f>YEAR(Table1[[#This Row],[Date]])</f>
        <v>2006</v>
      </c>
      <c r="E1537" s="2" t="s">
        <v>2094</v>
      </c>
      <c r="F1537" s="4">
        <v>91</v>
      </c>
      <c r="G1537" s="5">
        <v>274.23356541008826</v>
      </c>
      <c r="H1537" s="6" t="s">
        <v>2090</v>
      </c>
    </row>
    <row r="1538" spans="1:8">
      <c r="A1538" s="1">
        <v>1546</v>
      </c>
      <c r="B1538" s="2" t="s">
        <v>2095</v>
      </c>
      <c r="C1538" s="3">
        <v>38056</v>
      </c>
      <c r="D1538" s="4">
        <f>YEAR(Table1[[#This Row],[Date]])</f>
        <v>2004</v>
      </c>
      <c r="E1538" s="2" t="s">
        <v>2081</v>
      </c>
      <c r="F1538" s="4">
        <v>33</v>
      </c>
      <c r="G1538" s="5">
        <v>100.22871812086524</v>
      </c>
      <c r="H1538" s="6" t="s">
        <v>2090</v>
      </c>
    </row>
    <row r="1539" spans="1:8">
      <c r="A1539" s="1">
        <v>1547</v>
      </c>
      <c r="B1539" s="2" t="s">
        <v>2100</v>
      </c>
      <c r="C1539" s="3">
        <v>38342</v>
      </c>
      <c r="D1539" s="4">
        <f>YEAR(Table1[[#This Row],[Date]])</f>
        <v>2004</v>
      </c>
      <c r="E1539" s="2" t="s">
        <v>2094</v>
      </c>
      <c r="F1539" s="4">
        <v>34</v>
      </c>
      <c r="G1539" s="5">
        <v>104.04142923037654</v>
      </c>
      <c r="H1539" s="6" t="s">
        <v>2096</v>
      </c>
    </row>
    <row r="1540" spans="1:8">
      <c r="A1540" s="1">
        <v>1548</v>
      </c>
      <c r="B1540" s="2" t="s">
        <v>2091</v>
      </c>
      <c r="C1540" s="3">
        <v>39013</v>
      </c>
      <c r="D1540" s="4">
        <f>YEAR(Table1[[#This Row],[Date]])</f>
        <v>2006</v>
      </c>
      <c r="E1540" s="2" t="s">
        <v>2081</v>
      </c>
      <c r="F1540" s="4">
        <v>1</v>
      </c>
      <c r="G1540" s="5">
        <v>5.3199136076983713</v>
      </c>
      <c r="H1540" s="6" t="s">
        <v>2090</v>
      </c>
    </row>
    <row r="1541" spans="1:8">
      <c r="A1541" s="1">
        <v>1549</v>
      </c>
      <c r="B1541" s="2" t="s">
        <v>2084</v>
      </c>
      <c r="C1541" s="3">
        <v>38045</v>
      </c>
      <c r="D1541" s="4">
        <f>YEAR(Table1[[#This Row],[Date]])</f>
        <v>2004</v>
      </c>
      <c r="E1541" s="2" t="s">
        <v>2094</v>
      </c>
      <c r="F1541" s="4">
        <v>42</v>
      </c>
      <c r="G1541" s="5">
        <v>128.72768952762647</v>
      </c>
      <c r="H1541" s="6" t="s">
        <v>2090</v>
      </c>
    </row>
    <row r="1542" spans="1:8">
      <c r="A1542" s="1">
        <v>1550</v>
      </c>
      <c r="B1542" s="2" t="s">
        <v>2100</v>
      </c>
      <c r="C1542" s="3">
        <v>38705</v>
      </c>
      <c r="D1542" s="4">
        <f>YEAR(Table1[[#This Row],[Date]])</f>
        <v>2005</v>
      </c>
      <c r="E1542" s="2" t="s">
        <v>2094</v>
      </c>
      <c r="F1542" s="4">
        <v>45</v>
      </c>
      <c r="G1542" s="5">
        <v>137.92982227055688</v>
      </c>
      <c r="H1542" s="6" t="s">
        <v>2096</v>
      </c>
    </row>
    <row r="1543" spans="1:8">
      <c r="A1543" s="1">
        <v>1551</v>
      </c>
      <c r="B1543" s="2" t="s">
        <v>2098</v>
      </c>
      <c r="C1543" s="3">
        <v>38276</v>
      </c>
      <c r="D1543" s="4">
        <f>YEAR(Table1[[#This Row],[Date]])</f>
        <v>2004</v>
      </c>
      <c r="E1543" s="2" t="s">
        <v>2081</v>
      </c>
      <c r="F1543" s="4">
        <v>26</v>
      </c>
      <c r="G1543" s="5">
        <v>80.031587793648399</v>
      </c>
      <c r="H1543" s="6" t="s">
        <v>2096</v>
      </c>
    </row>
    <row r="1544" spans="1:8">
      <c r="A1544" s="1">
        <v>1552</v>
      </c>
      <c r="B1544" s="2" t="s">
        <v>2087</v>
      </c>
      <c r="C1544" s="3">
        <v>38012</v>
      </c>
      <c r="D1544" s="4">
        <f>YEAR(Table1[[#This Row],[Date]])</f>
        <v>2004</v>
      </c>
      <c r="E1544" s="2" t="s">
        <v>2094</v>
      </c>
      <c r="F1544" s="4">
        <v>72</v>
      </c>
      <c r="G1544" s="5">
        <v>218.32830582807657</v>
      </c>
      <c r="H1544" s="6" t="s">
        <v>2082</v>
      </c>
    </row>
    <row r="1545" spans="1:8">
      <c r="A1545" s="1">
        <v>1553</v>
      </c>
      <c r="B1545" s="2" t="s">
        <v>2091</v>
      </c>
      <c r="C1545" s="3">
        <v>38925</v>
      </c>
      <c r="D1545" s="4">
        <f>YEAR(Table1[[#This Row],[Date]])</f>
        <v>2006</v>
      </c>
      <c r="E1545" s="2" t="s">
        <v>2094</v>
      </c>
      <c r="F1545" s="4">
        <v>5</v>
      </c>
      <c r="G1545" s="5">
        <v>13.390709583317436</v>
      </c>
      <c r="H1545" s="6" t="s">
        <v>2090</v>
      </c>
    </row>
    <row r="1546" spans="1:8">
      <c r="A1546" s="1">
        <v>1554</v>
      </c>
      <c r="B1546" s="2" t="s">
        <v>2093</v>
      </c>
      <c r="C1546" s="3">
        <v>38067</v>
      </c>
      <c r="D1546" s="4">
        <f>YEAR(Table1[[#This Row],[Date]])</f>
        <v>2004</v>
      </c>
      <c r="E1546" s="2" t="s">
        <v>2085</v>
      </c>
      <c r="F1546" s="4">
        <v>31</v>
      </c>
      <c r="G1546" s="5">
        <v>94.662914692651583</v>
      </c>
      <c r="H1546" s="6" t="s">
        <v>2082</v>
      </c>
    </row>
    <row r="1547" spans="1:8">
      <c r="A1547" s="1">
        <v>1555</v>
      </c>
      <c r="B1547" s="2" t="s">
        <v>2100</v>
      </c>
      <c r="C1547" s="3">
        <v>37990</v>
      </c>
      <c r="D1547" s="4">
        <f>YEAR(Table1[[#This Row],[Date]])</f>
        <v>2004</v>
      </c>
      <c r="E1547" s="2" t="s">
        <v>2081</v>
      </c>
      <c r="F1547" s="4">
        <v>48</v>
      </c>
      <c r="G1547" s="5">
        <v>145.90859800554551</v>
      </c>
      <c r="H1547" s="6" t="s">
        <v>2082</v>
      </c>
    </row>
    <row r="1548" spans="1:8">
      <c r="A1548" s="1">
        <v>1556</v>
      </c>
      <c r="B1548" s="2" t="s">
        <v>2093</v>
      </c>
      <c r="C1548" s="3">
        <v>39024</v>
      </c>
      <c r="D1548" s="4">
        <f>YEAR(Table1[[#This Row],[Date]])</f>
        <v>2006</v>
      </c>
      <c r="E1548" s="2" t="s">
        <v>2097</v>
      </c>
      <c r="F1548" s="4">
        <v>84</v>
      </c>
      <c r="G1548" s="5">
        <v>253.59713370537463</v>
      </c>
      <c r="H1548" s="6" t="s">
        <v>2086</v>
      </c>
    </row>
    <row r="1549" spans="1:8">
      <c r="A1549" s="1">
        <v>1557</v>
      </c>
      <c r="B1549" s="2" t="s">
        <v>2091</v>
      </c>
      <c r="C1549" s="3">
        <v>38771</v>
      </c>
      <c r="D1549" s="4">
        <f>YEAR(Table1[[#This Row],[Date]])</f>
        <v>2006</v>
      </c>
      <c r="E1549" s="2" t="s">
        <v>2094</v>
      </c>
      <c r="F1549" s="4">
        <v>54</v>
      </c>
      <c r="G1549" s="5">
        <v>163.89560832413773</v>
      </c>
      <c r="H1549" s="6" t="s">
        <v>2082</v>
      </c>
    </row>
    <row r="1550" spans="1:8">
      <c r="A1550" s="1">
        <v>1558</v>
      </c>
      <c r="B1550" s="2" t="s">
        <v>2093</v>
      </c>
      <c r="C1550" s="3">
        <v>38001</v>
      </c>
      <c r="D1550" s="4">
        <f>YEAR(Table1[[#This Row],[Date]])</f>
        <v>2004</v>
      </c>
      <c r="E1550" s="2" t="s">
        <v>2097</v>
      </c>
      <c r="F1550" s="4">
        <v>44</v>
      </c>
      <c r="G1550" s="5">
        <v>134.18925327531994</v>
      </c>
      <c r="H1550" s="6" t="s">
        <v>2090</v>
      </c>
    </row>
    <row r="1551" spans="1:8">
      <c r="A1551" s="1">
        <v>1559</v>
      </c>
      <c r="B1551" s="2" t="s">
        <v>2095</v>
      </c>
      <c r="C1551" s="3">
        <v>38287</v>
      </c>
      <c r="D1551" s="4">
        <f>YEAR(Table1[[#This Row],[Date]])</f>
        <v>2004</v>
      </c>
      <c r="E1551" s="2" t="s">
        <v>2081</v>
      </c>
      <c r="F1551" s="4">
        <v>40</v>
      </c>
      <c r="G1551" s="5">
        <v>122.05331563226824</v>
      </c>
      <c r="H1551" s="6" t="s">
        <v>2082</v>
      </c>
    </row>
    <row r="1552" spans="1:8">
      <c r="A1552" s="1">
        <v>1560</v>
      </c>
      <c r="B1552" s="2" t="s">
        <v>2080</v>
      </c>
      <c r="C1552" s="3">
        <v>38595</v>
      </c>
      <c r="D1552" s="4">
        <f>YEAR(Table1[[#This Row],[Date]])</f>
        <v>2005</v>
      </c>
      <c r="E1552" s="2" t="s">
        <v>2081</v>
      </c>
      <c r="F1552" s="4">
        <v>25</v>
      </c>
      <c r="G1552" s="5">
        <v>76.896265241705308</v>
      </c>
      <c r="H1552" s="6" t="s">
        <v>2090</v>
      </c>
    </row>
    <row r="1553" spans="1:8">
      <c r="A1553" s="1">
        <v>1561</v>
      </c>
      <c r="B1553" s="2" t="s">
        <v>2098</v>
      </c>
      <c r="C1553" s="3">
        <v>38045</v>
      </c>
      <c r="D1553" s="4">
        <f>YEAR(Table1[[#This Row],[Date]])</f>
        <v>2004</v>
      </c>
      <c r="E1553" s="2" t="s">
        <v>2081</v>
      </c>
      <c r="F1553" s="4">
        <v>8</v>
      </c>
      <c r="G1553" s="5">
        <v>21.481967764977714</v>
      </c>
      <c r="H1553" s="6" t="s">
        <v>2082</v>
      </c>
    </row>
    <row r="1554" spans="1:8">
      <c r="A1554" s="1">
        <v>1562</v>
      </c>
      <c r="B1554" s="2" t="s">
        <v>2095</v>
      </c>
      <c r="C1554" s="3">
        <v>38848</v>
      </c>
      <c r="D1554" s="4">
        <f>YEAR(Table1[[#This Row],[Date]])</f>
        <v>2006</v>
      </c>
      <c r="E1554" s="2" t="s">
        <v>2094</v>
      </c>
      <c r="F1554" s="4">
        <v>59</v>
      </c>
      <c r="G1554" s="5">
        <v>178.70076770818625</v>
      </c>
      <c r="H1554" s="6" t="s">
        <v>2090</v>
      </c>
    </row>
    <row r="1555" spans="1:8">
      <c r="A1555" s="1">
        <v>1563</v>
      </c>
      <c r="B1555" s="2" t="s">
        <v>2091</v>
      </c>
      <c r="C1555" s="3">
        <v>38342</v>
      </c>
      <c r="D1555" s="4">
        <f>YEAR(Table1[[#This Row],[Date]])</f>
        <v>2004</v>
      </c>
      <c r="E1555" s="2" t="s">
        <v>2094</v>
      </c>
      <c r="F1555" s="4">
        <v>59</v>
      </c>
      <c r="G1555" s="5">
        <v>179.09938274190853</v>
      </c>
      <c r="H1555" s="6" t="s">
        <v>2096</v>
      </c>
    </row>
    <row r="1556" spans="1:8">
      <c r="A1556" s="1">
        <v>1564</v>
      </c>
      <c r="B1556" s="2" t="s">
        <v>2098</v>
      </c>
      <c r="C1556" s="3">
        <v>38672</v>
      </c>
      <c r="D1556" s="4">
        <f>YEAR(Table1[[#This Row],[Date]])</f>
        <v>2005</v>
      </c>
      <c r="E1556" s="2" t="s">
        <v>2085</v>
      </c>
      <c r="F1556" s="4">
        <v>34</v>
      </c>
      <c r="G1556" s="5">
        <v>103.72320973361035</v>
      </c>
      <c r="H1556" s="6" t="s">
        <v>2086</v>
      </c>
    </row>
    <row r="1557" spans="1:8">
      <c r="A1557" s="1">
        <v>1565</v>
      </c>
      <c r="B1557" s="2" t="s">
        <v>2098</v>
      </c>
      <c r="C1557" s="3">
        <v>38320</v>
      </c>
      <c r="D1557" s="4">
        <f>YEAR(Table1[[#This Row],[Date]])</f>
        <v>2004</v>
      </c>
      <c r="E1557" s="2" t="s">
        <v>2097</v>
      </c>
      <c r="F1557" s="4">
        <v>27</v>
      </c>
      <c r="G1557" s="5">
        <v>82.680755879941501</v>
      </c>
      <c r="H1557" s="6" t="s">
        <v>2086</v>
      </c>
    </row>
    <row r="1558" spans="1:8">
      <c r="A1558" s="1">
        <v>1566</v>
      </c>
      <c r="B1558" s="2" t="s">
        <v>2100</v>
      </c>
      <c r="C1558" s="3">
        <v>39013</v>
      </c>
      <c r="D1558" s="4">
        <f>YEAR(Table1[[#This Row],[Date]])</f>
        <v>2006</v>
      </c>
      <c r="E1558" s="2" t="s">
        <v>2085</v>
      </c>
      <c r="F1558" s="4">
        <v>3</v>
      </c>
      <c r="G1558" s="5">
        <v>10.695067513438698</v>
      </c>
      <c r="H1558" s="6" t="s">
        <v>2082</v>
      </c>
    </row>
    <row r="1559" spans="1:8">
      <c r="A1559" s="1">
        <v>1567</v>
      </c>
      <c r="B1559" s="2" t="s">
        <v>2084</v>
      </c>
      <c r="C1559" s="3">
        <v>38584</v>
      </c>
      <c r="D1559" s="4">
        <f>YEAR(Table1[[#This Row],[Date]])</f>
        <v>2005</v>
      </c>
      <c r="E1559" s="2" t="s">
        <v>2097</v>
      </c>
      <c r="F1559" s="4">
        <v>89</v>
      </c>
      <c r="G1559" s="5">
        <v>269.11976111617605</v>
      </c>
      <c r="H1559" s="6" t="s">
        <v>2090</v>
      </c>
    </row>
    <row r="1560" spans="1:8">
      <c r="A1560" s="1">
        <v>1568</v>
      </c>
      <c r="B1560" s="2" t="s">
        <v>2084</v>
      </c>
      <c r="C1560" s="3">
        <v>38485</v>
      </c>
      <c r="D1560" s="4">
        <f>YEAR(Table1[[#This Row],[Date]])</f>
        <v>2005</v>
      </c>
      <c r="E1560" s="2" t="s">
        <v>2094</v>
      </c>
      <c r="F1560" s="4">
        <v>58</v>
      </c>
      <c r="G1560" s="5">
        <v>175.98159998303569</v>
      </c>
      <c r="H1560" s="6" t="s">
        <v>2082</v>
      </c>
    </row>
    <row r="1561" spans="1:8">
      <c r="A1561" s="1">
        <v>1569</v>
      </c>
      <c r="B1561" s="2" t="s">
        <v>2100</v>
      </c>
      <c r="C1561" s="3">
        <v>38364</v>
      </c>
      <c r="D1561" s="4">
        <f>YEAR(Table1[[#This Row],[Date]])</f>
        <v>2005</v>
      </c>
      <c r="E1561" s="2" t="s">
        <v>2088</v>
      </c>
      <c r="F1561" s="4">
        <v>52</v>
      </c>
      <c r="G1561" s="5">
        <v>158.04571793449091</v>
      </c>
      <c r="H1561" s="6" t="s">
        <v>2090</v>
      </c>
    </row>
    <row r="1562" spans="1:8">
      <c r="A1562" s="1">
        <v>1570</v>
      </c>
      <c r="B1562" s="2" t="s">
        <v>2100</v>
      </c>
      <c r="C1562" s="3">
        <v>38925</v>
      </c>
      <c r="D1562" s="4">
        <f>YEAR(Table1[[#This Row],[Date]])</f>
        <v>2006</v>
      </c>
      <c r="E1562" s="2" t="s">
        <v>2097</v>
      </c>
      <c r="F1562" s="4">
        <v>32</v>
      </c>
      <c r="G1562" s="5">
        <v>98.04752721295516</v>
      </c>
      <c r="H1562" s="6" t="s">
        <v>2096</v>
      </c>
    </row>
    <row r="1563" spans="1:8">
      <c r="A1563" s="1">
        <v>1571</v>
      </c>
      <c r="B1563" s="2" t="s">
        <v>2095</v>
      </c>
      <c r="C1563" s="3">
        <v>38606</v>
      </c>
      <c r="D1563" s="4">
        <f>YEAR(Table1[[#This Row],[Date]])</f>
        <v>2005</v>
      </c>
      <c r="E1563" s="2" t="s">
        <v>2097</v>
      </c>
      <c r="F1563" s="4">
        <v>3</v>
      </c>
      <c r="G1563" s="5">
        <v>10.584064694476611</v>
      </c>
      <c r="H1563" s="6" t="s">
        <v>2082</v>
      </c>
    </row>
    <row r="1564" spans="1:8">
      <c r="A1564" s="1">
        <v>1572</v>
      </c>
      <c r="B1564" s="2" t="s">
        <v>2091</v>
      </c>
      <c r="C1564" s="3">
        <v>38309</v>
      </c>
      <c r="D1564" s="4">
        <f>YEAR(Table1[[#This Row],[Date]])</f>
        <v>2004</v>
      </c>
      <c r="E1564" s="2" t="s">
        <v>2094</v>
      </c>
      <c r="F1564" s="4">
        <v>45</v>
      </c>
      <c r="G1564" s="5">
        <v>137.07935411238626</v>
      </c>
      <c r="H1564" s="6" t="s">
        <v>2090</v>
      </c>
    </row>
    <row r="1565" spans="1:8">
      <c r="A1565" s="1">
        <v>1573</v>
      </c>
      <c r="B1565" s="2" t="s">
        <v>2093</v>
      </c>
      <c r="C1565" s="3">
        <v>38320</v>
      </c>
      <c r="D1565" s="4">
        <f>YEAR(Table1[[#This Row],[Date]])</f>
        <v>2004</v>
      </c>
      <c r="E1565" s="2" t="s">
        <v>2094</v>
      </c>
      <c r="F1565" s="4">
        <v>91</v>
      </c>
      <c r="G1565" s="5">
        <v>275.55805251311767</v>
      </c>
      <c r="H1565" s="6" t="s">
        <v>2096</v>
      </c>
    </row>
    <row r="1566" spans="1:8">
      <c r="A1566" s="1">
        <v>1574</v>
      </c>
      <c r="B1566" s="2" t="s">
        <v>2091</v>
      </c>
      <c r="C1566" s="3">
        <v>38760</v>
      </c>
      <c r="D1566" s="4">
        <f>YEAR(Table1[[#This Row],[Date]])</f>
        <v>2006</v>
      </c>
      <c r="E1566" s="2" t="s">
        <v>2085</v>
      </c>
      <c r="F1566" s="4">
        <v>8</v>
      </c>
      <c r="G1566" s="5">
        <v>21.448768772248492</v>
      </c>
      <c r="H1566" s="6" t="s">
        <v>2082</v>
      </c>
    </row>
    <row r="1567" spans="1:8">
      <c r="A1567" s="1">
        <v>1575</v>
      </c>
      <c r="B1567" s="2" t="s">
        <v>2080</v>
      </c>
      <c r="C1567" s="3">
        <v>38430</v>
      </c>
      <c r="D1567" s="4">
        <f>YEAR(Table1[[#This Row],[Date]])</f>
        <v>2005</v>
      </c>
      <c r="E1567" s="2" t="s">
        <v>2097</v>
      </c>
      <c r="F1567" s="4">
        <v>7</v>
      </c>
      <c r="G1567" s="5">
        <v>19.136046094162346</v>
      </c>
      <c r="H1567" s="6" t="s">
        <v>2086</v>
      </c>
    </row>
    <row r="1568" spans="1:8">
      <c r="A1568" s="1">
        <v>1576</v>
      </c>
      <c r="B1568" s="2" t="s">
        <v>2084</v>
      </c>
      <c r="C1568" s="3">
        <v>38661</v>
      </c>
      <c r="D1568" s="4">
        <f>YEAR(Table1[[#This Row],[Date]])</f>
        <v>2005</v>
      </c>
      <c r="E1568" s="2" t="s">
        <v>2085</v>
      </c>
      <c r="F1568" s="4">
        <v>33</v>
      </c>
      <c r="G1568" s="5">
        <v>100.88649672562114</v>
      </c>
      <c r="H1568" s="6" t="s">
        <v>2090</v>
      </c>
    </row>
    <row r="1569" spans="1:8">
      <c r="A1569" s="1">
        <v>1577</v>
      </c>
      <c r="B1569" s="2" t="s">
        <v>2093</v>
      </c>
      <c r="C1569" s="3">
        <v>38485</v>
      </c>
      <c r="D1569" s="4">
        <f>YEAR(Table1[[#This Row],[Date]])</f>
        <v>2005</v>
      </c>
      <c r="E1569" s="2" t="s">
        <v>2081</v>
      </c>
      <c r="F1569" s="4">
        <v>7</v>
      </c>
      <c r="G1569" s="5">
        <v>18.807164790570987</v>
      </c>
      <c r="H1569" s="6" t="s">
        <v>2082</v>
      </c>
    </row>
    <row r="1570" spans="1:8">
      <c r="A1570" s="1">
        <v>1578</v>
      </c>
      <c r="B1570" s="2" t="s">
        <v>2093</v>
      </c>
      <c r="C1570" s="3">
        <v>39002</v>
      </c>
      <c r="D1570" s="4">
        <f>YEAR(Table1[[#This Row],[Date]])</f>
        <v>2006</v>
      </c>
      <c r="E1570" s="2" t="s">
        <v>2085</v>
      </c>
      <c r="F1570" s="4">
        <v>82</v>
      </c>
      <c r="G1570" s="5">
        <v>248.42543228494586</v>
      </c>
      <c r="H1570" s="6" t="s">
        <v>2096</v>
      </c>
    </row>
    <row r="1571" spans="1:8">
      <c r="A1571" s="1">
        <v>1579</v>
      </c>
      <c r="B1571" s="2" t="s">
        <v>2087</v>
      </c>
      <c r="C1571" s="3">
        <v>38144</v>
      </c>
      <c r="D1571" s="4">
        <f>YEAR(Table1[[#This Row],[Date]])</f>
        <v>2004</v>
      </c>
      <c r="E1571" s="2" t="s">
        <v>2094</v>
      </c>
      <c r="F1571" s="4">
        <v>87</v>
      </c>
      <c r="G1571" s="5">
        <v>262.84645942190497</v>
      </c>
      <c r="H1571" s="6" t="s">
        <v>2096</v>
      </c>
    </row>
    <row r="1572" spans="1:8">
      <c r="A1572" s="1">
        <v>1580</v>
      </c>
      <c r="B1572" s="2" t="s">
        <v>2100</v>
      </c>
      <c r="C1572" s="3">
        <v>38397</v>
      </c>
      <c r="D1572" s="4">
        <f>YEAR(Table1[[#This Row],[Date]])</f>
        <v>2005</v>
      </c>
      <c r="E1572" s="2" t="s">
        <v>2097</v>
      </c>
      <c r="F1572" s="4">
        <v>93</v>
      </c>
      <c r="G1572" s="5">
        <v>281.52944446781271</v>
      </c>
      <c r="H1572" s="6" t="s">
        <v>2086</v>
      </c>
    </row>
    <row r="1573" spans="1:8">
      <c r="A1573" s="1">
        <v>1581</v>
      </c>
      <c r="B1573" s="2" t="s">
        <v>2095</v>
      </c>
      <c r="C1573" s="3">
        <v>38639</v>
      </c>
      <c r="D1573" s="4">
        <f>YEAR(Table1[[#This Row],[Date]])</f>
        <v>2005</v>
      </c>
      <c r="E1573" s="2" t="s">
        <v>2085</v>
      </c>
      <c r="F1573" s="4">
        <v>72</v>
      </c>
      <c r="G1573" s="5">
        <v>218.16905589645697</v>
      </c>
      <c r="H1573" s="6" t="s">
        <v>2082</v>
      </c>
    </row>
    <row r="1574" spans="1:8">
      <c r="A1574" s="1">
        <v>1582</v>
      </c>
      <c r="B1574" s="2" t="s">
        <v>2099</v>
      </c>
      <c r="C1574" s="3">
        <v>38276</v>
      </c>
      <c r="D1574" s="4">
        <f>YEAR(Table1[[#This Row],[Date]])</f>
        <v>2004</v>
      </c>
      <c r="E1574" s="2" t="s">
        <v>2097</v>
      </c>
      <c r="F1574" s="4">
        <v>11</v>
      </c>
      <c r="G1574" s="5">
        <v>35.116221937392133</v>
      </c>
      <c r="H1574" s="6" t="s">
        <v>2096</v>
      </c>
    </row>
    <row r="1575" spans="1:8">
      <c r="A1575" s="1">
        <v>1583</v>
      </c>
      <c r="B1575" s="2" t="s">
        <v>2093</v>
      </c>
      <c r="C1575" s="3">
        <v>38914</v>
      </c>
      <c r="D1575" s="4">
        <f>YEAR(Table1[[#This Row],[Date]])</f>
        <v>2006</v>
      </c>
      <c r="E1575" s="2" t="s">
        <v>2081</v>
      </c>
      <c r="F1575" s="4">
        <v>18</v>
      </c>
      <c r="G1575" s="5">
        <v>55.780124801169777</v>
      </c>
      <c r="H1575" s="6" t="s">
        <v>2082</v>
      </c>
    </row>
    <row r="1576" spans="1:8">
      <c r="A1576" s="1">
        <v>1584</v>
      </c>
      <c r="B1576" s="2" t="s">
        <v>2080</v>
      </c>
      <c r="C1576" s="3">
        <v>38947</v>
      </c>
      <c r="D1576" s="4">
        <f>YEAR(Table1[[#This Row],[Date]])</f>
        <v>2006</v>
      </c>
      <c r="E1576" s="2" t="s">
        <v>2085</v>
      </c>
      <c r="F1576" s="4">
        <v>93</v>
      </c>
      <c r="G1576" s="5">
        <v>281.25885991416516</v>
      </c>
      <c r="H1576" s="6" t="s">
        <v>2096</v>
      </c>
    </row>
    <row r="1577" spans="1:8">
      <c r="A1577" s="1">
        <v>1585</v>
      </c>
      <c r="B1577" s="2" t="s">
        <v>2084</v>
      </c>
      <c r="C1577" s="3">
        <v>38584</v>
      </c>
      <c r="D1577" s="4">
        <f>YEAR(Table1[[#This Row],[Date]])</f>
        <v>2005</v>
      </c>
      <c r="E1577" s="2" t="s">
        <v>2085</v>
      </c>
      <c r="F1577" s="4">
        <v>56</v>
      </c>
      <c r="G1577" s="5">
        <v>170.42559015332697</v>
      </c>
      <c r="H1577" s="6" t="s">
        <v>2090</v>
      </c>
    </row>
    <row r="1578" spans="1:8">
      <c r="A1578" s="1">
        <v>1586</v>
      </c>
      <c r="B1578" s="2" t="s">
        <v>2087</v>
      </c>
      <c r="C1578" s="3">
        <v>38254</v>
      </c>
      <c r="D1578" s="4">
        <f>YEAR(Table1[[#This Row],[Date]])</f>
        <v>2004</v>
      </c>
      <c r="E1578" s="2" t="s">
        <v>2081</v>
      </c>
      <c r="F1578" s="4">
        <v>66</v>
      </c>
      <c r="G1578" s="5">
        <v>199.70274563442874</v>
      </c>
      <c r="H1578" s="6" t="s">
        <v>2086</v>
      </c>
    </row>
    <row r="1579" spans="1:8">
      <c r="A1579" s="1">
        <v>1587</v>
      </c>
      <c r="B1579" s="2" t="s">
        <v>2087</v>
      </c>
      <c r="C1579" s="3">
        <v>38364</v>
      </c>
      <c r="D1579" s="4">
        <f>YEAR(Table1[[#This Row],[Date]])</f>
        <v>2005</v>
      </c>
      <c r="E1579" s="2" t="s">
        <v>2081</v>
      </c>
      <c r="F1579" s="4">
        <v>95</v>
      </c>
      <c r="G1579" s="5">
        <v>286.75530123408925</v>
      </c>
      <c r="H1579" s="6" t="s">
        <v>2090</v>
      </c>
    </row>
    <row r="1580" spans="1:8">
      <c r="A1580" s="1">
        <v>1588</v>
      </c>
      <c r="B1580" s="2" t="s">
        <v>2091</v>
      </c>
      <c r="C1580" s="3">
        <v>38540</v>
      </c>
      <c r="D1580" s="4">
        <f>YEAR(Table1[[#This Row],[Date]])</f>
        <v>2005</v>
      </c>
      <c r="E1580" s="2" t="s">
        <v>2097</v>
      </c>
      <c r="F1580" s="4">
        <v>61</v>
      </c>
      <c r="G1580" s="5">
        <v>184.83908498989172</v>
      </c>
      <c r="H1580" s="6" t="s">
        <v>2086</v>
      </c>
    </row>
    <row r="1581" spans="1:8">
      <c r="A1581" s="1">
        <v>1589</v>
      </c>
      <c r="B1581" s="2" t="s">
        <v>2093</v>
      </c>
      <c r="C1581" s="3">
        <v>38914</v>
      </c>
      <c r="D1581" s="4">
        <f>YEAR(Table1[[#This Row],[Date]])</f>
        <v>2006</v>
      </c>
      <c r="E1581" s="2" t="s">
        <v>2081</v>
      </c>
      <c r="F1581" s="4">
        <v>26</v>
      </c>
      <c r="G1581" s="5">
        <v>79.322466776997217</v>
      </c>
      <c r="H1581" s="6" t="s">
        <v>2096</v>
      </c>
    </row>
    <row r="1582" spans="1:8">
      <c r="A1582" s="1">
        <v>1590</v>
      </c>
      <c r="B1582" s="2" t="s">
        <v>2098</v>
      </c>
      <c r="C1582" s="3">
        <v>38694</v>
      </c>
      <c r="D1582" s="4">
        <f>YEAR(Table1[[#This Row],[Date]])</f>
        <v>2005</v>
      </c>
      <c r="E1582" s="2" t="s">
        <v>2097</v>
      </c>
      <c r="F1582" s="4">
        <v>29</v>
      </c>
      <c r="G1582" s="5">
        <v>89.116436100256237</v>
      </c>
      <c r="H1582" s="6" t="s">
        <v>2090</v>
      </c>
    </row>
    <row r="1583" spans="1:8">
      <c r="A1583" s="1">
        <v>1591</v>
      </c>
      <c r="B1583" s="2" t="s">
        <v>2098</v>
      </c>
      <c r="C1583" s="3">
        <v>38397</v>
      </c>
      <c r="D1583" s="4">
        <f>YEAR(Table1[[#This Row],[Date]])</f>
        <v>2005</v>
      </c>
      <c r="E1583" s="2" t="s">
        <v>2081</v>
      </c>
      <c r="F1583" s="4">
        <v>61</v>
      </c>
      <c r="G1583" s="5">
        <v>184.79269376899887</v>
      </c>
      <c r="H1583" s="6" t="s">
        <v>2096</v>
      </c>
    </row>
    <row r="1584" spans="1:8">
      <c r="A1584" s="1">
        <v>1592</v>
      </c>
      <c r="B1584" s="2" t="s">
        <v>2084</v>
      </c>
      <c r="C1584" s="3">
        <v>38881</v>
      </c>
      <c r="D1584" s="4">
        <f>YEAR(Table1[[#This Row],[Date]])</f>
        <v>2006</v>
      </c>
      <c r="E1584" s="2" t="s">
        <v>2097</v>
      </c>
      <c r="F1584" s="4">
        <v>3</v>
      </c>
      <c r="G1584" s="5">
        <v>7.0063461933355882</v>
      </c>
      <c r="H1584" s="6" t="s">
        <v>2082</v>
      </c>
    </row>
    <row r="1585" spans="1:8">
      <c r="A1585" s="1">
        <v>1593</v>
      </c>
      <c r="B1585" s="2" t="s">
        <v>2100</v>
      </c>
      <c r="C1585" s="3">
        <v>38727</v>
      </c>
      <c r="D1585" s="4">
        <f>YEAR(Table1[[#This Row],[Date]])</f>
        <v>2006</v>
      </c>
      <c r="E1585" s="2" t="s">
        <v>2085</v>
      </c>
      <c r="F1585" s="4">
        <v>40</v>
      </c>
      <c r="G1585" s="5">
        <v>122.05274122201725</v>
      </c>
      <c r="H1585" s="6" t="s">
        <v>2082</v>
      </c>
    </row>
    <row r="1586" spans="1:8">
      <c r="A1586" s="1">
        <v>1594</v>
      </c>
      <c r="B1586" s="2" t="s">
        <v>2084</v>
      </c>
      <c r="C1586" s="3">
        <v>38914</v>
      </c>
      <c r="D1586" s="4">
        <f>YEAR(Table1[[#This Row],[Date]])</f>
        <v>2006</v>
      </c>
      <c r="E1586" s="2" t="s">
        <v>2085</v>
      </c>
      <c r="F1586" s="4">
        <v>86</v>
      </c>
      <c r="G1586" s="5">
        <v>260.36699971588303</v>
      </c>
      <c r="H1586" s="6" t="s">
        <v>2090</v>
      </c>
    </row>
    <row r="1587" spans="1:8">
      <c r="A1587" s="1">
        <v>1595</v>
      </c>
      <c r="B1587" s="2" t="s">
        <v>2100</v>
      </c>
      <c r="C1587" s="3">
        <v>38507</v>
      </c>
      <c r="D1587" s="4">
        <f>YEAR(Table1[[#This Row],[Date]])</f>
        <v>2005</v>
      </c>
      <c r="E1587" s="2" t="s">
        <v>2088</v>
      </c>
      <c r="F1587" s="4">
        <v>58</v>
      </c>
      <c r="G1587" s="5">
        <v>176.57900116326704</v>
      </c>
      <c r="H1587" s="6" t="s">
        <v>2086</v>
      </c>
    </row>
    <row r="1588" spans="1:8">
      <c r="A1588" s="1">
        <v>1596</v>
      </c>
      <c r="B1588" s="2" t="s">
        <v>2084</v>
      </c>
      <c r="C1588" s="3">
        <v>38397</v>
      </c>
      <c r="D1588" s="4">
        <f>YEAR(Table1[[#This Row],[Date]])</f>
        <v>2005</v>
      </c>
      <c r="E1588" s="2" t="s">
        <v>2094</v>
      </c>
      <c r="F1588" s="4">
        <v>13</v>
      </c>
      <c r="G1588" s="5">
        <v>41.15897784518318</v>
      </c>
      <c r="H1588" s="6" t="s">
        <v>2090</v>
      </c>
    </row>
    <row r="1589" spans="1:8">
      <c r="A1589" s="1">
        <v>1597</v>
      </c>
      <c r="B1589" s="2" t="s">
        <v>2100</v>
      </c>
      <c r="C1589" s="3">
        <v>39079</v>
      </c>
      <c r="D1589" s="4">
        <f>YEAR(Table1[[#This Row],[Date]])</f>
        <v>2006</v>
      </c>
      <c r="E1589" s="2" t="s">
        <v>2094</v>
      </c>
      <c r="F1589" s="4">
        <v>14</v>
      </c>
      <c r="G1589" s="5">
        <v>44.433583210085722</v>
      </c>
      <c r="H1589" s="6" t="s">
        <v>2082</v>
      </c>
    </row>
    <row r="1590" spans="1:8">
      <c r="A1590" s="1">
        <v>1598</v>
      </c>
      <c r="B1590" s="2" t="s">
        <v>2098</v>
      </c>
      <c r="C1590" s="3">
        <v>38463</v>
      </c>
      <c r="D1590" s="4">
        <f>YEAR(Table1[[#This Row],[Date]])</f>
        <v>2005</v>
      </c>
      <c r="E1590" s="2" t="s">
        <v>2097</v>
      </c>
      <c r="F1590" s="4">
        <v>85</v>
      </c>
      <c r="G1590" s="5">
        <v>256.67637583501136</v>
      </c>
      <c r="H1590" s="6" t="s">
        <v>2082</v>
      </c>
    </row>
    <row r="1591" spans="1:8">
      <c r="A1591" s="1">
        <v>1599</v>
      </c>
      <c r="B1591" s="2" t="s">
        <v>2095</v>
      </c>
      <c r="C1591" s="3">
        <v>38749</v>
      </c>
      <c r="D1591" s="4">
        <f>YEAR(Table1[[#This Row],[Date]])</f>
        <v>2006</v>
      </c>
      <c r="E1591" s="2" t="s">
        <v>2081</v>
      </c>
      <c r="F1591" s="4">
        <v>42</v>
      </c>
      <c r="G1591" s="5">
        <v>127.6000829370011</v>
      </c>
      <c r="H1591" s="6" t="s">
        <v>2086</v>
      </c>
    </row>
    <row r="1592" spans="1:8">
      <c r="A1592" s="1">
        <v>1600</v>
      </c>
      <c r="B1592" s="2" t="s">
        <v>2100</v>
      </c>
      <c r="C1592" s="3">
        <v>39035</v>
      </c>
      <c r="D1592" s="4">
        <f>YEAR(Table1[[#This Row],[Date]])</f>
        <v>2006</v>
      </c>
      <c r="E1592" s="2" t="s">
        <v>2088</v>
      </c>
      <c r="F1592" s="4">
        <v>11</v>
      </c>
      <c r="G1592" s="5">
        <v>35.427503831280553</v>
      </c>
      <c r="H1592" s="6" t="s">
        <v>2090</v>
      </c>
    </row>
    <row r="1593" spans="1:8">
      <c r="A1593" s="1">
        <v>1601</v>
      </c>
      <c r="B1593" s="2" t="s">
        <v>2099</v>
      </c>
      <c r="C1593" s="3">
        <v>38012</v>
      </c>
      <c r="D1593" s="4">
        <f>YEAR(Table1[[#This Row],[Date]])</f>
        <v>2004</v>
      </c>
      <c r="E1593" s="2" t="s">
        <v>2081</v>
      </c>
      <c r="F1593" s="4">
        <v>32</v>
      </c>
      <c r="G1593" s="5">
        <v>98.405028744773347</v>
      </c>
      <c r="H1593" s="6" t="s">
        <v>2082</v>
      </c>
    </row>
    <row r="1594" spans="1:8">
      <c r="A1594" s="1">
        <v>1602</v>
      </c>
      <c r="B1594" s="2" t="s">
        <v>2084</v>
      </c>
      <c r="C1594" s="3">
        <v>38375</v>
      </c>
      <c r="D1594" s="4">
        <f>YEAR(Table1[[#This Row],[Date]])</f>
        <v>2005</v>
      </c>
      <c r="E1594" s="2" t="s">
        <v>2081</v>
      </c>
      <c r="F1594" s="4">
        <v>79</v>
      </c>
      <c r="G1594" s="5">
        <v>239.26463824341167</v>
      </c>
      <c r="H1594" s="6" t="s">
        <v>2082</v>
      </c>
    </row>
    <row r="1595" spans="1:8">
      <c r="A1595" s="1">
        <v>1603</v>
      </c>
      <c r="B1595" s="2" t="s">
        <v>2098</v>
      </c>
      <c r="C1595" s="3">
        <v>38155</v>
      </c>
      <c r="D1595" s="4">
        <f>YEAR(Table1[[#This Row],[Date]])</f>
        <v>2004</v>
      </c>
      <c r="E1595" s="2" t="s">
        <v>2081</v>
      </c>
      <c r="F1595" s="4">
        <v>25</v>
      </c>
      <c r="G1595" s="5">
        <v>77.046747006624841</v>
      </c>
      <c r="H1595" s="6" t="s">
        <v>2090</v>
      </c>
    </row>
    <row r="1596" spans="1:8">
      <c r="A1596" s="1">
        <v>1604</v>
      </c>
      <c r="B1596" s="2" t="s">
        <v>2095</v>
      </c>
      <c r="C1596" s="3">
        <v>38683</v>
      </c>
      <c r="D1596" s="4">
        <f>YEAR(Table1[[#This Row],[Date]])</f>
        <v>2005</v>
      </c>
      <c r="E1596" s="2" t="s">
        <v>2085</v>
      </c>
      <c r="F1596" s="4">
        <v>94</v>
      </c>
      <c r="G1596" s="5">
        <v>284.06034486899824</v>
      </c>
      <c r="H1596" s="6" t="s">
        <v>2090</v>
      </c>
    </row>
    <row r="1597" spans="1:8">
      <c r="A1597" s="1">
        <v>1605</v>
      </c>
      <c r="B1597" s="2" t="s">
        <v>2093</v>
      </c>
      <c r="C1597" s="3">
        <v>39035</v>
      </c>
      <c r="D1597" s="4">
        <f>YEAR(Table1[[#This Row],[Date]])</f>
        <v>2006</v>
      </c>
      <c r="E1597" s="2" t="s">
        <v>2094</v>
      </c>
      <c r="F1597" s="4">
        <v>6</v>
      </c>
      <c r="G1597" s="5">
        <v>20.057205766736782</v>
      </c>
      <c r="H1597" s="6" t="s">
        <v>2086</v>
      </c>
    </row>
    <row r="1598" spans="1:8">
      <c r="A1598" s="1">
        <v>1606</v>
      </c>
      <c r="B1598" s="2" t="s">
        <v>2091</v>
      </c>
      <c r="C1598" s="3">
        <v>38518</v>
      </c>
      <c r="D1598" s="4">
        <f>YEAR(Table1[[#This Row],[Date]])</f>
        <v>2005</v>
      </c>
      <c r="E1598" s="2" t="s">
        <v>2088</v>
      </c>
      <c r="F1598" s="4">
        <v>15</v>
      </c>
      <c r="G1598" s="5">
        <v>46.567063375670365</v>
      </c>
      <c r="H1598" s="6" t="s">
        <v>2090</v>
      </c>
    </row>
    <row r="1599" spans="1:8">
      <c r="A1599" s="1">
        <v>1607</v>
      </c>
      <c r="B1599" s="2" t="s">
        <v>2095</v>
      </c>
      <c r="C1599" s="3">
        <v>38166</v>
      </c>
      <c r="D1599" s="4">
        <f>YEAR(Table1[[#This Row],[Date]])</f>
        <v>2004</v>
      </c>
      <c r="E1599" s="2" t="s">
        <v>2094</v>
      </c>
      <c r="F1599" s="4">
        <v>15</v>
      </c>
      <c r="G1599" s="5">
        <v>47.252520248890754</v>
      </c>
      <c r="H1599" s="6" t="s">
        <v>2096</v>
      </c>
    </row>
    <row r="1600" spans="1:8">
      <c r="A1600" s="1">
        <v>1608</v>
      </c>
      <c r="B1600" s="2" t="s">
        <v>2098</v>
      </c>
      <c r="C1600" s="3">
        <v>38056</v>
      </c>
      <c r="D1600" s="4">
        <f>YEAR(Table1[[#This Row],[Date]])</f>
        <v>2004</v>
      </c>
      <c r="E1600" s="2" t="s">
        <v>2085</v>
      </c>
      <c r="F1600" s="4">
        <v>81</v>
      </c>
      <c r="G1600" s="5">
        <v>244.70980660248637</v>
      </c>
      <c r="H1600" s="6" t="s">
        <v>2096</v>
      </c>
    </row>
    <row r="1601" spans="1:8">
      <c r="A1601" s="1">
        <v>1609</v>
      </c>
      <c r="B1601" s="2" t="s">
        <v>2080</v>
      </c>
      <c r="C1601" s="3">
        <v>38452</v>
      </c>
      <c r="D1601" s="4">
        <f>YEAR(Table1[[#This Row],[Date]])</f>
        <v>2005</v>
      </c>
      <c r="E1601" s="2" t="s">
        <v>2094</v>
      </c>
      <c r="F1601" s="4">
        <v>94</v>
      </c>
      <c r="G1601" s="5">
        <v>283.45878652006695</v>
      </c>
      <c r="H1601" s="6" t="s">
        <v>2096</v>
      </c>
    </row>
    <row r="1602" spans="1:8">
      <c r="A1602" s="1">
        <v>1610</v>
      </c>
      <c r="B1602" s="2" t="s">
        <v>2091</v>
      </c>
      <c r="C1602" s="3">
        <v>38001</v>
      </c>
      <c r="D1602" s="4">
        <f>YEAR(Table1[[#This Row],[Date]])</f>
        <v>2004</v>
      </c>
      <c r="E1602" s="2" t="s">
        <v>2097</v>
      </c>
      <c r="F1602" s="4">
        <v>11</v>
      </c>
      <c r="G1602" s="5">
        <v>35.187328425003173</v>
      </c>
      <c r="H1602" s="6" t="s">
        <v>2086</v>
      </c>
    </row>
    <row r="1603" spans="1:8">
      <c r="A1603" s="1">
        <v>1611</v>
      </c>
      <c r="B1603" s="2" t="s">
        <v>2093</v>
      </c>
      <c r="C1603" s="3">
        <v>38078</v>
      </c>
      <c r="D1603" s="4">
        <f>YEAR(Table1[[#This Row],[Date]])</f>
        <v>2004</v>
      </c>
      <c r="E1603" s="2" t="s">
        <v>2094</v>
      </c>
      <c r="F1603" s="4">
        <v>12</v>
      </c>
      <c r="G1603" s="5">
        <v>38.183005482105493</v>
      </c>
      <c r="H1603" s="6" t="s">
        <v>2090</v>
      </c>
    </row>
    <row r="1604" spans="1:8">
      <c r="A1604" s="1">
        <v>1612</v>
      </c>
      <c r="B1604" s="2" t="s">
        <v>2084</v>
      </c>
      <c r="C1604" s="3">
        <v>38595</v>
      </c>
      <c r="D1604" s="4">
        <f>YEAR(Table1[[#This Row],[Date]])</f>
        <v>2005</v>
      </c>
      <c r="E1604" s="2" t="s">
        <v>2094</v>
      </c>
      <c r="F1604" s="4">
        <v>85</v>
      </c>
      <c r="G1604" s="5">
        <v>257.13848470493929</v>
      </c>
      <c r="H1604" s="6" t="s">
        <v>2086</v>
      </c>
    </row>
    <row r="1605" spans="1:8">
      <c r="A1605" s="1">
        <v>1613</v>
      </c>
      <c r="B1605" s="2" t="s">
        <v>2091</v>
      </c>
      <c r="C1605" s="3">
        <v>39046</v>
      </c>
      <c r="D1605" s="4">
        <f>YEAR(Table1[[#This Row],[Date]])</f>
        <v>2006</v>
      </c>
      <c r="E1605" s="2" t="s">
        <v>2094</v>
      </c>
      <c r="F1605" s="4">
        <v>39</v>
      </c>
      <c r="G1605" s="5">
        <v>119.05508877849219</v>
      </c>
      <c r="H1605" s="6" t="s">
        <v>2082</v>
      </c>
    </row>
    <row r="1606" spans="1:8">
      <c r="A1606" s="1">
        <v>1614</v>
      </c>
      <c r="B1606" s="2" t="s">
        <v>2091</v>
      </c>
      <c r="C1606" s="3">
        <v>38177</v>
      </c>
      <c r="D1606" s="4">
        <f>YEAR(Table1[[#This Row],[Date]])</f>
        <v>2004</v>
      </c>
      <c r="E1606" s="2" t="s">
        <v>2085</v>
      </c>
      <c r="F1606" s="4">
        <v>9</v>
      </c>
      <c r="G1606" s="5">
        <v>29.108535014212187</v>
      </c>
      <c r="H1606" s="6" t="s">
        <v>2096</v>
      </c>
    </row>
    <row r="1607" spans="1:8">
      <c r="A1607" s="1">
        <v>1615</v>
      </c>
      <c r="B1607" s="2" t="s">
        <v>2091</v>
      </c>
      <c r="C1607" s="3">
        <v>38386</v>
      </c>
      <c r="D1607" s="4">
        <f>YEAR(Table1[[#This Row],[Date]])</f>
        <v>2005</v>
      </c>
      <c r="E1607" s="2" t="s">
        <v>2097</v>
      </c>
      <c r="F1607" s="4">
        <v>25</v>
      </c>
      <c r="G1607" s="5">
        <v>77.542041967509959</v>
      </c>
      <c r="H1607" s="6" t="s">
        <v>2090</v>
      </c>
    </row>
    <row r="1608" spans="1:8">
      <c r="A1608" s="1">
        <v>1616</v>
      </c>
      <c r="B1608" s="2" t="s">
        <v>2099</v>
      </c>
      <c r="C1608" s="3">
        <v>38144</v>
      </c>
      <c r="D1608" s="4">
        <f>YEAR(Table1[[#This Row],[Date]])</f>
        <v>2004</v>
      </c>
      <c r="E1608" s="2" t="s">
        <v>2094</v>
      </c>
      <c r="F1608" s="4">
        <v>79</v>
      </c>
      <c r="G1608" s="5">
        <v>239.89003921274065</v>
      </c>
      <c r="H1608" s="6" t="s">
        <v>2086</v>
      </c>
    </row>
    <row r="1609" spans="1:8">
      <c r="A1609" s="1">
        <v>1617</v>
      </c>
      <c r="B1609" s="2" t="s">
        <v>2084</v>
      </c>
      <c r="C1609" s="3">
        <v>38133</v>
      </c>
      <c r="D1609" s="4">
        <f>YEAR(Table1[[#This Row],[Date]])</f>
        <v>2004</v>
      </c>
      <c r="E1609" s="2" t="s">
        <v>2094</v>
      </c>
      <c r="F1609" s="4">
        <v>83</v>
      </c>
      <c r="G1609" s="5">
        <v>250.62172213757762</v>
      </c>
      <c r="H1609" s="6" t="s">
        <v>2086</v>
      </c>
    </row>
    <row r="1610" spans="1:8">
      <c r="A1610" s="1">
        <v>1618</v>
      </c>
      <c r="B1610" s="2" t="s">
        <v>2084</v>
      </c>
      <c r="C1610" s="3">
        <v>38694</v>
      </c>
      <c r="D1610" s="4">
        <f>YEAR(Table1[[#This Row],[Date]])</f>
        <v>2005</v>
      </c>
      <c r="E1610" s="2" t="s">
        <v>2085</v>
      </c>
      <c r="F1610" s="4">
        <v>3</v>
      </c>
      <c r="G1610" s="5">
        <v>6.4441526293000173</v>
      </c>
      <c r="H1610" s="6" t="s">
        <v>2082</v>
      </c>
    </row>
    <row r="1611" spans="1:8">
      <c r="A1611" s="1">
        <v>1619</v>
      </c>
      <c r="B1611" s="2" t="s">
        <v>2100</v>
      </c>
      <c r="C1611" s="3">
        <v>38771</v>
      </c>
      <c r="D1611" s="4">
        <f>YEAR(Table1[[#This Row],[Date]])</f>
        <v>2006</v>
      </c>
      <c r="E1611" s="2" t="s">
        <v>2097</v>
      </c>
      <c r="F1611" s="4">
        <v>62</v>
      </c>
      <c r="G1611" s="5">
        <v>188.23625463241646</v>
      </c>
      <c r="H1611" s="6" t="s">
        <v>2086</v>
      </c>
    </row>
    <row r="1612" spans="1:8">
      <c r="A1612" s="1">
        <v>1620</v>
      </c>
      <c r="B1612" s="2" t="s">
        <v>2100</v>
      </c>
      <c r="C1612" s="3">
        <v>38023</v>
      </c>
      <c r="D1612" s="4">
        <f>YEAR(Table1[[#This Row],[Date]])</f>
        <v>2004</v>
      </c>
      <c r="E1612" s="2" t="s">
        <v>2094</v>
      </c>
      <c r="F1612" s="4">
        <v>6</v>
      </c>
      <c r="G1612" s="5">
        <v>19.315165106288639</v>
      </c>
      <c r="H1612" s="6" t="s">
        <v>2096</v>
      </c>
    </row>
    <row r="1613" spans="1:8">
      <c r="A1613" s="1">
        <v>1621</v>
      </c>
      <c r="B1613" s="2" t="s">
        <v>2087</v>
      </c>
      <c r="C1613" s="3">
        <v>38815</v>
      </c>
      <c r="D1613" s="4">
        <f>YEAR(Table1[[#This Row],[Date]])</f>
        <v>2006</v>
      </c>
      <c r="E1613" s="2" t="s">
        <v>2097</v>
      </c>
      <c r="F1613" s="4">
        <v>13</v>
      </c>
      <c r="G1613" s="5">
        <v>41.394747641625173</v>
      </c>
      <c r="H1613" s="6" t="s">
        <v>2086</v>
      </c>
    </row>
    <row r="1614" spans="1:8">
      <c r="A1614" s="1">
        <v>1622</v>
      </c>
      <c r="B1614" s="2" t="s">
        <v>2098</v>
      </c>
      <c r="C1614" s="3">
        <v>38617</v>
      </c>
      <c r="D1614" s="4">
        <f>YEAR(Table1[[#This Row],[Date]])</f>
        <v>2005</v>
      </c>
      <c r="E1614" s="2" t="s">
        <v>2094</v>
      </c>
      <c r="F1614" s="4">
        <v>88</v>
      </c>
      <c r="G1614" s="5">
        <v>266.15306975216902</v>
      </c>
      <c r="H1614" s="6" t="s">
        <v>2090</v>
      </c>
    </row>
    <row r="1615" spans="1:8">
      <c r="A1615" s="1">
        <v>1623</v>
      </c>
      <c r="B1615" s="2" t="s">
        <v>2098</v>
      </c>
      <c r="C1615" s="3">
        <v>38089</v>
      </c>
      <c r="D1615" s="4">
        <f>YEAR(Table1[[#This Row],[Date]])</f>
        <v>2004</v>
      </c>
      <c r="E1615" s="2" t="s">
        <v>2094</v>
      </c>
      <c r="F1615" s="4">
        <v>35</v>
      </c>
      <c r="G1615" s="5">
        <v>106.7048352932988</v>
      </c>
      <c r="H1615" s="6" t="s">
        <v>2090</v>
      </c>
    </row>
    <row r="1616" spans="1:8">
      <c r="A1616" s="1">
        <v>1624</v>
      </c>
      <c r="B1616" s="2" t="s">
        <v>2095</v>
      </c>
      <c r="C1616" s="3">
        <v>38276</v>
      </c>
      <c r="D1616" s="4">
        <f>YEAR(Table1[[#This Row],[Date]])</f>
        <v>2004</v>
      </c>
      <c r="E1616" s="2" t="s">
        <v>2094</v>
      </c>
      <c r="F1616" s="4">
        <v>61</v>
      </c>
      <c r="G1616" s="5">
        <v>185.38182854142642</v>
      </c>
      <c r="H1616" s="6" t="s">
        <v>2086</v>
      </c>
    </row>
    <row r="1617" spans="1:8">
      <c r="A1617" s="1">
        <v>1625</v>
      </c>
      <c r="B1617" s="2" t="s">
        <v>2084</v>
      </c>
      <c r="C1617" s="3">
        <v>38562</v>
      </c>
      <c r="D1617" s="4">
        <f>YEAR(Table1[[#This Row],[Date]])</f>
        <v>2005</v>
      </c>
      <c r="E1617" s="2" t="s">
        <v>2094</v>
      </c>
      <c r="F1617" s="4">
        <v>95</v>
      </c>
      <c r="G1617" s="5">
        <v>287.15467709700755</v>
      </c>
      <c r="H1617" s="6" t="s">
        <v>2090</v>
      </c>
    </row>
    <row r="1618" spans="1:8">
      <c r="A1618" s="1">
        <v>1626</v>
      </c>
      <c r="B1618" s="2" t="s">
        <v>2098</v>
      </c>
      <c r="C1618" s="3">
        <v>38353</v>
      </c>
      <c r="D1618" s="4">
        <f>YEAR(Table1[[#This Row],[Date]])</f>
        <v>2005</v>
      </c>
      <c r="E1618" s="2" t="s">
        <v>2094</v>
      </c>
      <c r="F1618" s="4">
        <v>30</v>
      </c>
      <c r="G1618" s="5">
        <v>92.417025758970482</v>
      </c>
      <c r="H1618" s="6" t="s">
        <v>2096</v>
      </c>
    </row>
    <row r="1619" spans="1:8">
      <c r="A1619" s="1">
        <v>1627</v>
      </c>
      <c r="B1619" s="2" t="s">
        <v>2098</v>
      </c>
      <c r="C1619" s="3">
        <v>38914</v>
      </c>
      <c r="D1619" s="4">
        <f>YEAR(Table1[[#This Row],[Date]])</f>
        <v>2006</v>
      </c>
      <c r="E1619" s="2" t="s">
        <v>2094</v>
      </c>
      <c r="F1619" s="4">
        <v>1</v>
      </c>
      <c r="G1619" s="5">
        <v>1.6370674232788498</v>
      </c>
      <c r="H1619" s="6" t="s">
        <v>2096</v>
      </c>
    </row>
    <row r="1620" spans="1:8">
      <c r="A1620" s="1">
        <v>1628</v>
      </c>
      <c r="B1620" s="2" t="s">
        <v>2080</v>
      </c>
      <c r="C1620" s="3">
        <v>38353</v>
      </c>
      <c r="D1620" s="4">
        <f>YEAR(Table1[[#This Row],[Date]])</f>
        <v>2005</v>
      </c>
      <c r="E1620" s="2" t="s">
        <v>2088</v>
      </c>
      <c r="F1620" s="4">
        <v>5</v>
      </c>
      <c r="G1620" s="5">
        <v>16.92808141657132</v>
      </c>
      <c r="H1620" s="6" t="s">
        <v>2086</v>
      </c>
    </row>
    <row r="1621" spans="1:8">
      <c r="A1621" s="1">
        <v>1629</v>
      </c>
      <c r="B1621" s="2" t="s">
        <v>2080</v>
      </c>
      <c r="C1621" s="3">
        <v>38419</v>
      </c>
      <c r="D1621" s="4">
        <f>YEAR(Table1[[#This Row],[Date]])</f>
        <v>2005</v>
      </c>
      <c r="E1621" s="2" t="s">
        <v>2085</v>
      </c>
      <c r="F1621" s="4">
        <v>42</v>
      </c>
      <c r="G1621" s="5">
        <v>127.31651996144141</v>
      </c>
      <c r="H1621" s="6" t="s">
        <v>2096</v>
      </c>
    </row>
    <row r="1622" spans="1:8">
      <c r="A1622" s="1">
        <v>1630</v>
      </c>
      <c r="B1622" s="2" t="s">
        <v>2091</v>
      </c>
      <c r="C1622" s="3">
        <v>38474</v>
      </c>
      <c r="D1622" s="4">
        <f>YEAR(Table1[[#This Row],[Date]])</f>
        <v>2005</v>
      </c>
      <c r="E1622" s="2" t="s">
        <v>2094</v>
      </c>
      <c r="F1622" s="4">
        <v>14</v>
      </c>
      <c r="G1622" s="5">
        <v>44.540640710887878</v>
      </c>
      <c r="H1622" s="6" t="s">
        <v>2086</v>
      </c>
    </row>
    <row r="1623" spans="1:8">
      <c r="A1623" s="1">
        <v>1631</v>
      </c>
      <c r="B1623" s="2" t="s">
        <v>2095</v>
      </c>
      <c r="C1623" s="3">
        <v>38573</v>
      </c>
      <c r="D1623" s="4">
        <f>YEAR(Table1[[#This Row],[Date]])</f>
        <v>2005</v>
      </c>
      <c r="E1623" s="2" t="s">
        <v>2094</v>
      </c>
      <c r="F1623" s="4">
        <v>4</v>
      </c>
      <c r="G1623" s="5">
        <v>10.005990967007831</v>
      </c>
      <c r="H1623" s="6" t="s">
        <v>2082</v>
      </c>
    </row>
    <row r="1624" spans="1:8">
      <c r="A1624" s="1">
        <v>1632</v>
      </c>
      <c r="B1624" s="2" t="s">
        <v>2100</v>
      </c>
      <c r="C1624" s="3">
        <v>38738</v>
      </c>
      <c r="D1624" s="4">
        <f>YEAR(Table1[[#This Row],[Date]])</f>
        <v>2006</v>
      </c>
      <c r="E1624" s="2" t="s">
        <v>2085</v>
      </c>
      <c r="F1624" s="4">
        <v>27</v>
      </c>
      <c r="G1624" s="5">
        <v>82.256344701253937</v>
      </c>
      <c r="H1624" s="6" t="s">
        <v>2082</v>
      </c>
    </row>
    <row r="1625" spans="1:8">
      <c r="A1625" s="1">
        <v>1633</v>
      </c>
      <c r="B1625" s="2" t="s">
        <v>2100</v>
      </c>
      <c r="C1625" s="3">
        <v>38111</v>
      </c>
      <c r="D1625" s="4">
        <f>YEAR(Table1[[#This Row],[Date]])</f>
        <v>2004</v>
      </c>
      <c r="E1625" s="2" t="s">
        <v>2097</v>
      </c>
      <c r="F1625" s="4">
        <v>5</v>
      </c>
      <c r="G1625" s="5">
        <v>17.11095820057195</v>
      </c>
      <c r="H1625" s="6" t="s">
        <v>2096</v>
      </c>
    </row>
    <row r="1626" spans="1:8">
      <c r="A1626" s="1">
        <v>1634</v>
      </c>
      <c r="B1626" s="2" t="s">
        <v>2087</v>
      </c>
      <c r="C1626" s="3">
        <v>38430</v>
      </c>
      <c r="D1626" s="4">
        <f>YEAR(Table1[[#This Row],[Date]])</f>
        <v>2005</v>
      </c>
      <c r="E1626" s="2" t="s">
        <v>2097</v>
      </c>
      <c r="F1626" s="4">
        <v>57</v>
      </c>
      <c r="G1626" s="5">
        <v>173.29644937565891</v>
      </c>
      <c r="H1626" s="6" t="s">
        <v>2082</v>
      </c>
    </row>
    <row r="1627" spans="1:8">
      <c r="A1627" s="1">
        <v>1635</v>
      </c>
      <c r="B1627" s="2" t="s">
        <v>2084</v>
      </c>
      <c r="C1627" s="3">
        <v>38265</v>
      </c>
      <c r="D1627" s="4">
        <f>YEAR(Table1[[#This Row],[Date]])</f>
        <v>2004</v>
      </c>
      <c r="E1627" s="2" t="s">
        <v>2081</v>
      </c>
      <c r="F1627" s="4">
        <v>78</v>
      </c>
      <c r="G1627" s="5">
        <v>235.61102661696142</v>
      </c>
      <c r="H1627" s="6" t="s">
        <v>2090</v>
      </c>
    </row>
    <row r="1628" spans="1:8">
      <c r="A1628" s="1">
        <v>1636</v>
      </c>
      <c r="B1628" s="2" t="s">
        <v>2100</v>
      </c>
      <c r="C1628" s="3">
        <v>38969</v>
      </c>
      <c r="D1628" s="4">
        <f>YEAR(Table1[[#This Row],[Date]])</f>
        <v>2006</v>
      </c>
      <c r="E1628" s="2" t="s">
        <v>2097</v>
      </c>
      <c r="F1628" s="4">
        <v>11</v>
      </c>
      <c r="G1628" s="5">
        <v>35.303927193880931</v>
      </c>
      <c r="H1628" s="6" t="s">
        <v>2086</v>
      </c>
    </row>
    <row r="1629" spans="1:8">
      <c r="A1629" s="1">
        <v>1637</v>
      </c>
      <c r="B1629" s="2" t="s">
        <v>2095</v>
      </c>
      <c r="C1629" s="3">
        <v>38265</v>
      </c>
      <c r="D1629" s="4">
        <f>YEAR(Table1[[#This Row],[Date]])</f>
        <v>2004</v>
      </c>
      <c r="E1629" s="2" t="s">
        <v>2081</v>
      </c>
      <c r="F1629" s="4">
        <v>55</v>
      </c>
      <c r="G1629" s="5">
        <v>166.9336198966493</v>
      </c>
      <c r="H1629" s="6" t="s">
        <v>2082</v>
      </c>
    </row>
    <row r="1630" spans="1:8">
      <c r="A1630" s="1">
        <v>1638</v>
      </c>
      <c r="B1630" s="2" t="s">
        <v>2087</v>
      </c>
      <c r="C1630" s="3">
        <v>38265</v>
      </c>
      <c r="D1630" s="4">
        <f>YEAR(Table1[[#This Row],[Date]])</f>
        <v>2004</v>
      </c>
      <c r="E1630" s="2" t="s">
        <v>2097</v>
      </c>
      <c r="F1630" s="4">
        <v>15</v>
      </c>
      <c r="G1630" s="5">
        <v>46.988168377437937</v>
      </c>
      <c r="H1630" s="6" t="s">
        <v>2096</v>
      </c>
    </row>
    <row r="1631" spans="1:8">
      <c r="A1631" s="1">
        <v>1639</v>
      </c>
      <c r="B1631" s="2" t="s">
        <v>2095</v>
      </c>
      <c r="C1631" s="3">
        <v>38023</v>
      </c>
      <c r="D1631" s="4">
        <f>YEAR(Table1[[#This Row],[Date]])</f>
        <v>2004</v>
      </c>
      <c r="E1631" s="2" t="s">
        <v>2094</v>
      </c>
      <c r="F1631" s="4">
        <v>53</v>
      </c>
      <c r="G1631" s="5">
        <v>161.39224032948613</v>
      </c>
      <c r="H1631" s="6" t="s">
        <v>2086</v>
      </c>
    </row>
    <row r="1632" spans="1:8">
      <c r="A1632" s="1">
        <v>1640</v>
      </c>
      <c r="B1632" s="2" t="s">
        <v>2091</v>
      </c>
      <c r="C1632" s="3">
        <v>38584</v>
      </c>
      <c r="D1632" s="4">
        <f>YEAR(Table1[[#This Row],[Date]])</f>
        <v>2005</v>
      </c>
      <c r="E1632" s="2" t="s">
        <v>2081</v>
      </c>
      <c r="F1632" s="4">
        <v>70</v>
      </c>
      <c r="G1632" s="5">
        <v>212.01090684722931</v>
      </c>
      <c r="H1632" s="6" t="s">
        <v>2086</v>
      </c>
    </row>
    <row r="1633" spans="1:8">
      <c r="A1633" s="1">
        <v>1641</v>
      </c>
      <c r="B1633" s="2" t="s">
        <v>2100</v>
      </c>
      <c r="C1633" s="3">
        <v>38947</v>
      </c>
      <c r="D1633" s="4">
        <f>YEAR(Table1[[#This Row],[Date]])</f>
        <v>2006</v>
      </c>
      <c r="E1633" s="2" t="s">
        <v>2085</v>
      </c>
      <c r="F1633" s="4">
        <v>56</v>
      </c>
      <c r="G1633" s="5">
        <v>170.03159669706065</v>
      </c>
      <c r="H1633" s="6" t="s">
        <v>2096</v>
      </c>
    </row>
    <row r="1634" spans="1:8">
      <c r="A1634" s="1">
        <v>1642</v>
      </c>
      <c r="B1634" s="2" t="s">
        <v>2091</v>
      </c>
      <c r="C1634" s="3">
        <v>38859</v>
      </c>
      <c r="D1634" s="4">
        <f>YEAR(Table1[[#This Row],[Date]])</f>
        <v>2006</v>
      </c>
      <c r="E1634" s="2" t="s">
        <v>2094</v>
      </c>
      <c r="F1634" s="4">
        <v>91</v>
      </c>
      <c r="G1634" s="5">
        <v>275.47209572369957</v>
      </c>
      <c r="H1634" s="6" t="s">
        <v>2096</v>
      </c>
    </row>
    <row r="1635" spans="1:8">
      <c r="A1635" s="1">
        <v>1643</v>
      </c>
      <c r="B1635" s="2" t="s">
        <v>2099</v>
      </c>
      <c r="C1635" s="3">
        <v>38342</v>
      </c>
      <c r="D1635" s="4">
        <f>YEAR(Table1[[#This Row],[Date]])</f>
        <v>2004</v>
      </c>
      <c r="E1635" s="2" t="s">
        <v>2088</v>
      </c>
      <c r="F1635" s="4">
        <v>55</v>
      </c>
      <c r="G1635" s="5">
        <v>167.80569976811464</v>
      </c>
      <c r="H1635" s="6" t="s">
        <v>2086</v>
      </c>
    </row>
    <row r="1636" spans="1:8">
      <c r="A1636" s="1">
        <v>1644</v>
      </c>
      <c r="B1636" s="2" t="s">
        <v>2095</v>
      </c>
      <c r="C1636" s="3">
        <v>38650</v>
      </c>
      <c r="D1636" s="4">
        <f>YEAR(Table1[[#This Row],[Date]])</f>
        <v>2005</v>
      </c>
      <c r="E1636" s="2" t="s">
        <v>2097</v>
      </c>
      <c r="F1636" s="4">
        <v>1</v>
      </c>
      <c r="G1636" s="5">
        <v>4.7067653474104088</v>
      </c>
      <c r="H1636" s="6" t="s">
        <v>2082</v>
      </c>
    </row>
    <row r="1637" spans="1:8">
      <c r="A1637" s="1">
        <v>1645</v>
      </c>
      <c r="B1637" s="2" t="s">
        <v>2095</v>
      </c>
      <c r="C1637" s="3">
        <v>38386</v>
      </c>
      <c r="D1637" s="4">
        <f>YEAR(Table1[[#This Row],[Date]])</f>
        <v>2005</v>
      </c>
      <c r="E1637" s="2" t="s">
        <v>2094</v>
      </c>
      <c r="F1637" s="4">
        <v>23</v>
      </c>
      <c r="G1637" s="5">
        <v>70.736237537390394</v>
      </c>
      <c r="H1637" s="6" t="s">
        <v>2090</v>
      </c>
    </row>
    <row r="1638" spans="1:8">
      <c r="A1638" s="1">
        <v>1646</v>
      </c>
      <c r="B1638" s="2" t="s">
        <v>2084</v>
      </c>
      <c r="C1638" s="3">
        <v>38705</v>
      </c>
      <c r="D1638" s="4">
        <f>YEAR(Table1[[#This Row],[Date]])</f>
        <v>2005</v>
      </c>
      <c r="E1638" s="2" t="s">
        <v>2081</v>
      </c>
      <c r="F1638" s="4">
        <v>0</v>
      </c>
      <c r="G1638" s="5">
        <v>2.2998593901546056</v>
      </c>
      <c r="H1638" s="6" t="s">
        <v>2096</v>
      </c>
    </row>
    <row r="1639" spans="1:8">
      <c r="A1639" s="1">
        <v>1647</v>
      </c>
      <c r="B1639" s="2" t="s">
        <v>2095</v>
      </c>
      <c r="C1639" s="3">
        <v>38342</v>
      </c>
      <c r="D1639" s="4">
        <f>YEAR(Table1[[#This Row],[Date]])</f>
        <v>2004</v>
      </c>
      <c r="E1639" s="2" t="s">
        <v>2097</v>
      </c>
      <c r="F1639" s="4">
        <v>86</v>
      </c>
      <c r="G1639" s="5">
        <v>259.96491478210521</v>
      </c>
      <c r="H1639" s="6" t="s">
        <v>2090</v>
      </c>
    </row>
    <row r="1640" spans="1:8">
      <c r="A1640" s="1">
        <v>1648</v>
      </c>
      <c r="B1640" s="2" t="s">
        <v>2093</v>
      </c>
      <c r="C1640" s="3">
        <v>38078</v>
      </c>
      <c r="D1640" s="4">
        <f>YEAR(Table1[[#This Row],[Date]])</f>
        <v>2004</v>
      </c>
      <c r="E1640" s="2" t="s">
        <v>2094</v>
      </c>
      <c r="F1640" s="4">
        <v>13</v>
      </c>
      <c r="G1640" s="5">
        <v>40.990045684129242</v>
      </c>
      <c r="H1640" s="6" t="s">
        <v>2086</v>
      </c>
    </row>
    <row r="1641" spans="1:8">
      <c r="A1641" s="1">
        <v>1649</v>
      </c>
      <c r="B1641" s="2" t="s">
        <v>2087</v>
      </c>
      <c r="C1641" s="3">
        <v>38826</v>
      </c>
      <c r="D1641" s="4">
        <f>YEAR(Table1[[#This Row],[Date]])</f>
        <v>2006</v>
      </c>
      <c r="E1641" s="2" t="s">
        <v>2097</v>
      </c>
      <c r="F1641" s="4">
        <v>54</v>
      </c>
      <c r="G1641" s="5">
        <v>163.68855299520598</v>
      </c>
      <c r="H1641" s="6" t="s">
        <v>2090</v>
      </c>
    </row>
    <row r="1642" spans="1:8">
      <c r="A1642" s="1">
        <v>1650</v>
      </c>
      <c r="B1642" s="2" t="s">
        <v>2093</v>
      </c>
      <c r="C1642" s="3">
        <v>38056</v>
      </c>
      <c r="D1642" s="4">
        <f>YEAR(Table1[[#This Row],[Date]])</f>
        <v>2004</v>
      </c>
      <c r="E1642" s="2" t="s">
        <v>2097</v>
      </c>
      <c r="F1642" s="4">
        <v>82</v>
      </c>
      <c r="G1642" s="5">
        <v>247.65702123487802</v>
      </c>
      <c r="H1642" s="6" t="s">
        <v>2096</v>
      </c>
    </row>
    <row r="1643" spans="1:8">
      <c r="A1643" s="1">
        <v>1651</v>
      </c>
      <c r="B1643" s="2" t="s">
        <v>2098</v>
      </c>
      <c r="C1643" s="3">
        <v>38397</v>
      </c>
      <c r="D1643" s="4">
        <f>YEAR(Table1[[#This Row],[Date]])</f>
        <v>2005</v>
      </c>
      <c r="E1643" s="2" t="s">
        <v>2085</v>
      </c>
      <c r="F1643" s="4">
        <v>27</v>
      </c>
      <c r="G1643" s="5">
        <v>82.646392449751019</v>
      </c>
      <c r="H1643" s="6" t="s">
        <v>2086</v>
      </c>
    </row>
    <row r="1644" spans="1:8">
      <c r="A1644" s="1">
        <v>1652</v>
      </c>
      <c r="B1644" s="2" t="s">
        <v>2091</v>
      </c>
      <c r="C1644" s="3">
        <v>39002</v>
      </c>
      <c r="D1644" s="4">
        <f>YEAR(Table1[[#This Row],[Date]])</f>
        <v>2006</v>
      </c>
      <c r="E1644" s="2" t="s">
        <v>2088</v>
      </c>
      <c r="F1644" s="4">
        <v>84</v>
      </c>
      <c r="G1644" s="5">
        <v>254.58342526964253</v>
      </c>
      <c r="H1644" s="6" t="s">
        <v>2090</v>
      </c>
    </row>
    <row r="1645" spans="1:8">
      <c r="A1645" s="1">
        <v>1653</v>
      </c>
      <c r="B1645" s="2" t="s">
        <v>2087</v>
      </c>
      <c r="C1645" s="3">
        <v>38111</v>
      </c>
      <c r="D1645" s="4">
        <f>YEAR(Table1[[#This Row],[Date]])</f>
        <v>2004</v>
      </c>
      <c r="E1645" s="2" t="s">
        <v>2094</v>
      </c>
      <c r="F1645" s="4">
        <v>56</v>
      </c>
      <c r="G1645" s="5">
        <v>170.24926391624365</v>
      </c>
      <c r="H1645" s="6" t="s">
        <v>2096</v>
      </c>
    </row>
    <row r="1646" spans="1:8">
      <c r="A1646" s="1">
        <v>1654</v>
      </c>
      <c r="B1646" s="2" t="s">
        <v>2080</v>
      </c>
      <c r="C1646" s="3">
        <v>38045</v>
      </c>
      <c r="D1646" s="4">
        <f>YEAR(Table1[[#This Row],[Date]])</f>
        <v>2004</v>
      </c>
      <c r="E1646" s="2" t="s">
        <v>2088</v>
      </c>
      <c r="F1646" s="4">
        <v>92</v>
      </c>
      <c r="G1646" s="5">
        <v>277.26934431778176</v>
      </c>
      <c r="H1646" s="6" t="s">
        <v>2082</v>
      </c>
    </row>
    <row r="1647" spans="1:8">
      <c r="A1647" s="1">
        <v>1655</v>
      </c>
      <c r="B1647" s="2" t="s">
        <v>2080</v>
      </c>
      <c r="C1647" s="3">
        <v>38001</v>
      </c>
      <c r="D1647" s="4">
        <f>YEAR(Table1[[#This Row],[Date]])</f>
        <v>2004</v>
      </c>
      <c r="E1647" s="2" t="s">
        <v>2081</v>
      </c>
      <c r="F1647" s="4">
        <v>25</v>
      </c>
      <c r="G1647" s="5">
        <v>77.553918573002605</v>
      </c>
      <c r="H1647" s="6" t="s">
        <v>2090</v>
      </c>
    </row>
    <row r="1648" spans="1:8">
      <c r="A1648" s="1">
        <v>1656</v>
      </c>
      <c r="B1648" s="2" t="s">
        <v>2080</v>
      </c>
      <c r="C1648" s="3">
        <v>38353</v>
      </c>
      <c r="D1648" s="4">
        <f>YEAR(Table1[[#This Row],[Date]])</f>
        <v>2005</v>
      </c>
      <c r="E1648" s="2" t="s">
        <v>2094</v>
      </c>
      <c r="F1648" s="4">
        <v>67</v>
      </c>
      <c r="G1648" s="5">
        <v>203.0044570204021</v>
      </c>
      <c r="H1648" s="6" t="s">
        <v>2096</v>
      </c>
    </row>
    <row r="1649" spans="1:8">
      <c r="A1649" s="1">
        <v>1657</v>
      </c>
      <c r="B1649" s="2" t="s">
        <v>2100</v>
      </c>
      <c r="C1649" s="3">
        <v>38089</v>
      </c>
      <c r="D1649" s="4">
        <f>YEAR(Table1[[#This Row],[Date]])</f>
        <v>2004</v>
      </c>
      <c r="E1649" s="2" t="s">
        <v>2088</v>
      </c>
      <c r="F1649" s="4">
        <v>75</v>
      </c>
      <c r="G1649" s="5">
        <v>226.86441343955028</v>
      </c>
      <c r="H1649" s="6" t="s">
        <v>2090</v>
      </c>
    </row>
    <row r="1650" spans="1:8">
      <c r="A1650" s="1">
        <v>1658</v>
      </c>
      <c r="B1650" s="2" t="s">
        <v>2098</v>
      </c>
      <c r="C1650" s="3">
        <v>38617</v>
      </c>
      <c r="D1650" s="4">
        <f>YEAR(Table1[[#This Row],[Date]])</f>
        <v>2005</v>
      </c>
      <c r="E1650" s="2" t="s">
        <v>2094</v>
      </c>
      <c r="F1650" s="4">
        <v>14</v>
      </c>
      <c r="G1650" s="5">
        <v>44.140520464612329</v>
      </c>
      <c r="H1650" s="6" t="s">
        <v>2086</v>
      </c>
    </row>
    <row r="1651" spans="1:8">
      <c r="A1651" s="1">
        <v>1659</v>
      </c>
      <c r="B1651" s="2" t="s">
        <v>2095</v>
      </c>
      <c r="C1651" s="3">
        <v>38705</v>
      </c>
      <c r="D1651" s="4">
        <f>YEAR(Table1[[#This Row],[Date]])</f>
        <v>2005</v>
      </c>
      <c r="E1651" s="2" t="s">
        <v>2081</v>
      </c>
      <c r="F1651" s="4">
        <v>48</v>
      </c>
      <c r="G1651" s="5">
        <v>145.81129384316213</v>
      </c>
      <c r="H1651" s="6" t="s">
        <v>2090</v>
      </c>
    </row>
    <row r="1652" spans="1:8">
      <c r="A1652" s="1">
        <v>1660</v>
      </c>
      <c r="B1652" s="2" t="s">
        <v>2093</v>
      </c>
      <c r="C1652" s="3">
        <v>38122</v>
      </c>
      <c r="D1652" s="4">
        <f>YEAR(Table1[[#This Row],[Date]])</f>
        <v>2004</v>
      </c>
      <c r="E1652" s="2" t="s">
        <v>2085</v>
      </c>
      <c r="F1652" s="4">
        <v>73</v>
      </c>
      <c r="G1652" s="5">
        <v>221.16800423559653</v>
      </c>
      <c r="H1652" s="6" t="s">
        <v>2090</v>
      </c>
    </row>
    <row r="1653" spans="1:8">
      <c r="A1653" s="1">
        <v>1661</v>
      </c>
      <c r="B1653" s="2" t="s">
        <v>2084</v>
      </c>
      <c r="C1653" s="3">
        <v>38507</v>
      </c>
      <c r="D1653" s="4">
        <f>YEAR(Table1[[#This Row],[Date]])</f>
        <v>2005</v>
      </c>
      <c r="E1653" s="2" t="s">
        <v>2085</v>
      </c>
      <c r="F1653" s="4">
        <v>28</v>
      </c>
      <c r="G1653" s="5">
        <v>85.646088345809403</v>
      </c>
      <c r="H1653" s="6" t="s">
        <v>2096</v>
      </c>
    </row>
    <row r="1654" spans="1:8">
      <c r="A1654" s="1">
        <v>1662</v>
      </c>
      <c r="B1654" s="2" t="s">
        <v>2087</v>
      </c>
      <c r="C1654" s="3">
        <v>38683</v>
      </c>
      <c r="D1654" s="4">
        <f>YEAR(Table1[[#This Row],[Date]])</f>
        <v>2005</v>
      </c>
      <c r="E1654" s="2" t="s">
        <v>2094</v>
      </c>
      <c r="F1654" s="4">
        <v>12</v>
      </c>
      <c r="G1654" s="5">
        <v>38.543998121108487</v>
      </c>
      <c r="H1654" s="6" t="s">
        <v>2090</v>
      </c>
    </row>
    <row r="1655" spans="1:8">
      <c r="A1655" s="1">
        <v>1663</v>
      </c>
      <c r="B1655" s="2" t="s">
        <v>2100</v>
      </c>
      <c r="C1655" s="3">
        <v>38474</v>
      </c>
      <c r="D1655" s="4">
        <f>YEAR(Table1[[#This Row],[Date]])</f>
        <v>2005</v>
      </c>
      <c r="E1655" s="2" t="s">
        <v>2081</v>
      </c>
      <c r="F1655" s="4">
        <v>50</v>
      </c>
      <c r="G1655" s="5">
        <v>152.11340525555411</v>
      </c>
      <c r="H1655" s="6" t="s">
        <v>2082</v>
      </c>
    </row>
    <row r="1656" spans="1:8">
      <c r="A1656" s="1">
        <v>1664</v>
      </c>
      <c r="B1656" s="2" t="s">
        <v>2095</v>
      </c>
      <c r="C1656" s="3">
        <v>38991</v>
      </c>
      <c r="D1656" s="4">
        <f>YEAR(Table1[[#This Row],[Date]])</f>
        <v>2006</v>
      </c>
      <c r="E1656" s="2" t="s">
        <v>2085</v>
      </c>
      <c r="F1656" s="4">
        <v>5</v>
      </c>
      <c r="G1656" s="5">
        <v>12.64098802195692</v>
      </c>
      <c r="H1656" s="6" t="s">
        <v>2086</v>
      </c>
    </row>
    <row r="1657" spans="1:8">
      <c r="A1657" s="1">
        <v>1665</v>
      </c>
      <c r="B1657" s="2" t="s">
        <v>2084</v>
      </c>
      <c r="C1657" s="3">
        <v>38375</v>
      </c>
      <c r="D1657" s="4">
        <f>YEAR(Table1[[#This Row],[Date]])</f>
        <v>2005</v>
      </c>
      <c r="E1657" s="2" t="s">
        <v>2081</v>
      </c>
      <c r="F1657" s="4">
        <v>6</v>
      </c>
      <c r="G1657" s="5">
        <v>19.476233913607583</v>
      </c>
      <c r="H1657" s="6" t="s">
        <v>2096</v>
      </c>
    </row>
    <row r="1658" spans="1:8">
      <c r="A1658" s="1">
        <v>1666</v>
      </c>
      <c r="B1658" s="2" t="s">
        <v>2084</v>
      </c>
      <c r="C1658" s="3">
        <v>38408</v>
      </c>
      <c r="D1658" s="4">
        <f>YEAR(Table1[[#This Row],[Date]])</f>
        <v>2005</v>
      </c>
      <c r="E1658" s="2" t="s">
        <v>2085</v>
      </c>
      <c r="F1658" s="4">
        <v>63</v>
      </c>
      <c r="G1658" s="5">
        <v>190.56862486239569</v>
      </c>
      <c r="H1658" s="6" t="s">
        <v>2096</v>
      </c>
    </row>
    <row r="1659" spans="1:8">
      <c r="A1659" s="1">
        <v>1667</v>
      </c>
      <c r="B1659" s="2" t="s">
        <v>2098</v>
      </c>
      <c r="C1659" s="3">
        <v>38881</v>
      </c>
      <c r="D1659" s="4">
        <f>YEAR(Table1[[#This Row],[Date]])</f>
        <v>2006</v>
      </c>
      <c r="E1659" s="2" t="s">
        <v>2085</v>
      </c>
      <c r="F1659" s="4">
        <v>33</v>
      </c>
      <c r="G1659" s="5">
        <v>100.75324427531469</v>
      </c>
      <c r="H1659" s="6" t="s">
        <v>2086</v>
      </c>
    </row>
    <row r="1660" spans="1:8">
      <c r="A1660" s="1">
        <v>1668</v>
      </c>
      <c r="B1660" s="2" t="s">
        <v>2100</v>
      </c>
      <c r="C1660" s="3">
        <v>38254</v>
      </c>
      <c r="D1660" s="4">
        <f>YEAR(Table1[[#This Row],[Date]])</f>
        <v>2004</v>
      </c>
      <c r="E1660" s="2" t="s">
        <v>2094</v>
      </c>
      <c r="F1660" s="4">
        <v>61</v>
      </c>
      <c r="G1660" s="5">
        <v>185.16541785072013</v>
      </c>
      <c r="H1660" s="6" t="s">
        <v>2082</v>
      </c>
    </row>
    <row r="1661" spans="1:8">
      <c r="A1661" s="1">
        <v>1669</v>
      </c>
      <c r="B1661" s="2" t="s">
        <v>2093</v>
      </c>
      <c r="C1661" s="3">
        <v>38331</v>
      </c>
      <c r="D1661" s="4">
        <f>YEAR(Table1[[#This Row],[Date]])</f>
        <v>2004</v>
      </c>
      <c r="E1661" s="2" t="s">
        <v>2085</v>
      </c>
      <c r="F1661" s="4">
        <v>16</v>
      </c>
      <c r="G1661" s="5">
        <v>50.709076483884871</v>
      </c>
      <c r="H1661" s="6" t="s">
        <v>2096</v>
      </c>
    </row>
    <row r="1662" spans="1:8">
      <c r="A1662" s="1">
        <v>1670</v>
      </c>
      <c r="B1662" s="2" t="s">
        <v>2099</v>
      </c>
      <c r="C1662" s="3">
        <v>38870</v>
      </c>
      <c r="D1662" s="4">
        <f>YEAR(Table1[[#This Row],[Date]])</f>
        <v>2006</v>
      </c>
      <c r="E1662" s="2" t="s">
        <v>2094</v>
      </c>
      <c r="F1662" s="4">
        <v>15</v>
      </c>
      <c r="G1662" s="5">
        <v>47.142751278135883</v>
      </c>
      <c r="H1662" s="6" t="s">
        <v>2086</v>
      </c>
    </row>
    <row r="1663" spans="1:8">
      <c r="A1663" s="1">
        <v>1671</v>
      </c>
      <c r="B1663" s="2" t="s">
        <v>2093</v>
      </c>
      <c r="C1663" s="3">
        <v>38925</v>
      </c>
      <c r="D1663" s="4">
        <f>YEAR(Table1[[#This Row],[Date]])</f>
        <v>2006</v>
      </c>
      <c r="E1663" s="2" t="s">
        <v>2094</v>
      </c>
      <c r="F1663" s="4">
        <v>1</v>
      </c>
      <c r="G1663" s="5">
        <v>0.59949529532525503</v>
      </c>
      <c r="H1663" s="6" t="s">
        <v>2082</v>
      </c>
    </row>
    <row r="1664" spans="1:8">
      <c r="A1664" s="1">
        <v>1672</v>
      </c>
      <c r="B1664" s="2" t="s">
        <v>2084</v>
      </c>
      <c r="C1664" s="3">
        <v>38507</v>
      </c>
      <c r="D1664" s="4">
        <f>YEAR(Table1[[#This Row],[Date]])</f>
        <v>2005</v>
      </c>
      <c r="E1664" s="2" t="s">
        <v>2081</v>
      </c>
      <c r="F1664" s="4">
        <v>28</v>
      </c>
      <c r="G1664" s="5">
        <v>85.359164284772746</v>
      </c>
      <c r="H1664" s="6" t="s">
        <v>2090</v>
      </c>
    </row>
    <row r="1665" spans="1:8">
      <c r="A1665" s="1">
        <v>1673</v>
      </c>
      <c r="B1665" s="2" t="s">
        <v>2099</v>
      </c>
      <c r="C1665" s="3">
        <v>38991</v>
      </c>
      <c r="D1665" s="4">
        <f>YEAR(Table1[[#This Row],[Date]])</f>
        <v>2006</v>
      </c>
      <c r="E1665" s="2" t="s">
        <v>2085</v>
      </c>
      <c r="F1665" s="4">
        <v>74</v>
      </c>
      <c r="G1665" s="5">
        <v>223.5358944867458</v>
      </c>
      <c r="H1665" s="6" t="s">
        <v>2096</v>
      </c>
    </row>
    <row r="1666" spans="1:8">
      <c r="A1666" s="1">
        <v>1674</v>
      </c>
      <c r="B1666" s="2" t="s">
        <v>2098</v>
      </c>
      <c r="C1666" s="3">
        <v>38089</v>
      </c>
      <c r="D1666" s="4">
        <f>YEAR(Table1[[#This Row],[Date]])</f>
        <v>2004</v>
      </c>
      <c r="E1666" s="2" t="s">
        <v>2081</v>
      </c>
      <c r="F1666" s="4">
        <v>60</v>
      </c>
      <c r="G1666" s="5">
        <v>182.52957283898829</v>
      </c>
      <c r="H1666" s="6" t="s">
        <v>2096</v>
      </c>
    </row>
    <row r="1667" spans="1:8">
      <c r="A1667" s="1">
        <v>1675</v>
      </c>
      <c r="B1667" s="2" t="s">
        <v>2095</v>
      </c>
      <c r="C1667" s="3">
        <v>38474</v>
      </c>
      <c r="D1667" s="4">
        <f>YEAR(Table1[[#This Row],[Date]])</f>
        <v>2005</v>
      </c>
      <c r="E1667" s="2" t="s">
        <v>2097</v>
      </c>
      <c r="F1667" s="4">
        <v>26</v>
      </c>
      <c r="G1667" s="5">
        <v>79.644787892751594</v>
      </c>
      <c r="H1667" s="6" t="s">
        <v>2086</v>
      </c>
    </row>
    <row r="1668" spans="1:8">
      <c r="A1668" s="1">
        <v>1676</v>
      </c>
      <c r="B1668" s="2" t="s">
        <v>2084</v>
      </c>
      <c r="C1668" s="3">
        <v>38045</v>
      </c>
      <c r="D1668" s="4">
        <f>YEAR(Table1[[#This Row],[Date]])</f>
        <v>2004</v>
      </c>
      <c r="E1668" s="2" t="s">
        <v>2085</v>
      </c>
      <c r="F1668" s="4">
        <v>41</v>
      </c>
      <c r="G1668" s="5">
        <v>124.80546413554566</v>
      </c>
      <c r="H1668" s="6" t="s">
        <v>2096</v>
      </c>
    </row>
    <row r="1669" spans="1:8">
      <c r="A1669" s="1">
        <v>1677</v>
      </c>
      <c r="B1669" s="2" t="s">
        <v>2087</v>
      </c>
      <c r="C1669" s="3">
        <v>38122</v>
      </c>
      <c r="D1669" s="4">
        <f>YEAR(Table1[[#This Row],[Date]])</f>
        <v>2004</v>
      </c>
      <c r="E1669" s="2" t="s">
        <v>2081</v>
      </c>
      <c r="F1669" s="4">
        <v>1</v>
      </c>
      <c r="G1669" s="5">
        <v>0.72875697552539753</v>
      </c>
      <c r="H1669" s="6" t="s">
        <v>2082</v>
      </c>
    </row>
    <row r="1670" spans="1:8">
      <c r="A1670" s="1">
        <v>1678</v>
      </c>
      <c r="B1670" s="2" t="s">
        <v>2087</v>
      </c>
      <c r="C1670" s="3">
        <v>38903</v>
      </c>
      <c r="D1670" s="4">
        <f>YEAR(Table1[[#This Row],[Date]])</f>
        <v>2006</v>
      </c>
      <c r="E1670" s="2" t="s">
        <v>2081</v>
      </c>
      <c r="F1670" s="4">
        <v>89</v>
      </c>
      <c r="G1670" s="5">
        <v>268.71620455118574</v>
      </c>
      <c r="H1670" s="6" t="s">
        <v>2096</v>
      </c>
    </row>
    <row r="1671" spans="1:8">
      <c r="A1671" s="1">
        <v>1679</v>
      </c>
      <c r="B1671" s="2" t="s">
        <v>2084</v>
      </c>
      <c r="C1671" s="3">
        <v>38144</v>
      </c>
      <c r="D1671" s="4">
        <f>YEAR(Table1[[#This Row],[Date]])</f>
        <v>2004</v>
      </c>
      <c r="E1671" s="2" t="s">
        <v>2097</v>
      </c>
      <c r="F1671" s="4">
        <v>12</v>
      </c>
      <c r="G1671" s="5">
        <v>38.034373617715126</v>
      </c>
      <c r="H1671" s="6" t="s">
        <v>2096</v>
      </c>
    </row>
    <row r="1672" spans="1:8">
      <c r="A1672" s="1">
        <v>1680</v>
      </c>
      <c r="B1672" s="2" t="s">
        <v>2095</v>
      </c>
      <c r="C1672" s="3">
        <v>38276</v>
      </c>
      <c r="D1672" s="4">
        <f>YEAR(Table1[[#This Row],[Date]])</f>
        <v>2004</v>
      </c>
      <c r="E1672" s="2" t="s">
        <v>2094</v>
      </c>
      <c r="F1672" s="4">
        <v>21</v>
      </c>
      <c r="G1672" s="5">
        <v>65.91159641394708</v>
      </c>
      <c r="H1672" s="6" t="s">
        <v>2082</v>
      </c>
    </row>
    <row r="1673" spans="1:8">
      <c r="A1673" s="1">
        <v>1681</v>
      </c>
      <c r="B1673" s="2" t="s">
        <v>2099</v>
      </c>
      <c r="C1673" s="3">
        <v>38892</v>
      </c>
      <c r="D1673" s="4">
        <f>YEAR(Table1[[#This Row],[Date]])</f>
        <v>2006</v>
      </c>
      <c r="E1673" s="2" t="s">
        <v>2097</v>
      </c>
      <c r="F1673" s="4">
        <v>23</v>
      </c>
      <c r="G1673" s="5">
        <v>71.518171146886857</v>
      </c>
      <c r="H1673" s="6" t="s">
        <v>2090</v>
      </c>
    </row>
    <row r="1674" spans="1:8">
      <c r="A1674" s="1">
        <v>1682</v>
      </c>
      <c r="B1674" s="2" t="s">
        <v>2100</v>
      </c>
      <c r="C1674" s="3">
        <v>38441</v>
      </c>
      <c r="D1674" s="4">
        <f>YEAR(Table1[[#This Row],[Date]])</f>
        <v>2005</v>
      </c>
      <c r="E1674" s="2" t="s">
        <v>2085</v>
      </c>
      <c r="F1674" s="4">
        <v>1</v>
      </c>
      <c r="G1674" s="5">
        <v>18.640973323270995</v>
      </c>
      <c r="H1674" s="6" t="s">
        <v>2082</v>
      </c>
    </row>
    <row r="1675" spans="1:8">
      <c r="A1675" s="1">
        <v>1683</v>
      </c>
      <c r="B1675" s="2" t="s">
        <v>2080</v>
      </c>
      <c r="C1675" s="3">
        <v>38056</v>
      </c>
      <c r="D1675" s="4">
        <f>YEAR(Table1[[#This Row],[Date]])</f>
        <v>2004</v>
      </c>
      <c r="E1675" s="2" t="s">
        <v>2085</v>
      </c>
      <c r="F1675" s="4">
        <v>35</v>
      </c>
      <c r="G1675" s="5">
        <v>106.65095335657088</v>
      </c>
      <c r="H1675" s="6" t="s">
        <v>2082</v>
      </c>
    </row>
    <row r="1676" spans="1:8">
      <c r="A1676" s="1">
        <v>1684</v>
      </c>
      <c r="B1676" s="2" t="s">
        <v>2087</v>
      </c>
      <c r="C1676" s="3">
        <v>38243</v>
      </c>
      <c r="D1676" s="4">
        <f>YEAR(Table1[[#This Row],[Date]])</f>
        <v>2004</v>
      </c>
      <c r="E1676" s="2" t="s">
        <v>2097</v>
      </c>
      <c r="F1676" s="4">
        <v>94</v>
      </c>
      <c r="G1676" s="5">
        <v>283.7951382741839</v>
      </c>
      <c r="H1676" s="6" t="s">
        <v>2086</v>
      </c>
    </row>
    <row r="1677" spans="1:8">
      <c r="A1677" s="1">
        <v>1685</v>
      </c>
      <c r="B1677" s="2" t="s">
        <v>2087</v>
      </c>
      <c r="C1677" s="3">
        <v>38661</v>
      </c>
      <c r="D1677" s="4">
        <f>YEAR(Table1[[#This Row],[Date]])</f>
        <v>2005</v>
      </c>
      <c r="E1677" s="2" t="s">
        <v>2094</v>
      </c>
      <c r="F1677" s="4">
        <v>88</v>
      </c>
      <c r="G1677" s="5">
        <v>265.96151267807471</v>
      </c>
      <c r="H1677" s="6" t="s">
        <v>2082</v>
      </c>
    </row>
    <row r="1678" spans="1:8">
      <c r="A1678" s="1">
        <v>1686</v>
      </c>
      <c r="B1678" s="2" t="s">
        <v>2087</v>
      </c>
      <c r="C1678" s="3">
        <v>38056</v>
      </c>
      <c r="D1678" s="4">
        <f>YEAR(Table1[[#This Row],[Date]])</f>
        <v>2004</v>
      </c>
      <c r="E1678" s="2" t="s">
        <v>2088</v>
      </c>
      <c r="F1678" s="4">
        <v>26</v>
      </c>
      <c r="G1678" s="5">
        <v>79.798393656893168</v>
      </c>
      <c r="H1678" s="6" t="s">
        <v>2082</v>
      </c>
    </row>
    <row r="1679" spans="1:8">
      <c r="A1679" s="1">
        <v>1687</v>
      </c>
      <c r="B1679" s="2" t="s">
        <v>2100</v>
      </c>
      <c r="C1679" s="3">
        <v>38177</v>
      </c>
      <c r="D1679" s="4">
        <f>YEAR(Table1[[#This Row],[Date]])</f>
        <v>2004</v>
      </c>
      <c r="E1679" s="2" t="s">
        <v>2085</v>
      </c>
      <c r="F1679" s="4">
        <v>83</v>
      </c>
      <c r="G1679" s="5">
        <v>250.98698082020448</v>
      </c>
      <c r="H1679" s="6" t="s">
        <v>2082</v>
      </c>
    </row>
    <row r="1680" spans="1:8">
      <c r="A1680" s="1">
        <v>1688</v>
      </c>
      <c r="B1680" s="2" t="s">
        <v>2098</v>
      </c>
      <c r="C1680" s="3">
        <v>38870</v>
      </c>
      <c r="D1680" s="4">
        <f>YEAR(Table1[[#This Row],[Date]])</f>
        <v>2006</v>
      </c>
      <c r="E1680" s="2" t="s">
        <v>2097</v>
      </c>
      <c r="F1680" s="4">
        <v>11</v>
      </c>
      <c r="G1680" s="5">
        <v>34.677474217404566</v>
      </c>
      <c r="H1680" s="6" t="s">
        <v>2090</v>
      </c>
    </row>
    <row r="1681" spans="1:8">
      <c r="A1681" s="1">
        <v>1689</v>
      </c>
      <c r="B1681" s="2" t="s">
        <v>2093</v>
      </c>
      <c r="C1681" s="3">
        <v>38980</v>
      </c>
      <c r="D1681" s="4">
        <f>YEAR(Table1[[#This Row],[Date]])</f>
        <v>2006</v>
      </c>
      <c r="E1681" s="2" t="s">
        <v>2085</v>
      </c>
      <c r="F1681" s="4">
        <v>18</v>
      </c>
      <c r="G1681" s="5">
        <v>56.570167419014545</v>
      </c>
      <c r="H1681" s="6" t="s">
        <v>2096</v>
      </c>
    </row>
    <row r="1682" spans="1:8">
      <c r="A1682" s="1">
        <v>1690</v>
      </c>
      <c r="B1682" s="2" t="s">
        <v>2091</v>
      </c>
      <c r="C1682" s="3">
        <v>38430</v>
      </c>
      <c r="D1682" s="4">
        <f>YEAR(Table1[[#This Row],[Date]])</f>
        <v>2005</v>
      </c>
      <c r="E1682" s="2" t="s">
        <v>2094</v>
      </c>
      <c r="F1682" s="4">
        <v>90</v>
      </c>
      <c r="G1682" s="5">
        <v>272.35988641044867</v>
      </c>
      <c r="H1682" s="6" t="s">
        <v>2096</v>
      </c>
    </row>
    <row r="1683" spans="1:8">
      <c r="A1683" s="1">
        <v>1691</v>
      </c>
      <c r="B1683" s="2" t="s">
        <v>2093</v>
      </c>
      <c r="C1683" s="3">
        <v>38628</v>
      </c>
      <c r="D1683" s="4">
        <f>YEAR(Table1[[#This Row],[Date]])</f>
        <v>2005</v>
      </c>
      <c r="E1683" s="2" t="s">
        <v>2097</v>
      </c>
      <c r="F1683" s="4">
        <v>12</v>
      </c>
      <c r="G1683" s="5">
        <v>38.358567090515102</v>
      </c>
      <c r="H1683" s="6" t="s">
        <v>2096</v>
      </c>
    </row>
    <row r="1684" spans="1:8">
      <c r="A1684" s="1">
        <v>1692</v>
      </c>
      <c r="B1684" s="2" t="s">
        <v>2093</v>
      </c>
      <c r="C1684" s="3">
        <v>38012</v>
      </c>
      <c r="D1684" s="4">
        <f>YEAR(Table1[[#This Row],[Date]])</f>
        <v>2004</v>
      </c>
      <c r="E1684" s="2" t="s">
        <v>2081</v>
      </c>
      <c r="F1684" s="4">
        <v>39</v>
      </c>
      <c r="G1684" s="5">
        <v>118.63508946594906</v>
      </c>
      <c r="H1684" s="6" t="s">
        <v>2086</v>
      </c>
    </row>
    <row r="1685" spans="1:8">
      <c r="A1685" s="1">
        <v>1693</v>
      </c>
      <c r="B1685" s="2" t="s">
        <v>2093</v>
      </c>
      <c r="C1685" s="3">
        <v>38034</v>
      </c>
      <c r="D1685" s="4">
        <f>YEAR(Table1[[#This Row],[Date]])</f>
        <v>2004</v>
      </c>
      <c r="E1685" s="2" t="s">
        <v>2088</v>
      </c>
      <c r="F1685" s="4">
        <v>45</v>
      </c>
      <c r="G1685" s="5">
        <v>137.71025367694813</v>
      </c>
      <c r="H1685" s="6" t="s">
        <v>2086</v>
      </c>
    </row>
    <row r="1686" spans="1:8">
      <c r="A1686" s="1">
        <v>1694</v>
      </c>
      <c r="B1686" s="2" t="s">
        <v>2091</v>
      </c>
      <c r="C1686" s="3">
        <v>39057</v>
      </c>
      <c r="D1686" s="4">
        <f>YEAR(Table1[[#This Row],[Date]])</f>
        <v>2006</v>
      </c>
      <c r="E1686" s="2" t="s">
        <v>2085</v>
      </c>
      <c r="F1686" s="4">
        <v>74</v>
      </c>
      <c r="G1686" s="5">
        <v>223.24261767904073</v>
      </c>
      <c r="H1686" s="6" t="s">
        <v>2096</v>
      </c>
    </row>
    <row r="1687" spans="1:8">
      <c r="A1687" s="1">
        <v>1695</v>
      </c>
      <c r="B1687" s="2" t="s">
        <v>2093</v>
      </c>
      <c r="C1687" s="3">
        <v>38551</v>
      </c>
      <c r="D1687" s="4">
        <f>YEAR(Table1[[#This Row],[Date]])</f>
        <v>2005</v>
      </c>
      <c r="E1687" s="2" t="s">
        <v>2085</v>
      </c>
      <c r="F1687" s="4">
        <v>95</v>
      </c>
      <c r="G1687" s="5">
        <v>286.97940760158696</v>
      </c>
      <c r="H1687" s="6" t="s">
        <v>2082</v>
      </c>
    </row>
    <row r="1688" spans="1:8">
      <c r="A1688" s="1">
        <v>1696</v>
      </c>
      <c r="B1688" s="2" t="s">
        <v>2084</v>
      </c>
      <c r="C1688" s="3">
        <v>38144</v>
      </c>
      <c r="D1688" s="4">
        <f>YEAR(Table1[[#This Row],[Date]])</f>
        <v>2004</v>
      </c>
      <c r="E1688" s="2" t="s">
        <v>2081</v>
      </c>
      <c r="F1688" s="4">
        <v>48</v>
      </c>
      <c r="G1688" s="5">
        <v>145.47941837398358</v>
      </c>
      <c r="H1688" s="6" t="s">
        <v>2090</v>
      </c>
    </row>
    <row r="1689" spans="1:8">
      <c r="A1689" s="1">
        <v>1697</v>
      </c>
      <c r="B1689" s="2" t="s">
        <v>2080</v>
      </c>
      <c r="C1689" s="3">
        <v>38276</v>
      </c>
      <c r="D1689" s="4">
        <f>YEAR(Table1[[#This Row],[Date]])</f>
        <v>2004</v>
      </c>
      <c r="E1689" s="2" t="s">
        <v>2097</v>
      </c>
      <c r="F1689" s="4">
        <v>3</v>
      </c>
      <c r="G1689" s="5">
        <v>7.0556984383694044</v>
      </c>
      <c r="H1689" s="6" t="s">
        <v>2086</v>
      </c>
    </row>
    <row r="1690" spans="1:8">
      <c r="A1690" s="1">
        <v>1698</v>
      </c>
      <c r="B1690" s="2" t="s">
        <v>2095</v>
      </c>
      <c r="C1690" s="3">
        <v>38496</v>
      </c>
      <c r="D1690" s="4">
        <f>YEAR(Table1[[#This Row],[Date]])</f>
        <v>2005</v>
      </c>
      <c r="E1690" s="2" t="s">
        <v>2088</v>
      </c>
      <c r="F1690" s="4">
        <v>92</v>
      </c>
      <c r="G1690" s="5">
        <v>278.51510126549795</v>
      </c>
      <c r="H1690" s="6" t="s">
        <v>2086</v>
      </c>
    </row>
    <row r="1691" spans="1:8">
      <c r="A1691" s="1">
        <v>1699</v>
      </c>
      <c r="B1691" s="2" t="s">
        <v>2091</v>
      </c>
      <c r="C1691" s="3">
        <v>38419</v>
      </c>
      <c r="D1691" s="4">
        <f>YEAR(Table1[[#This Row],[Date]])</f>
        <v>2005</v>
      </c>
      <c r="E1691" s="2" t="s">
        <v>2097</v>
      </c>
      <c r="F1691" s="4">
        <v>17</v>
      </c>
      <c r="G1691" s="5">
        <v>53.278847558385984</v>
      </c>
      <c r="H1691" s="6" t="s">
        <v>2096</v>
      </c>
    </row>
    <row r="1692" spans="1:8">
      <c r="A1692" s="1">
        <v>1700</v>
      </c>
      <c r="B1692" s="2" t="s">
        <v>2084</v>
      </c>
      <c r="C1692" s="3">
        <v>38287</v>
      </c>
      <c r="D1692" s="4">
        <f>YEAR(Table1[[#This Row],[Date]])</f>
        <v>2004</v>
      </c>
      <c r="E1692" s="2" t="s">
        <v>2081</v>
      </c>
      <c r="F1692" s="4">
        <v>45</v>
      </c>
      <c r="G1692" s="5">
        <v>136.31233370896607</v>
      </c>
      <c r="H1692" s="6" t="s">
        <v>2082</v>
      </c>
    </row>
    <row r="1693" spans="1:8">
      <c r="A1693" s="1">
        <v>1701</v>
      </c>
      <c r="B1693" s="2" t="s">
        <v>2095</v>
      </c>
      <c r="C1693" s="3">
        <v>39002</v>
      </c>
      <c r="D1693" s="4">
        <f>YEAR(Table1[[#This Row],[Date]])</f>
        <v>2006</v>
      </c>
      <c r="E1693" s="2" t="s">
        <v>2088</v>
      </c>
      <c r="F1693" s="4">
        <v>62</v>
      </c>
      <c r="G1693" s="5">
        <v>187.97208926447612</v>
      </c>
      <c r="H1693" s="6" t="s">
        <v>2082</v>
      </c>
    </row>
    <row r="1694" spans="1:8">
      <c r="A1694" s="1">
        <v>1702</v>
      </c>
      <c r="B1694" s="2" t="s">
        <v>2091</v>
      </c>
      <c r="C1694" s="3">
        <v>38287</v>
      </c>
      <c r="D1694" s="4">
        <f>YEAR(Table1[[#This Row],[Date]])</f>
        <v>2004</v>
      </c>
      <c r="E1694" s="2" t="s">
        <v>2085</v>
      </c>
      <c r="F1694" s="4">
        <v>52</v>
      </c>
      <c r="G1694" s="5">
        <v>158.0460445332865</v>
      </c>
      <c r="H1694" s="6" t="s">
        <v>2086</v>
      </c>
    </row>
    <row r="1695" spans="1:8">
      <c r="A1695" s="1">
        <v>1703</v>
      </c>
      <c r="B1695" s="2" t="s">
        <v>2084</v>
      </c>
      <c r="C1695" s="3">
        <v>38133</v>
      </c>
      <c r="D1695" s="4">
        <f>YEAR(Table1[[#This Row],[Date]])</f>
        <v>2004</v>
      </c>
      <c r="E1695" s="2" t="s">
        <v>2088</v>
      </c>
      <c r="F1695" s="4">
        <v>73</v>
      </c>
      <c r="G1695" s="5">
        <v>221.23952830258372</v>
      </c>
      <c r="H1695" s="6" t="s">
        <v>2082</v>
      </c>
    </row>
    <row r="1696" spans="1:8">
      <c r="A1696" s="1">
        <v>1704</v>
      </c>
      <c r="B1696" s="2" t="s">
        <v>2100</v>
      </c>
      <c r="C1696" s="3">
        <v>38551</v>
      </c>
      <c r="D1696" s="4">
        <f>YEAR(Table1[[#This Row],[Date]])</f>
        <v>2005</v>
      </c>
      <c r="E1696" s="2" t="s">
        <v>2088</v>
      </c>
      <c r="F1696" s="4">
        <v>38</v>
      </c>
      <c r="G1696" s="5">
        <v>116.53981147745662</v>
      </c>
      <c r="H1696" s="6" t="s">
        <v>2082</v>
      </c>
    </row>
    <row r="1697" spans="1:8">
      <c r="A1697" s="1">
        <v>1705</v>
      </c>
      <c r="B1697" s="2" t="s">
        <v>2084</v>
      </c>
      <c r="C1697" s="3">
        <v>38705</v>
      </c>
      <c r="D1697" s="4">
        <f>YEAR(Table1[[#This Row],[Date]])</f>
        <v>2005</v>
      </c>
      <c r="E1697" s="2" t="s">
        <v>2094</v>
      </c>
      <c r="F1697" s="4">
        <v>0</v>
      </c>
      <c r="G1697" s="5">
        <v>1.7059716699737852</v>
      </c>
      <c r="H1697" s="6" t="s">
        <v>2090</v>
      </c>
    </row>
    <row r="1698" spans="1:8">
      <c r="A1698" s="1">
        <v>1706</v>
      </c>
      <c r="B1698" s="2" t="s">
        <v>2099</v>
      </c>
      <c r="C1698" s="3">
        <v>38276</v>
      </c>
      <c r="D1698" s="4">
        <f>YEAR(Table1[[#This Row],[Date]])</f>
        <v>2004</v>
      </c>
      <c r="E1698" s="2" t="s">
        <v>2094</v>
      </c>
      <c r="F1698" s="4">
        <v>70</v>
      </c>
      <c r="G1698" s="5">
        <v>211.80942925062229</v>
      </c>
      <c r="H1698" s="6" t="s">
        <v>2082</v>
      </c>
    </row>
    <row r="1699" spans="1:8">
      <c r="A1699" s="1">
        <v>1707</v>
      </c>
      <c r="B1699" s="2" t="s">
        <v>2100</v>
      </c>
      <c r="C1699" s="3">
        <v>38485</v>
      </c>
      <c r="D1699" s="4">
        <f>YEAR(Table1[[#This Row],[Date]])</f>
        <v>2005</v>
      </c>
      <c r="E1699" s="2" t="s">
        <v>2085</v>
      </c>
      <c r="F1699" s="4">
        <v>8</v>
      </c>
      <c r="G1699" s="5">
        <v>22.16452981425434</v>
      </c>
      <c r="H1699" s="6" t="s">
        <v>2086</v>
      </c>
    </row>
    <row r="1700" spans="1:8">
      <c r="A1700" s="1">
        <v>1708</v>
      </c>
      <c r="B1700" s="2" t="s">
        <v>2100</v>
      </c>
      <c r="C1700" s="3">
        <v>38837</v>
      </c>
      <c r="D1700" s="4">
        <f>YEAR(Table1[[#This Row],[Date]])</f>
        <v>2006</v>
      </c>
      <c r="E1700" s="2" t="s">
        <v>2094</v>
      </c>
      <c r="F1700" s="4">
        <v>65</v>
      </c>
      <c r="G1700" s="5">
        <v>196.94966457435572</v>
      </c>
      <c r="H1700" s="6" t="s">
        <v>2090</v>
      </c>
    </row>
    <row r="1701" spans="1:8">
      <c r="A1701" s="1">
        <v>1709</v>
      </c>
      <c r="B1701" s="2" t="s">
        <v>2100</v>
      </c>
      <c r="C1701" s="3">
        <v>39046</v>
      </c>
      <c r="D1701" s="4">
        <f>YEAR(Table1[[#This Row],[Date]])</f>
        <v>2006</v>
      </c>
      <c r="E1701" s="2" t="s">
        <v>2081</v>
      </c>
      <c r="F1701" s="4">
        <v>5</v>
      </c>
      <c r="G1701" s="5">
        <v>12.235172213399022</v>
      </c>
      <c r="H1701" s="6" t="s">
        <v>2096</v>
      </c>
    </row>
    <row r="1702" spans="1:8">
      <c r="A1702" s="1">
        <v>1710</v>
      </c>
      <c r="B1702" s="2" t="s">
        <v>2100</v>
      </c>
      <c r="C1702" s="3">
        <v>38562</v>
      </c>
      <c r="D1702" s="4">
        <f>YEAR(Table1[[#This Row],[Date]])</f>
        <v>2005</v>
      </c>
      <c r="E1702" s="2" t="s">
        <v>2085</v>
      </c>
      <c r="F1702" s="4">
        <v>34</v>
      </c>
      <c r="G1702" s="5">
        <v>104.46148815266854</v>
      </c>
      <c r="H1702" s="6" t="s">
        <v>2096</v>
      </c>
    </row>
    <row r="1703" spans="1:8">
      <c r="A1703" s="1">
        <v>1711</v>
      </c>
      <c r="B1703" s="2" t="s">
        <v>2093</v>
      </c>
      <c r="C1703" s="3">
        <v>38804</v>
      </c>
      <c r="D1703" s="4">
        <f>YEAR(Table1[[#This Row],[Date]])</f>
        <v>2006</v>
      </c>
      <c r="E1703" s="2" t="s">
        <v>2081</v>
      </c>
      <c r="F1703" s="4">
        <v>72</v>
      </c>
      <c r="G1703" s="5">
        <v>217.88587173222501</v>
      </c>
      <c r="H1703" s="6" t="s">
        <v>2090</v>
      </c>
    </row>
    <row r="1704" spans="1:8">
      <c r="A1704" s="1">
        <v>1712</v>
      </c>
      <c r="B1704" s="2" t="s">
        <v>2099</v>
      </c>
      <c r="C1704" s="3">
        <v>38386</v>
      </c>
      <c r="D1704" s="4">
        <f>YEAR(Table1[[#This Row],[Date]])</f>
        <v>2005</v>
      </c>
      <c r="E1704" s="2" t="s">
        <v>2094</v>
      </c>
      <c r="F1704" s="4">
        <v>1</v>
      </c>
      <c r="G1704" s="5">
        <v>0.65444775995364735</v>
      </c>
      <c r="H1704" s="6" t="s">
        <v>2082</v>
      </c>
    </row>
    <row r="1705" spans="1:8">
      <c r="A1705" s="1">
        <v>1713</v>
      </c>
      <c r="B1705" s="2" t="s">
        <v>2098</v>
      </c>
      <c r="C1705" s="3">
        <v>38694</v>
      </c>
      <c r="D1705" s="4">
        <f>YEAR(Table1[[#This Row],[Date]])</f>
        <v>2005</v>
      </c>
      <c r="E1705" s="2" t="s">
        <v>2081</v>
      </c>
      <c r="F1705" s="4">
        <v>40</v>
      </c>
      <c r="G1705" s="5">
        <v>122.14268476291653</v>
      </c>
      <c r="H1705" s="6" t="s">
        <v>2090</v>
      </c>
    </row>
    <row r="1706" spans="1:8">
      <c r="A1706" s="1">
        <v>1714</v>
      </c>
      <c r="B1706" s="2" t="s">
        <v>2084</v>
      </c>
      <c r="C1706" s="3">
        <v>38969</v>
      </c>
      <c r="D1706" s="4">
        <f>YEAR(Table1[[#This Row],[Date]])</f>
        <v>2006</v>
      </c>
      <c r="E1706" s="2" t="s">
        <v>2097</v>
      </c>
      <c r="F1706" s="4">
        <v>65</v>
      </c>
      <c r="G1706" s="5">
        <v>196.70486780051661</v>
      </c>
      <c r="H1706" s="6" t="s">
        <v>2096</v>
      </c>
    </row>
    <row r="1707" spans="1:8">
      <c r="A1707" s="1">
        <v>1715</v>
      </c>
      <c r="B1707" s="2" t="s">
        <v>2100</v>
      </c>
      <c r="C1707" s="3">
        <v>38903</v>
      </c>
      <c r="D1707" s="4">
        <f>YEAR(Table1[[#This Row],[Date]])</f>
        <v>2006</v>
      </c>
      <c r="E1707" s="2" t="s">
        <v>2081</v>
      </c>
      <c r="F1707" s="4">
        <v>77</v>
      </c>
      <c r="G1707" s="5">
        <v>232.41740522130286</v>
      </c>
      <c r="H1707" s="6" t="s">
        <v>2086</v>
      </c>
    </row>
    <row r="1708" spans="1:8">
      <c r="A1708" s="1">
        <v>1716</v>
      </c>
      <c r="B1708" s="2" t="s">
        <v>2099</v>
      </c>
      <c r="C1708" s="3">
        <v>38826</v>
      </c>
      <c r="D1708" s="4">
        <f>YEAR(Table1[[#This Row],[Date]])</f>
        <v>2006</v>
      </c>
      <c r="E1708" s="2" t="s">
        <v>2097</v>
      </c>
      <c r="F1708" s="4">
        <v>51</v>
      </c>
      <c r="G1708" s="5">
        <v>155.00139731564644</v>
      </c>
      <c r="H1708" s="6" t="s">
        <v>2082</v>
      </c>
    </row>
    <row r="1709" spans="1:8">
      <c r="A1709" s="1">
        <v>1717</v>
      </c>
      <c r="B1709" s="2" t="s">
        <v>2091</v>
      </c>
      <c r="C1709" s="3">
        <v>38452</v>
      </c>
      <c r="D1709" s="4">
        <f>YEAR(Table1[[#This Row],[Date]])</f>
        <v>2005</v>
      </c>
      <c r="E1709" s="2" t="s">
        <v>2085</v>
      </c>
      <c r="F1709" s="4">
        <v>9</v>
      </c>
      <c r="G1709" s="5">
        <v>25.103275559538364</v>
      </c>
      <c r="H1709" s="6" t="s">
        <v>2096</v>
      </c>
    </row>
    <row r="1710" spans="1:8">
      <c r="A1710" s="1">
        <v>1718</v>
      </c>
      <c r="B1710" s="2" t="s">
        <v>2099</v>
      </c>
      <c r="C1710" s="3">
        <v>38441</v>
      </c>
      <c r="D1710" s="4">
        <f>YEAR(Table1[[#This Row],[Date]])</f>
        <v>2005</v>
      </c>
      <c r="E1710" s="2" t="s">
        <v>2097</v>
      </c>
      <c r="F1710" s="4">
        <v>17</v>
      </c>
      <c r="G1710" s="5">
        <v>52.732870933394423</v>
      </c>
      <c r="H1710" s="6" t="s">
        <v>2086</v>
      </c>
    </row>
    <row r="1711" spans="1:8">
      <c r="A1711" s="1">
        <v>1719</v>
      </c>
      <c r="B1711" s="2" t="s">
        <v>2087</v>
      </c>
      <c r="C1711" s="3">
        <v>38452</v>
      </c>
      <c r="D1711" s="4">
        <f>YEAR(Table1[[#This Row],[Date]])</f>
        <v>2005</v>
      </c>
      <c r="E1711" s="2" t="s">
        <v>2094</v>
      </c>
      <c r="F1711" s="4">
        <v>11</v>
      </c>
      <c r="G1711" s="5">
        <v>34.806777506140598</v>
      </c>
      <c r="H1711" s="6" t="s">
        <v>2086</v>
      </c>
    </row>
    <row r="1712" spans="1:8">
      <c r="A1712" s="1">
        <v>1720</v>
      </c>
      <c r="B1712" s="2" t="s">
        <v>2098</v>
      </c>
      <c r="C1712" s="3">
        <v>38892</v>
      </c>
      <c r="D1712" s="4">
        <f>YEAR(Table1[[#This Row],[Date]])</f>
        <v>2006</v>
      </c>
      <c r="E1712" s="2" t="s">
        <v>2081</v>
      </c>
      <c r="F1712" s="4">
        <v>40</v>
      </c>
      <c r="G1712" s="5">
        <v>121.64869809891456</v>
      </c>
      <c r="H1712" s="6" t="s">
        <v>2096</v>
      </c>
    </row>
    <row r="1713" spans="1:8">
      <c r="A1713" s="1">
        <v>1721</v>
      </c>
      <c r="B1713" s="2" t="s">
        <v>2087</v>
      </c>
      <c r="C1713" s="3">
        <v>38584</v>
      </c>
      <c r="D1713" s="4">
        <f>YEAR(Table1[[#This Row],[Date]])</f>
        <v>2005</v>
      </c>
      <c r="E1713" s="2" t="s">
        <v>2085</v>
      </c>
      <c r="F1713" s="4">
        <v>67</v>
      </c>
      <c r="G1713" s="5">
        <v>202.72483169959665</v>
      </c>
      <c r="H1713" s="6" t="s">
        <v>2090</v>
      </c>
    </row>
    <row r="1714" spans="1:8">
      <c r="A1714" s="1">
        <v>1722</v>
      </c>
      <c r="B1714" s="2" t="s">
        <v>2100</v>
      </c>
      <c r="C1714" s="3">
        <v>38562</v>
      </c>
      <c r="D1714" s="4">
        <f>YEAR(Table1[[#This Row],[Date]])</f>
        <v>2005</v>
      </c>
      <c r="E1714" s="2" t="s">
        <v>2088</v>
      </c>
      <c r="F1714" s="4">
        <v>79</v>
      </c>
      <c r="G1714" s="5">
        <v>239.25066766148794</v>
      </c>
      <c r="H1714" s="6" t="s">
        <v>2082</v>
      </c>
    </row>
    <row r="1715" spans="1:8">
      <c r="A1715" s="1">
        <v>1723</v>
      </c>
      <c r="B1715" s="2" t="s">
        <v>2091</v>
      </c>
      <c r="C1715" s="3">
        <v>38122</v>
      </c>
      <c r="D1715" s="4">
        <f>YEAR(Table1[[#This Row],[Date]])</f>
        <v>2004</v>
      </c>
      <c r="E1715" s="2" t="s">
        <v>2085</v>
      </c>
      <c r="F1715" s="4">
        <v>7</v>
      </c>
      <c r="G1715" s="5">
        <v>19.159862376296054</v>
      </c>
      <c r="H1715" s="6" t="s">
        <v>2082</v>
      </c>
    </row>
    <row r="1716" spans="1:8">
      <c r="A1716" s="1">
        <v>1724</v>
      </c>
      <c r="B1716" s="2" t="s">
        <v>2091</v>
      </c>
      <c r="C1716" s="3">
        <v>38496</v>
      </c>
      <c r="D1716" s="4">
        <f>YEAR(Table1[[#This Row],[Date]])</f>
        <v>2005</v>
      </c>
      <c r="E1716" s="2" t="s">
        <v>2097</v>
      </c>
      <c r="F1716" s="4">
        <v>72</v>
      </c>
      <c r="G1716" s="5">
        <v>218.05969697818949</v>
      </c>
      <c r="H1716" s="6" t="s">
        <v>2096</v>
      </c>
    </row>
    <row r="1717" spans="1:8">
      <c r="A1717" s="1">
        <v>1725</v>
      </c>
      <c r="B1717" s="2" t="s">
        <v>2093</v>
      </c>
      <c r="C1717" s="3">
        <v>38562</v>
      </c>
      <c r="D1717" s="4">
        <f>YEAR(Table1[[#This Row],[Date]])</f>
        <v>2005</v>
      </c>
      <c r="E1717" s="2" t="s">
        <v>2094</v>
      </c>
      <c r="F1717" s="4">
        <v>53</v>
      </c>
      <c r="G1717" s="5">
        <v>160.76900841046421</v>
      </c>
      <c r="H1717" s="6" t="s">
        <v>2090</v>
      </c>
    </row>
    <row r="1718" spans="1:8">
      <c r="A1718" s="1">
        <v>1726</v>
      </c>
      <c r="B1718" s="2" t="s">
        <v>2098</v>
      </c>
      <c r="C1718" s="3">
        <v>38903</v>
      </c>
      <c r="D1718" s="4">
        <f>YEAR(Table1[[#This Row],[Date]])</f>
        <v>2006</v>
      </c>
      <c r="E1718" s="2" t="s">
        <v>2094</v>
      </c>
      <c r="F1718" s="4">
        <v>35</v>
      </c>
      <c r="G1718" s="5">
        <v>107.40939275823844</v>
      </c>
      <c r="H1718" s="6" t="s">
        <v>2096</v>
      </c>
    </row>
    <row r="1719" spans="1:8">
      <c r="A1719" s="1">
        <v>1727</v>
      </c>
      <c r="B1719" s="2" t="s">
        <v>2087</v>
      </c>
      <c r="C1719" s="3">
        <v>39024</v>
      </c>
      <c r="D1719" s="4">
        <f>YEAR(Table1[[#This Row],[Date]])</f>
        <v>2006</v>
      </c>
      <c r="E1719" s="2" t="s">
        <v>2081</v>
      </c>
      <c r="F1719" s="4">
        <v>39</v>
      </c>
      <c r="G1719" s="5">
        <v>118.67053890819109</v>
      </c>
      <c r="H1719" s="6" t="s">
        <v>2086</v>
      </c>
    </row>
    <row r="1720" spans="1:8">
      <c r="A1720" s="1">
        <v>1728</v>
      </c>
      <c r="B1720" s="2" t="s">
        <v>2093</v>
      </c>
      <c r="C1720" s="3">
        <v>38177</v>
      </c>
      <c r="D1720" s="4">
        <f>YEAR(Table1[[#This Row],[Date]])</f>
        <v>2004</v>
      </c>
      <c r="E1720" s="2" t="s">
        <v>2097</v>
      </c>
      <c r="F1720" s="4">
        <v>7</v>
      </c>
      <c r="G1720" s="5">
        <v>19.354078968263273</v>
      </c>
      <c r="H1720" s="6" t="s">
        <v>2082</v>
      </c>
    </row>
    <row r="1721" spans="1:8">
      <c r="A1721" s="1">
        <v>1729</v>
      </c>
      <c r="B1721" s="2" t="s">
        <v>2095</v>
      </c>
      <c r="C1721" s="3">
        <v>38155</v>
      </c>
      <c r="D1721" s="4">
        <f>YEAR(Table1[[#This Row],[Date]])</f>
        <v>2004</v>
      </c>
      <c r="E1721" s="2" t="s">
        <v>2094</v>
      </c>
      <c r="F1721" s="4">
        <v>68</v>
      </c>
      <c r="G1721" s="5">
        <v>206.3442384317722</v>
      </c>
      <c r="H1721" s="6" t="s">
        <v>2096</v>
      </c>
    </row>
    <row r="1722" spans="1:8">
      <c r="A1722" s="1">
        <v>1730</v>
      </c>
      <c r="B1722" s="2" t="s">
        <v>2098</v>
      </c>
      <c r="C1722" s="3">
        <v>38287</v>
      </c>
      <c r="D1722" s="4">
        <f>YEAR(Table1[[#This Row],[Date]])</f>
        <v>2004</v>
      </c>
      <c r="E1722" s="2" t="s">
        <v>2094</v>
      </c>
      <c r="F1722" s="4">
        <v>86</v>
      </c>
      <c r="G1722" s="5">
        <v>260.29001268034375</v>
      </c>
      <c r="H1722" s="6" t="s">
        <v>2086</v>
      </c>
    </row>
    <row r="1723" spans="1:8">
      <c r="A1723" s="1">
        <v>1731</v>
      </c>
      <c r="B1723" s="2" t="s">
        <v>2080</v>
      </c>
      <c r="C1723" s="3">
        <v>38595</v>
      </c>
      <c r="D1723" s="4">
        <f>YEAR(Table1[[#This Row],[Date]])</f>
        <v>2005</v>
      </c>
      <c r="E1723" s="2" t="s">
        <v>2088</v>
      </c>
      <c r="F1723" s="4">
        <v>84</v>
      </c>
      <c r="G1723" s="5">
        <v>254.77631099529688</v>
      </c>
      <c r="H1723" s="6" t="s">
        <v>2096</v>
      </c>
    </row>
    <row r="1724" spans="1:8">
      <c r="A1724" s="1">
        <v>1732</v>
      </c>
      <c r="B1724" s="2" t="s">
        <v>2095</v>
      </c>
      <c r="C1724" s="3">
        <v>39046</v>
      </c>
      <c r="D1724" s="4">
        <f>YEAR(Table1[[#This Row],[Date]])</f>
        <v>2006</v>
      </c>
      <c r="E1724" s="2" t="s">
        <v>2097</v>
      </c>
      <c r="F1724" s="4">
        <v>6</v>
      </c>
      <c r="G1724" s="5">
        <v>19.965040351983745</v>
      </c>
      <c r="H1724" s="6" t="s">
        <v>2090</v>
      </c>
    </row>
    <row r="1725" spans="1:8">
      <c r="A1725" s="1">
        <v>1733</v>
      </c>
      <c r="B1725" s="2" t="s">
        <v>2080</v>
      </c>
      <c r="C1725" s="3">
        <v>38727</v>
      </c>
      <c r="D1725" s="4">
        <f>YEAR(Table1[[#This Row],[Date]])</f>
        <v>2006</v>
      </c>
      <c r="E1725" s="2" t="s">
        <v>2088</v>
      </c>
      <c r="F1725" s="4">
        <v>5</v>
      </c>
      <c r="G1725" s="5">
        <v>12.772394146444128</v>
      </c>
      <c r="H1725" s="6" t="s">
        <v>2082</v>
      </c>
    </row>
    <row r="1726" spans="1:8">
      <c r="A1726" s="1">
        <v>1734</v>
      </c>
      <c r="B1726" s="2" t="s">
        <v>2095</v>
      </c>
      <c r="C1726" s="3">
        <v>38815</v>
      </c>
      <c r="D1726" s="4">
        <f>YEAR(Table1[[#This Row],[Date]])</f>
        <v>2006</v>
      </c>
      <c r="E1726" s="2" t="s">
        <v>2081</v>
      </c>
      <c r="F1726" s="4">
        <v>22</v>
      </c>
      <c r="G1726" s="5">
        <v>67.936736058497871</v>
      </c>
      <c r="H1726" s="6" t="s">
        <v>2086</v>
      </c>
    </row>
    <row r="1727" spans="1:8">
      <c r="A1727" s="1">
        <v>1735</v>
      </c>
      <c r="B1727" s="2" t="s">
        <v>2080</v>
      </c>
      <c r="C1727" s="3">
        <v>38694</v>
      </c>
      <c r="D1727" s="4">
        <f>YEAR(Table1[[#This Row],[Date]])</f>
        <v>2005</v>
      </c>
      <c r="E1727" s="2" t="s">
        <v>2094</v>
      </c>
      <c r="F1727" s="4">
        <v>29</v>
      </c>
      <c r="G1727" s="5">
        <v>89.114636106343568</v>
      </c>
      <c r="H1727" s="6" t="s">
        <v>2096</v>
      </c>
    </row>
    <row r="1728" spans="1:8">
      <c r="A1728" s="1">
        <v>1736</v>
      </c>
      <c r="B1728" s="2" t="s">
        <v>2100</v>
      </c>
      <c r="C1728" s="3">
        <v>38298</v>
      </c>
      <c r="D1728" s="4">
        <f>YEAR(Table1[[#This Row],[Date]])</f>
        <v>2004</v>
      </c>
      <c r="E1728" s="2" t="s">
        <v>2081</v>
      </c>
      <c r="F1728" s="4">
        <v>3</v>
      </c>
      <c r="G1728" s="5">
        <v>10.889833668586128</v>
      </c>
      <c r="H1728" s="6" t="s">
        <v>2082</v>
      </c>
    </row>
    <row r="1729" spans="1:8">
      <c r="A1729" s="1">
        <v>1737</v>
      </c>
      <c r="B1729" s="2" t="s">
        <v>2087</v>
      </c>
      <c r="C1729" s="3">
        <v>38804</v>
      </c>
      <c r="D1729" s="4">
        <f>YEAR(Table1[[#This Row],[Date]])</f>
        <v>2006</v>
      </c>
      <c r="E1729" s="2" t="s">
        <v>2094</v>
      </c>
      <c r="F1729" s="4">
        <v>88</v>
      </c>
      <c r="G1729" s="5">
        <v>265.52523967441095</v>
      </c>
      <c r="H1729" s="6" t="s">
        <v>2096</v>
      </c>
    </row>
    <row r="1730" spans="1:8">
      <c r="A1730" s="1">
        <v>1738</v>
      </c>
      <c r="B1730" s="2" t="s">
        <v>2098</v>
      </c>
      <c r="C1730" s="3">
        <v>38408</v>
      </c>
      <c r="D1730" s="4">
        <f>YEAR(Table1[[#This Row],[Date]])</f>
        <v>2005</v>
      </c>
      <c r="E1730" s="2" t="s">
        <v>2094</v>
      </c>
      <c r="F1730" s="4">
        <v>41</v>
      </c>
      <c r="G1730" s="5">
        <v>124.98924123949018</v>
      </c>
      <c r="H1730" s="6" t="s">
        <v>2086</v>
      </c>
    </row>
    <row r="1731" spans="1:8">
      <c r="A1731" s="1">
        <v>1739</v>
      </c>
      <c r="B1731" s="2" t="s">
        <v>2099</v>
      </c>
      <c r="C1731" s="3">
        <v>38397</v>
      </c>
      <c r="D1731" s="4">
        <f>YEAR(Table1[[#This Row],[Date]])</f>
        <v>2005</v>
      </c>
      <c r="E1731" s="2" t="s">
        <v>2085</v>
      </c>
      <c r="F1731" s="4">
        <v>59</v>
      </c>
      <c r="G1731" s="5">
        <v>178.83628019769552</v>
      </c>
      <c r="H1731" s="6" t="s">
        <v>2096</v>
      </c>
    </row>
    <row r="1732" spans="1:8">
      <c r="A1732" s="1">
        <v>1740</v>
      </c>
      <c r="B1732" s="2" t="s">
        <v>2099</v>
      </c>
      <c r="C1732" s="3">
        <v>38265</v>
      </c>
      <c r="D1732" s="4">
        <f>YEAR(Table1[[#This Row],[Date]])</f>
        <v>2004</v>
      </c>
      <c r="E1732" s="2" t="s">
        <v>2097</v>
      </c>
      <c r="F1732" s="4">
        <v>29</v>
      </c>
      <c r="G1732" s="5">
        <v>89.261658607480399</v>
      </c>
      <c r="H1732" s="6" t="s">
        <v>2082</v>
      </c>
    </row>
    <row r="1733" spans="1:8">
      <c r="A1733" s="1">
        <v>1741</v>
      </c>
      <c r="B1733" s="2" t="s">
        <v>2087</v>
      </c>
      <c r="C1733" s="3">
        <v>38034</v>
      </c>
      <c r="D1733" s="4">
        <f>YEAR(Table1[[#This Row],[Date]])</f>
        <v>2004</v>
      </c>
      <c r="E1733" s="2" t="s">
        <v>2097</v>
      </c>
      <c r="F1733" s="4">
        <v>43</v>
      </c>
      <c r="G1733" s="5">
        <v>130.29965520792396</v>
      </c>
      <c r="H1733" s="6" t="s">
        <v>2090</v>
      </c>
    </row>
    <row r="1734" spans="1:8">
      <c r="A1734" s="1">
        <v>1742</v>
      </c>
      <c r="B1734" s="2" t="s">
        <v>2100</v>
      </c>
      <c r="C1734" s="3">
        <v>38826</v>
      </c>
      <c r="D1734" s="4">
        <f>YEAR(Table1[[#This Row],[Date]])</f>
        <v>2006</v>
      </c>
      <c r="E1734" s="2" t="s">
        <v>2081</v>
      </c>
      <c r="F1734" s="4">
        <v>75</v>
      </c>
      <c r="G1734" s="5">
        <v>227.51732588951381</v>
      </c>
      <c r="H1734" s="6" t="s">
        <v>2096</v>
      </c>
    </row>
    <row r="1735" spans="1:8">
      <c r="A1735" s="1">
        <v>1743</v>
      </c>
      <c r="B1735" s="2" t="s">
        <v>2080</v>
      </c>
      <c r="C1735" s="3">
        <v>38221</v>
      </c>
      <c r="D1735" s="4">
        <f>YEAR(Table1[[#This Row],[Date]])</f>
        <v>2004</v>
      </c>
      <c r="E1735" s="2" t="s">
        <v>2097</v>
      </c>
      <c r="F1735" s="4">
        <v>40</v>
      </c>
      <c r="G1735" s="5">
        <v>121.70811716084982</v>
      </c>
      <c r="H1735" s="6" t="s">
        <v>2096</v>
      </c>
    </row>
    <row r="1736" spans="1:8">
      <c r="A1736" s="1">
        <v>1744</v>
      </c>
      <c r="B1736" s="2" t="s">
        <v>2100</v>
      </c>
      <c r="C1736" s="3">
        <v>38309</v>
      </c>
      <c r="D1736" s="4">
        <f>YEAR(Table1[[#This Row],[Date]])</f>
        <v>2004</v>
      </c>
      <c r="E1736" s="2" t="s">
        <v>2097</v>
      </c>
      <c r="F1736" s="4">
        <v>78</v>
      </c>
      <c r="G1736" s="5">
        <v>235.886562763272</v>
      </c>
      <c r="H1736" s="6" t="s">
        <v>2082</v>
      </c>
    </row>
    <row r="1737" spans="1:8">
      <c r="A1737" s="1">
        <v>1745</v>
      </c>
      <c r="B1737" s="2" t="s">
        <v>2091</v>
      </c>
      <c r="C1737" s="3">
        <v>38430</v>
      </c>
      <c r="D1737" s="4">
        <f>YEAR(Table1[[#This Row],[Date]])</f>
        <v>2005</v>
      </c>
      <c r="E1737" s="2" t="s">
        <v>2094</v>
      </c>
      <c r="F1737" s="4">
        <v>38</v>
      </c>
      <c r="G1737" s="5">
        <v>115.79763515244602</v>
      </c>
      <c r="H1737" s="6" t="s">
        <v>2086</v>
      </c>
    </row>
    <row r="1738" spans="1:8">
      <c r="A1738" s="1">
        <v>1746</v>
      </c>
      <c r="B1738" s="2" t="s">
        <v>2098</v>
      </c>
      <c r="C1738" s="3">
        <v>38507</v>
      </c>
      <c r="D1738" s="4">
        <f>YEAR(Table1[[#This Row],[Date]])</f>
        <v>2005</v>
      </c>
      <c r="E1738" s="2" t="s">
        <v>2097</v>
      </c>
      <c r="F1738" s="4">
        <v>3</v>
      </c>
      <c r="G1738" s="5">
        <v>6.3542907791353951</v>
      </c>
      <c r="H1738" s="6" t="s">
        <v>2090</v>
      </c>
    </row>
    <row r="1739" spans="1:8">
      <c r="A1739" s="1">
        <v>1747</v>
      </c>
      <c r="B1739" s="2" t="s">
        <v>2084</v>
      </c>
      <c r="C1739" s="3">
        <v>38100</v>
      </c>
      <c r="D1739" s="4">
        <f>YEAR(Table1[[#This Row],[Date]])</f>
        <v>2004</v>
      </c>
      <c r="E1739" s="2" t="s">
        <v>2085</v>
      </c>
      <c r="F1739" s="4">
        <v>34</v>
      </c>
      <c r="G1739" s="5">
        <v>103.8978672415664</v>
      </c>
      <c r="H1739" s="6" t="s">
        <v>2090</v>
      </c>
    </row>
    <row r="1740" spans="1:8">
      <c r="A1740" s="1">
        <v>1748</v>
      </c>
      <c r="B1740" s="2" t="s">
        <v>2087</v>
      </c>
      <c r="C1740" s="3">
        <v>38111</v>
      </c>
      <c r="D1740" s="4">
        <f>YEAR(Table1[[#This Row],[Date]])</f>
        <v>2004</v>
      </c>
      <c r="E1740" s="2" t="s">
        <v>2094</v>
      </c>
      <c r="F1740" s="4">
        <v>85</v>
      </c>
      <c r="G1740" s="5">
        <v>256.4457111777549</v>
      </c>
      <c r="H1740" s="6" t="s">
        <v>2096</v>
      </c>
    </row>
    <row r="1741" spans="1:8">
      <c r="A1741" s="1">
        <v>1749</v>
      </c>
      <c r="B1741" s="2" t="s">
        <v>2095</v>
      </c>
      <c r="C1741" s="3">
        <v>38672</v>
      </c>
      <c r="D1741" s="4">
        <f>YEAR(Table1[[#This Row],[Date]])</f>
        <v>2005</v>
      </c>
      <c r="E1741" s="2" t="s">
        <v>2085</v>
      </c>
      <c r="F1741" s="4">
        <v>70</v>
      </c>
      <c r="G1741" s="5">
        <v>212.02897469121848</v>
      </c>
      <c r="H1741" s="6" t="s">
        <v>2090</v>
      </c>
    </row>
    <row r="1742" spans="1:8">
      <c r="A1742" s="1">
        <v>1750</v>
      </c>
      <c r="B1742" s="2" t="s">
        <v>2098</v>
      </c>
      <c r="C1742" s="3">
        <v>39024</v>
      </c>
      <c r="D1742" s="4">
        <f>YEAR(Table1[[#This Row],[Date]])</f>
        <v>2006</v>
      </c>
      <c r="E1742" s="2" t="s">
        <v>2094</v>
      </c>
      <c r="F1742" s="4">
        <v>86</v>
      </c>
      <c r="G1742" s="5">
        <v>259.75727876328739</v>
      </c>
      <c r="H1742" s="6" t="s">
        <v>2086</v>
      </c>
    </row>
    <row r="1743" spans="1:8">
      <c r="A1743" s="1">
        <v>1751</v>
      </c>
      <c r="B1743" s="2" t="s">
        <v>2100</v>
      </c>
      <c r="C1743" s="3">
        <v>39068</v>
      </c>
      <c r="D1743" s="4">
        <f>YEAR(Table1[[#This Row],[Date]])</f>
        <v>2006</v>
      </c>
      <c r="E1743" s="2" t="s">
        <v>2085</v>
      </c>
      <c r="F1743" s="4">
        <v>47</v>
      </c>
      <c r="G1743" s="5">
        <v>142.93190581421757</v>
      </c>
      <c r="H1743" s="6" t="s">
        <v>2096</v>
      </c>
    </row>
    <row r="1744" spans="1:8">
      <c r="A1744" s="1">
        <v>1752</v>
      </c>
      <c r="B1744" s="2" t="s">
        <v>2093</v>
      </c>
      <c r="C1744" s="3">
        <v>38881</v>
      </c>
      <c r="D1744" s="4">
        <f>YEAR(Table1[[#This Row],[Date]])</f>
        <v>2006</v>
      </c>
      <c r="E1744" s="2" t="s">
        <v>2088</v>
      </c>
      <c r="F1744" s="4">
        <v>20</v>
      </c>
      <c r="G1744" s="5">
        <v>62.6034037824639</v>
      </c>
      <c r="H1744" s="6" t="s">
        <v>2082</v>
      </c>
    </row>
    <row r="1745" spans="1:8">
      <c r="A1745" s="1">
        <v>1753</v>
      </c>
      <c r="B1745" s="2" t="s">
        <v>2099</v>
      </c>
      <c r="C1745" s="3">
        <v>38122</v>
      </c>
      <c r="D1745" s="4">
        <f>YEAR(Table1[[#This Row],[Date]])</f>
        <v>2004</v>
      </c>
      <c r="E1745" s="2" t="s">
        <v>2097</v>
      </c>
      <c r="F1745" s="4">
        <v>33</v>
      </c>
      <c r="G1745" s="5">
        <v>101.41906626440009</v>
      </c>
      <c r="H1745" s="6" t="s">
        <v>2090</v>
      </c>
    </row>
    <row r="1746" spans="1:8">
      <c r="A1746" s="1">
        <v>1754</v>
      </c>
      <c r="B1746" s="2" t="s">
        <v>2095</v>
      </c>
      <c r="C1746" s="3">
        <v>38298</v>
      </c>
      <c r="D1746" s="4">
        <f>YEAR(Table1[[#This Row],[Date]])</f>
        <v>2004</v>
      </c>
      <c r="E1746" s="2" t="s">
        <v>2097</v>
      </c>
      <c r="F1746" s="4">
        <v>10</v>
      </c>
      <c r="G1746" s="5">
        <v>27.865488210965292</v>
      </c>
      <c r="H1746" s="6" t="s">
        <v>2086</v>
      </c>
    </row>
    <row r="1747" spans="1:8">
      <c r="A1747" s="1">
        <v>1755</v>
      </c>
      <c r="B1747" s="2" t="s">
        <v>2100</v>
      </c>
      <c r="C1747" s="3">
        <v>39057</v>
      </c>
      <c r="D1747" s="4">
        <f>YEAR(Table1[[#This Row],[Date]])</f>
        <v>2006</v>
      </c>
      <c r="E1747" s="2" t="s">
        <v>2081</v>
      </c>
      <c r="F1747" s="4">
        <v>40</v>
      </c>
      <c r="G1747" s="5">
        <v>122.39966734312085</v>
      </c>
      <c r="H1747" s="6" t="s">
        <v>2082</v>
      </c>
    </row>
    <row r="1748" spans="1:8">
      <c r="A1748" s="1">
        <v>1756</v>
      </c>
      <c r="B1748" s="2" t="s">
        <v>2098</v>
      </c>
      <c r="C1748" s="3">
        <v>38188</v>
      </c>
      <c r="D1748" s="4">
        <f>YEAR(Table1[[#This Row],[Date]])</f>
        <v>2004</v>
      </c>
      <c r="E1748" s="2" t="s">
        <v>2085</v>
      </c>
      <c r="F1748" s="4">
        <v>13</v>
      </c>
      <c r="G1748" s="5">
        <v>40.440362188704526</v>
      </c>
      <c r="H1748" s="6" t="s">
        <v>2082</v>
      </c>
    </row>
    <row r="1749" spans="1:8">
      <c r="A1749" s="1">
        <v>1757</v>
      </c>
      <c r="B1749" s="2" t="s">
        <v>2087</v>
      </c>
      <c r="C1749" s="3">
        <v>38958</v>
      </c>
      <c r="D1749" s="4">
        <f>YEAR(Table1[[#This Row],[Date]])</f>
        <v>2006</v>
      </c>
      <c r="E1749" s="2" t="s">
        <v>2081</v>
      </c>
      <c r="F1749" s="4">
        <v>20</v>
      </c>
      <c r="G1749" s="5">
        <v>62.159874636859705</v>
      </c>
      <c r="H1749" s="6" t="s">
        <v>2082</v>
      </c>
    </row>
    <row r="1750" spans="1:8">
      <c r="A1750" s="1">
        <v>1758</v>
      </c>
      <c r="B1750" s="2" t="s">
        <v>2098</v>
      </c>
      <c r="C1750" s="3">
        <v>38045</v>
      </c>
      <c r="D1750" s="4">
        <f>YEAR(Table1[[#This Row],[Date]])</f>
        <v>2004</v>
      </c>
      <c r="E1750" s="2" t="s">
        <v>2094</v>
      </c>
      <c r="F1750" s="4">
        <v>22</v>
      </c>
      <c r="G1750" s="5">
        <v>68.778643754081543</v>
      </c>
      <c r="H1750" s="6" t="s">
        <v>2090</v>
      </c>
    </row>
    <row r="1751" spans="1:8">
      <c r="A1751" s="1">
        <v>1759</v>
      </c>
      <c r="B1751" s="2" t="s">
        <v>2091</v>
      </c>
      <c r="C1751" s="3">
        <v>38606</v>
      </c>
      <c r="D1751" s="4">
        <f>YEAR(Table1[[#This Row],[Date]])</f>
        <v>2005</v>
      </c>
      <c r="E1751" s="2" t="s">
        <v>2085</v>
      </c>
      <c r="F1751" s="4">
        <v>91</v>
      </c>
      <c r="G1751" s="5">
        <v>275.56378169889956</v>
      </c>
      <c r="H1751" s="6" t="s">
        <v>2086</v>
      </c>
    </row>
    <row r="1752" spans="1:8">
      <c r="A1752" s="1">
        <v>1760</v>
      </c>
      <c r="B1752" s="2" t="s">
        <v>2080</v>
      </c>
      <c r="C1752" s="3">
        <v>38848</v>
      </c>
      <c r="D1752" s="4">
        <f>YEAR(Table1[[#This Row],[Date]])</f>
        <v>2006</v>
      </c>
      <c r="E1752" s="2" t="s">
        <v>2081</v>
      </c>
      <c r="F1752" s="4">
        <v>17</v>
      </c>
      <c r="G1752" s="5">
        <v>53.536546154185139</v>
      </c>
      <c r="H1752" s="6" t="s">
        <v>2086</v>
      </c>
    </row>
    <row r="1753" spans="1:8">
      <c r="A1753" s="1">
        <v>1761</v>
      </c>
      <c r="B1753" s="2" t="s">
        <v>2091</v>
      </c>
      <c r="C1753" s="3">
        <v>38298</v>
      </c>
      <c r="D1753" s="4">
        <f>YEAR(Table1[[#This Row],[Date]])</f>
        <v>2004</v>
      </c>
      <c r="E1753" s="2" t="s">
        <v>2081</v>
      </c>
      <c r="F1753" s="4">
        <v>77</v>
      </c>
      <c r="G1753" s="5">
        <v>232.78300193286029</v>
      </c>
      <c r="H1753" s="6" t="s">
        <v>2082</v>
      </c>
    </row>
    <row r="1754" spans="1:8">
      <c r="A1754" s="1">
        <v>1762</v>
      </c>
      <c r="B1754" s="2" t="s">
        <v>2095</v>
      </c>
      <c r="C1754" s="3">
        <v>39057</v>
      </c>
      <c r="D1754" s="4">
        <f>YEAR(Table1[[#This Row],[Date]])</f>
        <v>2006</v>
      </c>
      <c r="E1754" s="2" t="s">
        <v>2097</v>
      </c>
      <c r="F1754" s="4">
        <v>8</v>
      </c>
      <c r="G1754" s="5">
        <v>25.170033543748811</v>
      </c>
      <c r="H1754" s="6" t="s">
        <v>2086</v>
      </c>
    </row>
    <row r="1755" spans="1:8">
      <c r="A1755" s="1">
        <v>1763</v>
      </c>
      <c r="B1755" s="2" t="s">
        <v>2087</v>
      </c>
      <c r="C1755" s="3">
        <v>38584</v>
      </c>
      <c r="D1755" s="4">
        <f>YEAR(Table1[[#This Row],[Date]])</f>
        <v>2005</v>
      </c>
      <c r="E1755" s="2" t="s">
        <v>2094</v>
      </c>
      <c r="F1755" s="4">
        <v>1</v>
      </c>
      <c r="G1755" s="5">
        <v>0.68878150112298231</v>
      </c>
      <c r="H1755" s="6" t="s">
        <v>2082</v>
      </c>
    </row>
    <row r="1756" spans="1:8">
      <c r="A1756" s="1">
        <v>1764</v>
      </c>
      <c r="B1756" s="2" t="s">
        <v>2084</v>
      </c>
      <c r="C1756" s="3">
        <v>38507</v>
      </c>
      <c r="D1756" s="4">
        <f>YEAR(Table1[[#This Row],[Date]])</f>
        <v>2005</v>
      </c>
      <c r="E1756" s="2" t="s">
        <v>2081</v>
      </c>
      <c r="F1756" s="4">
        <v>52</v>
      </c>
      <c r="G1756" s="5">
        <v>158.074363782803</v>
      </c>
      <c r="H1756" s="6" t="s">
        <v>2086</v>
      </c>
    </row>
    <row r="1757" spans="1:8">
      <c r="A1757" s="1">
        <v>1765</v>
      </c>
      <c r="B1757" s="2" t="s">
        <v>2100</v>
      </c>
      <c r="C1757" s="3">
        <v>38595</v>
      </c>
      <c r="D1757" s="4">
        <f>YEAR(Table1[[#This Row],[Date]])</f>
        <v>2005</v>
      </c>
      <c r="E1757" s="2" t="s">
        <v>2097</v>
      </c>
      <c r="F1757" s="4">
        <v>50</v>
      </c>
      <c r="G1757" s="5">
        <v>152.59801251978521</v>
      </c>
      <c r="H1757" s="6" t="s">
        <v>2086</v>
      </c>
    </row>
    <row r="1758" spans="1:8">
      <c r="A1758" s="1">
        <v>1766</v>
      </c>
      <c r="B1758" s="2" t="s">
        <v>2100</v>
      </c>
      <c r="C1758" s="3">
        <v>38892</v>
      </c>
      <c r="D1758" s="4">
        <f>YEAR(Table1[[#This Row],[Date]])</f>
        <v>2006</v>
      </c>
      <c r="E1758" s="2" t="s">
        <v>2085</v>
      </c>
      <c r="F1758" s="4">
        <v>69</v>
      </c>
      <c r="G1758" s="5">
        <v>209.27458050780132</v>
      </c>
      <c r="H1758" s="6" t="s">
        <v>2082</v>
      </c>
    </row>
    <row r="1759" spans="1:8">
      <c r="A1759" s="1">
        <v>1767</v>
      </c>
      <c r="B1759" s="2" t="s">
        <v>2098</v>
      </c>
      <c r="C1759" s="3">
        <v>38870</v>
      </c>
      <c r="D1759" s="4">
        <f>YEAR(Table1[[#This Row],[Date]])</f>
        <v>2006</v>
      </c>
      <c r="E1759" s="2" t="s">
        <v>2097</v>
      </c>
      <c r="F1759" s="4">
        <v>10</v>
      </c>
      <c r="G1759" s="5">
        <v>28.429474612283389</v>
      </c>
      <c r="H1759" s="6" t="s">
        <v>2086</v>
      </c>
    </row>
    <row r="1760" spans="1:8">
      <c r="A1760" s="1">
        <v>1768</v>
      </c>
      <c r="B1760" s="2" t="s">
        <v>2091</v>
      </c>
      <c r="C1760" s="3">
        <v>38243</v>
      </c>
      <c r="D1760" s="4">
        <f>YEAR(Table1[[#This Row],[Date]])</f>
        <v>2004</v>
      </c>
      <c r="E1760" s="2" t="s">
        <v>2085</v>
      </c>
      <c r="F1760" s="4">
        <v>10</v>
      </c>
      <c r="G1760" s="5">
        <v>27.787426760377638</v>
      </c>
      <c r="H1760" s="6" t="s">
        <v>2096</v>
      </c>
    </row>
    <row r="1761" spans="1:8">
      <c r="A1761" s="1">
        <v>1769</v>
      </c>
      <c r="B1761" s="2" t="s">
        <v>2099</v>
      </c>
      <c r="C1761" s="3">
        <v>38650</v>
      </c>
      <c r="D1761" s="4">
        <f>YEAR(Table1[[#This Row],[Date]])</f>
        <v>2005</v>
      </c>
      <c r="E1761" s="2" t="s">
        <v>2097</v>
      </c>
      <c r="F1761" s="4">
        <v>90</v>
      </c>
      <c r="G1761" s="5">
        <v>272.47244684275518</v>
      </c>
      <c r="H1761" s="6" t="s">
        <v>2086</v>
      </c>
    </row>
    <row r="1762" spans="1:8">
      <c r="A1762" s="1">
        <v>1770</v>
      </c>
      <c r="B1762" s="2" t="s">
        <v>2087</v>
      </c>
      <c r="C1762" s="3">
        <v>39035</v>
      </c>
      <c r="D1762" s="4">
        <f>YEAR(Table1[[#This Row],[Date]])</f>
        <v>2006</v>
      </c>
      <c r="E1762" s="2" t="s">
        <v>2085</v>
      </c>
      <c r="F1762" s="4">
        <v>4</v>
      </c>
      <c r="G1762" s="5">
        <v>9.8005201872550316</v>
      </c>
      <c r="H1762" s="6" t="s">
        <v>2082</v>
      </c>
    </row>
    <row r="1763" spans="1:8">
      <c r="A1763" s="1">
        <v>1771</v>
      </c>
      <c r="B1763" s="2" t="s">
        <v>2080</v>
      </c>
      <c r="C1763" s="3">
        <v>38947</v>
      </c>
      <c r="D1763" s="4">
        <f>YEAR(Table1[[#This Row],[Date]])</f>
        <v>2006</v>
      </c>
      <c r="E1763" s="2" t="s">
        <v>2081</v>
      </c>
      <c r="F1763" s="4">
        <v>14</v>
      </c>
      <c r="G1763" s="5">
        <v>44.066692086610537</v>
      </c>
      <c r="H1763" s="6" t="s">
        <v>2090</v>
      </c>
    </row>
    <row r="1764" spans="1:8">
      <c r="A1764" s="1">
        <v>1772</v>
      </c>
      <c r="B1764" s="2" t="s">
        <v>2098</v>
      </c>
      <c r="C1764" s="3">
        <v>38705</v>
      </c>
      <c r="D1764" s="4">
        <f>YEAR(Table1[[#This Row],[Date]])</f>
        <v>2005</v>
      </c>
      <c r="E1764" s="2" t="s">
        <v>2081</v>
      </c>
      <c r="F1764" s="4">
        <v>13</v>
      </c>
      <c r="G1764" s="5">
        <v>41.651608836226835</v>
      </c>
      <c r="H1764" s="6" t="s">
        <v>2096</v>
      </c>
    </row>
    <row r="1765" spans="1:8">
      <c r="A1765" s="1">
        <v>1773</v>
      </c>
      <c r="B1765" s="2" t="s">
        <v>2093</v>
      </c>
      <c r="C1765" s="3">
        <v>38188</v>
      </c>
      <c r="D1765" s="4">
        <f>YEAR(Table1[[#This Row],[Date]])</f>
        <v>2004</v>
      </c>
      <c r="E1765" s="2" t="s">
        <v>2085</v>
      </c>
      <c r="F1765" s="4">
        <v>10</v>
      </c>
      <c r="G1765" s="5">
        <v>27.449007372488328</v>
      </c>
      <c r="H1765" s="6" t="s">
        <v>2086</v>
      </c>
    </row>
    <row r="1766" spans="1:8">
      <c r="A1766" s="1">
        <v>1774</v>
      </c>
      <c r="B1766" s="2" t="s">
        <v>2100</v>
      </c>
      <c r="C1766" s="3">
        <v>38397</v>
      </c>
      <c r="D1766" s="4">
        <f>YEAR(Table1[[#This Row],[Date]])</f>
        <v>2005</v>
      </c>
      <c r="E1766" s="2" t="s">
        <v>2085</v>
      </c>
      <c r="F1766" s="4">
        <v>81</v>
      </c>
      <c r="G1766" s="5">
        <v>244.96209724909312</v>
      </c>
      <c r="H1766" s="6" t="s">
        <v>2096</v>
      </c>
    </row>
    <row r="1767" spans="1:8">
      <c r="A1767" s="1">
        <v>1775</v>
      </c>
      <c r="B1767" s="2" t="s">
        <v>2080</v>
      </c>
      <c r="C1767" s="3">
        <v>38353</v>
      </c>
      <c r="D1767" s="4">
        <f>YEAR(Table1[[#This Row],[Date]])</f>
        <v>2005</v>
      </c>
      <c r="E1767" s="2" t="s">
        <v>2085</v>
      </c>
      <c r="F1767" s="4">
        <v>91</v>
      </c>
      <c r="G1767" s="5">
        <v>274.01633323079733</v>
      </c>
      <c r="H1767" s="6" t="s">
        <v>2090</v>
      </c>
    </row>
    <row r="1768" spans="1:8">
      <c r="A1768" s="1">
        <v>1776</v>
      </c>
      <c r="B1768" s="2" t="s">
        <v>2095</v>
      </c>
      <c r="C1768" s="3">
        <v>38342</v>
      </c>
      <c r="D1768" s="4">
        <f>YEAR(Table1[[#This Row],[Date]])</f>
        <v>2004</v>
      </c>
      <c r="E1768" s="2" t="s">
        <v>2081</v>
      </c>
      <c r="F1768" s="4">
        <v>7</v>
      </c>
      <c r="G1768" s="5">
        <v>23.096103574094034</v>
      </c>
      <c r="H1768" s="6" t="s">
        <v>2082</v>
      </c>
    </row>
    <row r="1769" spans="1:8">
      <c r="A1769" s="1">
        <v>1777</v>
      </c>
      <c r="B1769" s="2" t="s">
        <v>2080</v>
      </c>
      <c r="C1769" s="3">
        <v>38705</v>
      </c>
      <c r="D1769" s="4">
        <f>YEAR(Table1[[#This Row],[Date]])</f>
        <v>2005</v>
      </c>
      <c r="E1769" s="2" t="s">
        <v>2094</v>
      </c>
      <c r="F1769" s="4">
        <v>95</v>
      </c>
      <c r="G1769" s="5">
        <v>286.4091350392265</v>
      </c>
      <c r="H1769" s="6" t="s">
        <v>2086</v>
      </c>
    </row>
    <row r="1770" spans="1:8">
      <c r="A1770" s="1">
        <v>1778</v>
      </c>
      <c r="B1770" s="2" t="s">
        <v>2093</v>
      </c>
      <c r="C1770" s="3">
        <v>38793</v>
      </c>
      <c r="D1770" s="4">
        <f>YEAR(Table1[[#This Row],[Date]])</f>
        <v>2006</v>
      </c>
      <c r="E1770" s="2" t="s">
        <v>2097</v>
      </c>
      <c r="F1770" s="4">
        <v>7</v>
      </c>
      <c r="G1770" s="5">
        <v>23.460398451433193</v>
      </c>
      <c r="H1770" s="6" t="s">
        <v>2096</v>
      </c>
    </row>
    <row r="1771" spans="1:8">
      <c r="A1771" s="1">
        <v>1779</v>
      </c>
      <c r="B1771" s="2" t="s">
        <v>2098</v>
      </c>
      <c r="C1771" s="3">
        <v>38452</v>
      </c>
      <c r="D1771" s="4">
        <f>YEAR(Table1[[#This Row],[Date]])</f>
        <v>2005</v>
      </c>
      <c r="E1771" s="2" t="s">
        <v>2097</v>
      </c>
      <c r="F1771" s="4">
        <v>9</v>
      </c>
      <c r="G1771" s="5">
        <v>29.496709116948491</v>
      </c>
      <c r="H1771" s="6" t="s">
        <v>2096</v>
      </c>
    </row>
    <row r="1772" spans="1:8">
      <c r="A1772" s="1">
        <v>1780</v>
      </c>
      <c r="B1772" s="2" t="s">
        <v>2098</v>
      </c>
      <c r="C1772" s="3">
        <v>38111</v>
      </c>
      <c r="D1772" s="4">
        <f>YEAR(Table1[[#This Row],[Date]])</f>
        <v>2004</v>
      </c>
      <c r="E1772" s="2" t="s">
        <v>2085</v>
      </c>
      <c r="F1772" s="4">
        <v>16</v>
      </c>
      <c r="G1772" s="5">
        <v>50.32304691843445</v>
      </c>
      <c r="H1772" s="6" t="s">
        <v>2082</v>
      </c>
    </row>
    <row r="1773" spans="1:8">
      <c r="A1773" s="1">
        <v>1781</v>
      </c>
      <c r="B1773" s="2" t="s">
        <v>2087</v>
      </c>
      <c r="C1773" s="3">
        <v>38408</v>
      </c>
      <c r="D1773" s="4">
        <f>YEAR(Table1[[#This Row],[Date]])</f>
        <v>2005</v>
      </c>
      <c r="E1773" s="2" t="s">
        <v>2081</v>
      </c>
      <c r="F1773" s="4">
        <v>37</v>
      </c>
      <c r="G1773" s="5">
        <v>112.6423668975758</v>
      </c>
      <c r="H1773" s="6" t="s">
        <v>2096</v>
      </c>
    </row>
    <row r="1774" spans="1:8">
      <c r="A1774" s="1">
        <v>1782</v>
      </c>
      <c r="B1774" s="2" t="s">
        <v>2100</v>
      </c>
      <c r="C1774" s="3">
        <v>38991</v>
      </c>
      <c r="D1774" s="4">
        <f>YEAR(Table1[[#This Row],[Date]])</f>
        <v>2006</v>
      </c>
      <c r="E1774" s="2" t="s">
        <v>2081</v>
      </c>
      <c r="F1774" s="4">
        <v>38</v>
      </c>
      <c r="G1774" s="5">
        <v>115.86694350408794</v>
      </c>
      <c r="H1774" s="6" t="s">
        <v>2090</v>
      </c>
    </row>
    <row r="1775" spans="1:8">
      <c r="A1775" s="1">
        <v>1783</v>
      </c>
      <c r="B1775" s="2" t="s">
        <v>2080</v>
      </c>
      <c r="C1775" s="3">
        <v>38980</v>
      </c>
      <c r="D1775" s="4">
        <f>YEAR(Table1[[#This Row],[Date]])</f>
        <v>2006</v>
      </c>
      <c r="E1775" s="2" t="s">
        <v>2088</v>
      </c>
      <c r="F1775" s="4">
        <v>43</v>
      </c>
      <c r="G1775" s="5">
        <v>130.38058732657913</v>
      </c>
      <c r="H1775" s="6" t="s">
        <v>2096</v>
      </c>
    </row>
    <row r="1776" spans="1:8">
      <c r="A1776" s="1">
        <v>1784</v>
      </c>
      <c r="B1776" s="2" t="s">
        <v>2100</v>
      </c>
      <c r="C1776" s="3">
        <v>38903</v>
      </c>
      <c r="D1776" s="4">
        <f>YEAR(Table1[[#This Row],[Date]])</f>
        <v>2006</v>
      </c>
      <c r="E1776" s="2" t="s">
        <v>2097</v>
      </c>
      <c r="F1776" s="4">
        <v>5</v>
      </c>
      <c r="G1776" s="5">
        <v>12.649706737241745</v>
      </c>
      <c r="H1776" s="6" t="s">
        <v>2086</v>
      </c>
    </row>
    <row r="1777" spans="1:8">
      <c r="A1777" s="1">
        <v>1785</v>
      </c>
      <c r="B1777" s="2" t="s">
        <v>2098</v>
      </c>
      <c r="C1777" s="3">
        <v>39035</v>
      </c>
      <c r="D1777" s="4">
        <f>YEAR(Table1[[#This Row],[Date]])</f>
        <v>2006</v>
      </c>
      <c r="E1777" s="2" t="s">
        <v>2094</v>
      </c>
      <c r="F1777" s="4">
        <v>9</v>
      </c>
      <c r="G1777" s="5">
        <v>28.951087924744211</v>
      </c>
      <c r="H1777" s="6" t="s">
        <v>2090</v>
      </c>
    </row>
    <row r="1778" spans="1:8">
      <c r="A1778" s="1">
        <v>1786</v>
      </c>
      <c r="B1778" s="2" t="s">
        <v>2080</v>
      </c>
      <c r="C1778" s="3">
        <v>38727</v>
      </c>
      <c r="D1778" s="4">
        <f>YEAR(Table1[[#This Row],[Date]])</f>
        <v>2006</v>
      </c>
      <c r="E1778" s="2" t="s">
        <v>2081</v>
      </c>
      <c r="F1778" s="4">
        <v>9</v>
      </c>
      <c r="G1778" s="5">
        <v>24.653364515512152</v>
      </c>
      <c r="H1778" s="6" t="s">
        <v>2096</v>
      </c>
    </row>
    <row r="1779" spans="1:8">
      <c r="A1779" s="1">
        <v>1787</v>
      </c>
      <c r="B1779" s="2" t="s">
        <v>2099</v>
      </c>
      <c r="C1779" s="3">
        <v>38595</v>
      </c>
      <c r="D1779" s="4">
        <f>YEAR(Table1[[#This Row],[Date]])</f>
        <v>2005</v>
      </c>
      <c r="E1779" s="2" t="s">
        <v>2088</v>
      </c>
      <c r="F1779" s="4">
        <v>24</v>
      </c>
      <c r="G1779" s="5">
        <v>74.611228324097638</v>
      </c>
      <c r="H1779" s="6" t="s">
        <v>2096</v>
      </c>
    </row>
    <row r="1780" spans="1:8">
      <c r="A1780" s="1">
        <v>1788</v>
      </c>
      <c r="B1780" s="2" t="s">
        <v>2100</v>
      </c>
      <c r="C1780" s="3">
        <v>38111</v>
      </c>
      <c r="D1780" s="4">
        <f>YEAR(Table1[[#This Row],[Date]])</f>
        <v>2004</v>
      </c>
      <c r="E1780" s="2" t="s">
        <v>2081</v>
      </c>
      <c r="F1780" s="4">
        <v>30</v>
      </c>
      <c r="G1780" s="5">
        <v>91.370060380593657</v>
      </c>
      <c r="H1780" s="6" t="s">
        <v>2086</v>
      </c>
    </row>
    <row r="1781" spans="1:8">
      <c r="A1781" s="1">
        <v>1789</v>
      </c>
      <c r="B1781" s="2" t="s">
        <v>2095</v>
      </c>
      <c r="C1781" s="3">
        <v>38694</v>
      </c>
      <c r="D1781" s="4">
        <f>YEAR(Table1[[#This Row],[Date]])</f>
        <v>2005</v>
      </c>
      <c r="E1781" s="2" t="s">
        <v>2081</v>
      </c>
      <c r="F1781" s="4">
        <v>83</v>
      </c>
      <c r="G1781" s="5">
        <v>250.84508105520038</v>
      </c>
      <c r="H1781" s="6" t="s">
        <v>2090</v>
      </c>
    </row>
    <row r="1782" spans="1:8">
      <c r="A1782" s="1">
        <v>1790</v>
      </c>
      <c r="B1782" s="2" t="s">
        <v>2098</v>
      </c>
      <c r="C1782" s="3">
        <v>38067</v>
      </c>
      <c r="D1782" s="4">
        <f>YEAR(Table1[[#This Row],[Date]])</f>
        <v>2004</v>
      </c>
      <c r="E1782" s="2" t="s">
        <v>2081</v>
      </c>
      <c r="F1782" s="4">
        <v>90</v>
      </c>
      <c r="G1782" s="5">
        <v>271.87067701120321</v>
      </c>
      <c r="H1782" s="6" t="s">
        <v>2096</v>
      </c>
    </row>
    <row r="1783" spans="1:8">
      <c r="A1783" s="1">
        <v>1791</v>
      </c>
      <c r="B1783" s="2" t="s">
        <v>2093</v>
      </c>
      <c r="C1783" s="3">
        <v>38441</v>
      </c>
      <c r="D1783" s="4">
        <f>YEAR(Table1[[#This Row],[Date]])</f>
        <v>2005</v>
      </c>
      <c r="E1783" s="2" t="s">
        <v>2094</v>
      </c>
      <c r="F1783" s="4">
        <v>82</v>
      </c>
      <c r="G1783" s="5">
        <v>248.22787993853669</v>
      </c>
      <c r="H1783" s="6" t="s">
        <v>2082</v>
      </c>
    </row>
    <row r="1784" spans="1:8">
      <c r="A1784" s="1">
        <v>1792</v>
      </c>
      <c r="B1784" s="2" t="s">
        <v>2084</v>
      </c>
      <c r="C1784" s="3">
        <v>38650</v>
      </c>
      <c r="D1784" s="4">
        <f>YEAR(Table1[[#This Row],[Date]])</f>
        <v>2005</v>
      </c>
      <c r="E1784" s="2" t="s">
        <v>2094</v>
      </c>
      <c r="F1784" s="4">
        <v>51</v>
      </c>
      <c r="G1784" s="5">
        <v>155.23329282201692</v>
      </c>
      <c r="H1784" s="6" t="s">
        <v>2086</v>
      </c>
    </row>
    <row r="1785" spans="1:8">
      <c r="A1785" s="1">
        <v>1793</v>
      </c>
      <c r="B1785" s="2" t="s">
        <v>2100</v>
      </c>
      <c r="C1785" s="3">
        <v>37990</v>
      </c>
      <c r="D1785" s="4">
        <f>YEAR(Table1[[#This Row],[Date]])</f>
        <v>2004</v>
      </c>
      <c r="E1785" s="2" t="s">
        <v>2081</v>
      </c>
      <c r="F1785" s="4">
        <v>66</v>
      </c>
      <c r="G1785" s="5">
        <v>200.12511432116293</v>
      </c>
      <c r="H1785" s="6" t="s">
        <v>2090</v>
      </c>
    </row>
    <row r="1786" spans="1:8">
      <c r="A1786" s="1">
        <v>1794</v>
      </c>
      <c r="B1786" s="2" t="s">
        <v>2098</v>
      </c>
      <c r="C1786" s="3">
        <v>38716</v>
      </c>
      <c r="D1786" s="4">
        <f>YEAR(Table1[[#This Row],[Date]])</f>
        <v>2005</v>
      </c>
      <c r="E1786" s="2" t="s">
        <v>2097</v>
      </c>
      <c r="F1786" s="4">
        <v>29</v>
      </c>
      <c r="G1786" s="5">
        <v>89.016407302334798</v>
      </c>
      <c r="H1786" s="6" t="s">
        <v>2082</v>
      </c>
    </row>
    <row r="1787" spans="1:8">
      <c r="A1787" s="1">
        <v>1795</v>
      </c>
      <c r="B1787" s="2" t="s">
        <v>2087</v>
      </c>
      <c r="C1787" s="3">
        <v>38628</v>
      </c>
      <c r="D1787" s="4">
        <f>YEAR(Table1[[#This Row],[Date]])</f>
        <v>2005</v>
      </c>
      <c r="E1787" s="2" t="s">
        <v>2081</v>
      </c>
      <c r="F1787" s="4">
        <v>93</v>
      </c>
      <c r="G1787" s="5">
        <v>280.87456053220649</v>
      </c>
      <c r="H1787" s="6" t="s">
        <v>2096</v>
      </c>
    </row>
    <row r="1788" spans="1:8">
      <c r="A1788" s="1">
        <v>1796</v>
      </c>
      <c r="B1788" s="2" t="s">
        <v>2099</v>
      </c>
      <c r="C1788" s="3">
        <v>39002</v>
      </c>
      <c r="D1788" s="4">
        <f>YEAR(Table1[[#This Row],[Date]])</f>
        <v>2006</v>
      </c>
      <c r="E1788" s="2" t="s">
        <v>2094</v>
      </c>
      <c r="F1788" s="4">
        <v>3</v>
      </c>
      <c r="G1788" s="5">
        <v>6.5419840395963593</v>
      </c>
      <c r="H1788" s="6" t="s">
        <v>2086</v>
      </c>
    </row>
    <row r="1789" spans="1:8">
      <c r="A1789" s="1">
        <v>1797</v>
      </c>
      <c r="B1789" s="2" t="s">
        <v>2087</v>
      </c>
      <c r="C1789" s="3">
        <v>38969</v>
      </c>
      <c r="D1789" s="4">
        <f>YEAR(Table1[[#This Row],[Date]])</f>
        <v>2006</v>
      </c>
      <c r="E1789" s="2" t="s">
        <v>2081</v>
      </c>
      <c r="F1789" s="4">
        <v>2</v>
      </c>
      <c r="G1789" s="5">
        <v>3.6355111778913436</v>
      </c>
      <c r="H1789" s="6" t="s">
        <v>2082</v>
      </c>
    </row>
    <row r="1790" spans="1:8">
      <c r="A1790" s="1">
        <v>1798</v>
      </c>
      <c r="B1790" s="2" t="s">
        <v>2095</v>
      </c>
      <c r="C1790" s="3">
        <v>38265</v>
      </c>
      <c r="D1790" s="4">
        <f>YEAR(Table1[[#This Row],[Date]])</f>
        <v>2004</v>
      </c>
      <c r="E1790" s="2" t="s">
        <v>2088</v>
      </c>
      <c r="F1790" s="4">
        <v>79</v>
      </c>
      <c r="G1790" s="5">
        <v>239.25077929031391</v>
      </c>
      <c r="H1790" s="6" t="s">
        <v>2086</v>
      </c>
    </row>
    <row r="1791" spans="1:8">
      <c r="A1791" s="1">
        <v>1799</v>
      </c>
      <c r="B1791" s="2" t="s">
        <v>2080</v>
      </c>
      <c r="C1791" s="3">
        <v>39079</v>
      </c>
      <c r="D1791" s="4">
        <f>YEAR(Table1[[#This Row],[Date]])</f>
        <v>2006</v>
      </c>
      <c r="E1791" s="2" t="s">
        <v>2081</v>
      </c>
      <c r="F1791" s="4">
        <v>31</v>
      </c>
      <c r="G1791" s="5">
        <v>94.72145499265082</v>
      </c>
      <c r="H1791" s="6" t="s">
        <v>2096</v>
      </c>
    </row>
    <row r="1792" spans="1:8">
      <c r="A1792" s="1">
        <v>1800</v>
      </c>
      <c r="B1792" s="2" t="s">
        <v>2084</v>
      </c>
      <c r="C1792" s="3">
        <v>38485</v>
      </c>
      <c r="D1792" s="4">
        <f>YEAR(Table1[[#This Row],[Date]])</f>
        <v>2005</v>
      </c>
      <c r="E1792" s="2" t="s">
        <v>2085</v>
      </c>
      <c r="F1792" s="4">
        <v>46</v>
      </c>
      <c r="G1792" s="5">
        <v>140.21517548818187</v>
      </c>
      <c r="H1792" s="6" t="s">
        <v>2082</v>
      </c>
    </row>
    <row r="1793" spans="1:8">
      <c r="A1793" s="1">
        <v>1801</v>
      </c>
      <c r="B1793" s="2" t="s">
        <v>2098</v>
      </c>
      <c r="C1793" s="3">
        <v>39079</v>
      </c>
      <c r="D1793" s="4">
        <f>YEAR(Table1[[#This Row],[Date]])</f>
        <v>2006</v>
      </c>
      <c r="E1793" s="2" t="s">
        <v>2085</v>
      </c>
      <c r="F1793" s="4">
        <v>93</v>
      </c>
      <c r="G1793" s="5">
        <v>281.78560885336435</v>
      </c>
      <c r="H1793" s="6" t="s">
        <v>2090</v>
      </c>
    </row>
    <row r="1794" spans="1:8">
      <c r="A1794" s="1">
        <v>1802</v>
      </c>
      <c r="B1794" s="2" t="s">
        <v>2098</v>
      </c>
      <c r="C1794" s="3">
        <v>38056</v>
      </c>
      <c r="D1794" s="4">
        <f>YEAR(Table1[[#This Row],[Date]])</f>
        <v>2004</v>
      </c>
      <c r="E1794" s="2" t="s">
        <v>2081</v>
      </c>
      <c r="F1794" s="4">
        <v>82</v>
      </c>
      <c r="G1794" s="5">
        <v>247.0191820862224</v>
      </c>
      <c r="H1794" s="6" t="s">
        <v>2086</v>
      </c>
    </row>
    <row r="1795" spans="1:8">
      <c r="A1795" s="1">
        <v>1803</v>
      </c>
      <c r="B1795" s="2" t="s">
        <v>2100</v>
      </c>
      <c r="C1795" s="3">
        <v>39057</v>
      </c>
      <c r="D1795" s="4">
        <f>YEAR(Table1[[#This Row],[Date]])</f>
        <v>2006</v>
      </c>
      <c r="E1795" s="2" t="s">
        <v>2088</v>
      </c>
      <c r="F1795" s="4">
        <v>87</v>
      </c>
      <c r="G1795" s="5">
        <v>263.71733330819893</v>
      </c>
      <c r="H1795" s="6" t="s">
        <v>2082</v>
      </c>
    </row>
    <row r="1796" spans="1:8">
      <c r="A1796" s="1">
        <v>1804</v>
      </c>
      <c r="B1796" s="2" t="s">
        <v>2087</v>
      </c>
      <c r="C1796" s="3">
        <v>38331</v>
      </c>
      <c r="D1796" s="4">
        <f>YEAR(Table1[[#This Row],[Date]])</f>
        <v>2004</v>
      </c>
      <c r="E1796" s="2" t="s">
        <v>2085</v>
      </c>
      <c r="F1796" s="4">
        <v>62</v>
      </c>
      <c r="G1796" s="5">
        <v>187.56768751552113</v>
      </c>
      <c r="H1796" s="6" t="s">
        <v>2096</v>
      </c>
    </row>
    <row r="1797" spans="1:8">
      <c r="A1797" s="1">
        <v>1805</v>
      </c>
      <c r="B1797" s="2" t="s">
        <v>2095</v>
      </c>
      <c r="C1797" s="3">
        <v>38342</v>
      </c>
      <c r="D1797" s="4">
        <f>YEAR(Table1[[#This Row],[Date]])</f>
        <v>2004</v>
      </c>
      <c r="E1797" s="2" t="s">
        <v>2085</v>
      </c>
      <c r="F1797" s="4">
        <v>31</v>
      </c>
      <c r="G1797" s="5">
        <v>94.571992971518611</v>
      </c>
      <c r="H1797" s="6" t="s">
        <v>2082</v>
      </c>
    </row>
    <row r="1798" spans="1:8">
      <c r="A1798" s="1">
        <v>1806</v>
      </c>
      <c r="B1798" s="2" t="s">
        <v>2087</v>
      </c>
      <c r="C1798" s="3">
        <v>38210</v>
      </c>
      <c r="D1798" s="4">
        <f>YEAR(Table1[[#This Row],[Date]])</f>
        <v>2004</v>
      </c>
      <c r="E1798" s="2" t="s">
        <v>2097</v>
      </c>
      <c r="F1798" s="4">
        <v>43</v>
      </c>
      <c r="G1798" s="5">
        <v>131.33084322347369</v>
      </c>
      <c r="H1798" s="6" t="s">
        <v>2096</v>
      </c>
    </row>
    <row r="1799" spans="1:8">
      <c r="A1799" s="1">
        <v>1807</v>
      </c>
      <c r="B1799" s="2" t="s">
        <v>2095</v>
      </c>
      <c r="C1799" s="3">
        <v>38298</v>
      </c>
      <c r="D1799" s="4">
        <f>YEAR(Table1[[#This Row],[Date]])</f>
        <v>2004</v>
      </c>
      <c r="E1799" s="2" t="s">
        <v>2081</v>
      </c>
      <c r="F1799" s="4">
        <v>78</v>
      </c>
      <c r="G1799" s="5">
        <v>236.44038982169729</v>
      </c>
      <c r="H1799" s="6" t="s">
        <v>2086</v>
      </c>
    </row>
    <row r="1800" spans="1:8">
      <c r="A1800" s="1">
        <v>1808</v>
      </c>
      <c r="B1800" s="2" t="s">
        <v>2095</v>
      </c>
      <c r="C1800" s="3">
        <v>38199</v>
      </c>
      <c r="D1800" s="4">
        <f>YEAR(Table1[[#This Row],[Date]])</f>
        <v>2004</v>
      </c>
      <c r="E1800" s="2" t="s">
        <v>2081</v>
      </c>
      <c r="F1800" s="4">
        <v>1</v>
      </c>
      <c r="G1800" s="5">
        <v>0.44195721388362097</v>
      </c>
      <c r="H1800" s="6" t="s">
        <v>2082</v>
      </c>
    </row>
    <row r="1801" spans="1:8">
      <c r="A1801" s="1">
        <v>1809</v>
      </c>
      <c r="B1801" s="2" t="s">
        <v>2091</v>
      </c>
      <c r="C1801" s="3">
        <v>38056</v>
      </c>
      <c r="D1801" s="4">
        <f>YEAR(Table1[[#This Row],[Date]])</f>
        <v>2004</v>
      </c>
      <c r="E1801" s="2" t="s">
        <v>2088</v>
      </c>
      <c r="F1801" s="4">
        <v>5</v>
      </c>
      <c r="G1801" s="5">
        <v>17.469809541800071</v>
      </c>
      <c r="H1801" s="6" t="s">
        <v>2082</v>
      </c>
    </row>
    <row r="1802" spans="1:8">
      <c r="A1802" s="1">
        <v>1810</v>
      </c>
      <c r="B1802" s="2" t="s">
        <v>2095</v>
      </c>
      <c r="C1802" s="3">
        <v>38859</v>
      </c>
      <c r="D1802" s="4">
        <f>YEAR(Table1[[#This Row],[Date]])</f>
        <v>2006</v>
      </c>
      <c r="E1802" s="2" t="s">
        <v>2088</v>
      </c>
      <c r="F1802" s="4">
        <v>30</v>
      </c>
      <c r="G1802" s="5">
        <v>92.310265407731023</v>
      </c>
      <c r="H1802" s="6" t="s">
        <v>2082</v>
      </c>
    </row>
    <row r="1803" spans="1:8">
      <c r="A1803" s="1">
        <v>1811</v>
      </c>
      <c r="B1803" s="2" t="s">
        <v>2084</v>
      </c>
      <c r="C1803" s="3">
        <v>38826</v>
      </c>
      <c r="D1803" s="4">
        <f>YEAR(Table1[[#This Row],[Date]])</f>
        <v>2006</v>
      </c>
      <c r="E1803" s="2" t="s">
        <v>2094</v>
      </c>
      <c r="F1803" s="4">
        <v>65</v>
      </c>
      <c r="G1803" s="5">
        <v>197.17585549268185</v>
      </c>
      <c r="H1803" s="6" t="s">
        <v>2090</v>
      </c>
    </row>
    <row r="1804" spans="1:8">
      <c r="A1804" s="1">
        <v>1812</v>
      </c>
      <c r="B1804" s="2" t="s">
        <v>2100</v>
      </c>
      <c r="C1804" s="3">
        <v>38848</v>
      </c>
      <c r="D1804" s="4">
        <f>YEAR(Table1[[#This Row],[Date]])</f>
        <v>2006</v>
      </c>
      <c r="E1804" s="2" t="s">
        <v>2097</v>
      </c>
      <c r="F1804" s="4">
        <v>14</v>
      </c>
      <c r="G1804" s="5">
        <v>43.795902693300988</v>
      </c>
      <c r="H1804" s="6" t="s">
        <v>2082</v>
      </c>
    </row>
    <row r="1805" spans="1:8">
      <c r="A1805" s="1">
        <v>1813</v>
      </c>
      <c r="B1805" s="2" t="s">
        <v>2100</v>
      </c>
      <c r="C1805" s="3">
        <v>38683</v>
      </c>
      <c r="D1805" s="4">
        <f>YEAR(Table1[[#This Row],[Date]])</f>
        <v>2005</v>
      </c>
      <c r="E1805" s="2" t="s">
        <v>2085</v>
      </c>
      <c r="F1805" s="4">
        <v>10</v>
      </c>
      <c r="G1805" s="5">
        <v>31.259562735955448</v>
      </c>
      <c r="H1805" s="6" t="s">
        <v>2090</v>
      </c>
    </row>
    <row r="1806" spans="1:8">
      <c r="A1806" s="1">
        <v>1814</v>
      </c>
      <c r="B1806" s="2" t="s">
        <v>2080</v>
      </c>
      <c r="C1806" s="3">
        <v>38056</v>
      </c>
      <c r="D1806" s="4">
        <f>YEAR(Table1[[#This Row],[Date]])</f>
        <v>2004</v>
      </c>
      <c r="E1806" s="2" t="s">
        <v>2088</v>
      </c>
      <c r="F1806" s="4">
        <v>31</v>
      </c>
      <c r="G1806" s="5">
        <v>94.729581013275251</v>
      </c>
      <c r="H1806" s="6" t="s">
        <v>2086</v>
      </c>
    </row>
    <row r="1807" spans="1:8">
      <c r="A1807" s="1">
        <v>1815</v>
      </c>
      <c r="B1807" s="2" t="s">
        <v>2080</v>
      </c>
      <c r="C1807" s="3">
        <v>38826</v>
      </c>
      <c r="D1807" s="4">
        <f>YEAR(Table1[[#This Row],[Date]])</f>
        <v>2006</v>
      </c>
      <c r="E1807" s="2" t="s">
        <v>2097</v>
      </c>
      <c r="F1807" s="4">
        <v>25</v>
      </c>
      <c r="G1807" s="5">
        <v>77.103127744417094</v>
      </c>
      <c r="H1807" s="6" t="s">
        <v>2082</v>
      </c>
    </row>
    <row r="1808" spans="1:8">
      <c r="A1808" s="1">
        <v>1816</v>
      </c>
      <c r="B1808" s="2" t="s">
        <v>2080</v>
      </c>
      <c r="C1808" s="3">
        <v>38430</v>
      </c>
      <c r="D1808" s="4">
        <f>YEAR(Table1[[#This Row],[Date]])</f>
        <v>2005</v>
      </c>
      <c r="E1808" s="2" t="s">
        <v>2088</v>
      </c>
      <c r="F1808" s="4">
        <v>11</v>
      </c>
      <c r="G1808" s="5">
        <v>35.295636570052608</v>
      </c>
      <c r="H1808" s="6" t="s">
        <v>2082</v>
      </c>
    </row>
    <row r="1809" spans="1:8">
      <c r="A1809" s="1">
        <v>1817</v>
      </c>
      <c r="B1809" s="2" t="s">
        <v>2080</v>
      </c>
      <c r="C1809" s="3">
        <v>38001</v>
      </c>
      <c r="D1809" s="4">
        <f>YEAR(Table1[[#This Row],[Date]])</f>
        <v>2004</v>
      </c>
      <c r="E1809" s="2" t="s">
        <v>2085</v>
      </c>
      <c r="F1809" s="4">
        <v>62</v>
      </c>
      <c r="G1809" s="5">
        <v>187.51222635081746</v>
      </c>
      <c r="H1809" s="6" t="s">
        <v>2090</v>
      </c>
    </row>
    <row r="1810" spans="1:8">
      <c r="A1810" s="1">
        <v>1818</v>
      </c>
      <c r="B1810" s="2" t="s">
        <v>2087</v>
      </c>
      <c r="C1810" s="3">
        <v>38012</v>
      </c>
      <c r="D1810" s="4">
        <f>YEAR(Table1[[#This Row],[Date]])</f>
        <v>2004</v>
      </c>
      <c r="E1810" s="2" t="s">
        <v>2085</v>
      </c>
      <c r="F1810" s="4">
        <v>4</v>
      </c>
      <c r="G1810" s="5">
        <v>14.186481337467258</v>
      </c>
      <c r="H1810" s="6" t="s">
        <v>2090</v>
      </c>
    </row>
    <row r="1811" spans="1:8">
      <c r="A1811" s="1">
        <v>1819</v>
      </c>
      <c r="B1811" s="2" t="s">
        <v>2091</v>
      </c>
      <c r="C1811" s="3">
        <v>38969</v>
      </c>
      <c r="D1811" s="4">
        <f>YEAR(Table1[[#This Row],[Date]])</f>
        <v>2006</v>
      </c>
      <c r="E1811" s="2" t="s">
        <v>2094</v>
      </c>
      <c r="F1811" s="4">
        <v>4</v>
      </c>
      <c r="G1811" s="5">
        <v>13.713847194878378</v>
      </c>
      <c r="H1811" s="6" t="s">
        <v>2086</v>
      </c>
    </row>
    <row r="1812" spans="1:8">
      <c r="A1812" s="1">
        <v>1820</v>
      </c>
      <c r="B1812" s="2" t="s">
        <v>2095</v>
      </c>
      <c r="C1812" s="3">
        <v>38683</v>
      </c>
      <c r="D1812" s="4">
        <f>YEAR(Table1[[#This Row],[Date]])</f>
        <v>2005</v>
      </c>
      <c r="E1812" s="2" t="s">
        <v>2081</v>
      </c>
      <c r="F1812" s="4">
        <v>71</v>
      </c>
      <c r="G1812" s="5">
        <v>215.12149125217519</v>
      </c>
      <c r="H1812" s="6" t="s">
        <v>2096</v>
      </c>
    </row>
    <row r="1813" spans="1:8">
      <c r="A1813" s="1">
        <v>1821</v>
      </c>
      <c r="B1813" s="2" t="s">
        <v>2099</v>
      </c>
      <c r="C1813" s="3">
        <v>38859</v>
      </c>
      <c r="D1813" s="4">
        <f>YEAR(Table1[[#This Row],[Date]])</f>
        <v>2006</v>
      </c>
      <c r="E1813" s="2" t="s">
        <v>2088</v>
      </c>
      <c r="F1813" s="4">
        <v>67</v>
      </c>
      <c r="G1813" s="5">
        <v>203.18155970987976</v>
      </c>
      <c r="H1813" s="6" t="s">
        <v>2096</v>
      </c>
    </row>
    <row r="1814" spans="1:8">
      <c r="A1814" s="1">
        <v>1822</v>
      </c>
      <c r="B1814" s="2" t="s">
        <v>2098</v>
      </c>
      <c r="C1814" s="3">
        <v>38463</v>
      </c>
      <c r="D1814" s="4">
        <f>YEAR(Table1[[#This Row],[Date]])</f>
        <v>2005</v>
      </c>
      <c r="E1814" s="2" t="s">
        <v>2081</v>
      </c>
      <c r="F1814" s="4">
        <v>19</v>
      </c>
      <c r="G1814" s="5">
        <v>59.451848680441209</v>
      </c>
      <c r="H1814" s="6" t="s">
        <v>2090</v>
      </c>
    </row>
    <row r="1815" spans="1:8">
      <c r="A1815" s="1">
        <v>1823</v>
      </c>
      <c r="B1815" s="2" t="s">
        <v>2100</v>
      </c>
      <c r="C1815" s="3">
        <v>38529</v>
      </c>
      <c r="D1815" s="4">
        <f>YEAR(Table1[[#This Row],[Date]])</f>
        <v>2005</v>
      </c>
      <c r="E1815" s="2" t="s">
        <v>2081</v>
      </c>
      <c r="F1815" s="4">
        <v>12</v>
      </c>
      <c r="G1815" s="5">
        <v>37.634507305486729</v>
      </c>
      <c r="H1815" s="6" t="s">
        <v>2082</v>
      </c>
    </row>
    <row r="1816" spans="1:8">
      <c r="A1816" s="1">
        <v>1824</v>
      </c>
      <c r="B1816" s="2" t="s">
        <v>2091</v>
      </c>
      <c r="C1816" s="3">
        <v>38892</v>
      </c>
      <c r="D1816" s="4">
        <f>YEAR(Table1[[#This Row],[Date]])</f>
        <v>2006</v>
      </c>
      <c r="E1816" s="2" t="s">
        <v>2081</v>
      </c>
      <c r="F1816" s="4">
        <v>50</v>
      </c>
      <c r="G1816" s="5">
        <v>151.66817286074655</v>
      </c>
      <c r="H1816" s="6" t="s">
        <v>2086</v>
      </c>
    </row>
    <row r="1817" spans="1:8">
      <c r="A1817" s="1">
        <v>1825</v>
      </c>
      <c r="B1817" s="2" t="s">
        <v>2080</v>
      </c>
      <c r="C1817" s="3">
        <v>38760</v>
      </c>
      <c r="D1817" s="4">
        <f>YEAR(Table1[[#This Row],[Date]])</f>
        <v>2006</v>
      </c>
      <c r="E1817" s="2" t="s">
        <v>2088</v>
      </c>
      <c r="F1817" s="4">
        <v>73</v>
      </c>
      <c r="G1817" s="5">
        <v>221.23251800803121</v>
      </c>
      <c r="H1817" s="6" t="s">
        <v>2096</v>
      </c>
    </row>
    <row r="1818" spans="1:8">
      <c r="A1818" s="1">
        <v>1826</v>
      </c>
      <c r="B1818" s="2" t="s">
        <v>2100</v>
      </c>
      <c r="C1818" s="3">
        <v>38947</v>
      </c>
      <c r="D1818" s="4">
        <f>YEAR(Table1[[#This Row],[Date]])</f>
        <v>2006</v>
      </c>
      <c r="E1818" s="2" t="s">
        <v>2088</v>
      </c>
      <c r="F1818" s="4">
        <v>30</v>
      </c>
      <c r="G1818" s="5">
        <v>91.686808812711931</v>
      </c>
      <c r="H1818" s="6" t="s">
        <v>2096</v>
      </c>
    </row>
    <row r="1819" spans="1:8">
      <c r="A1819" s="1">
        <v>1827</v>
      </c>
      <c r="B1819" s="2" t="s">
        <v>2087</v>
      </c>
      <c r="C1819" s="3">
        <v>38243</v>
      </c>
      <c r="D1819" s="4">
        <f>YEAR(Table1[[#This Row],[Date]])</f>
        <v>2004</v>
      </c>
      <c r="E1819" s="2" t="s">
        <v>2097</v>
      </c>
      <c r="F1819" s="4">
        <v>19</v>
      </c>
      <c r="G1819" s="5">
        <v>59.101466872333368</v>
      </c>
      <c r="H1819" s="6" t="s">
        <v>2082</v>
      </c>
    </row>
    <row r="1820" spans="1:8">
      <c r="A1820" s="1">
        <v>1828</v>
      </c>
      <c r="B1820" s="2" t="s">
        <v>2099</v>
      </c>
      <c r="C1820" s="3">
        <v>38507</v>
      </c>
      <c r="D1820" s="4">
        <f>YEAR(Table1[[#This Row],[Date]])</f>
        <v>2005</v>
      </c>
      <c r="E1820" s="2" t="s">
        <v>2094</v>
      </c>
      <c r="F1820" s="4">
        <v>48</v>
      </c>
      <c r="G1820" s="5">
        <v>145.21747547077908</v>
      </c>
      <c r="H1820" s="6" t="s">
        <v>2096</v>
      </c>
    </row>
    <row r="1821" spans="1:8">
      <c r="A1821" s="1">
        <v>1829</v>
      </c>
      <c r="B1821" s="2" t="s">
        <v>2084</v>
      </c>
      <c r="C1821" s="3">
        <v>38859</v>
      </c>
      <c r="D1821" s="4">
        <f>YEAR(Table1[[#This Row],[Date]])</f>
        <v>2006</v>
      </c>
      <c r="E1821" s="2" t="s">
        <v>2097</v>
      </c>
      <c r="F1821" s="4">
        <v>8</v>
      </c>
      <c r="G1821" s="5">
        <v>21.602633683096364</v>
      </c>
      <c r="H1821" s="6" t="s">
        <v>2096</v>
      </c>
    </row>
    <row r="1822" spans="1:8">
      <c r="A1822" s="1">
        <v>1830</v>
      </c>
      <c r="B1822" s="2" t="s">
        <v>2100</v>
      </c>
      <c r="C1822" s="3">
        <v>38947</v>
      </c>
      <c r="D1822" s="4">
        <f>YEAR(Table1[[#This Row],[Date]])</f>
        <v>2006</v>
      </c>
      <c r="E1822" s="2" t="s">
        <v>2081</v>
      </c>
      <c r="F1822" s="4">
        <v>8</v>
      </c>
      <c r="G1822" s="5">
        <v>22.143532028061156</v>
      </c>
      <c r="H1822" s="6" t="s">
        <v>2082</v>
      </c>
    </row>
    <row r="1823" spans="1:8">
      <c r="A1823" s="1">
        <v>1831</v>
      </c>
      <c r="B1823" s="2" t="s">
        <v>2100</v>
      </c>
      <c r="C1823" s="3">
        <v>38441</v>
      </c>
      <c r="D1823" s="4">
        <f>YEAR(Table1[[#This Row],[Date]])</f>
        <v>2005</v>
      </c>
      <c r="E1823" s="2" t="s">
        <v>2081</v>
      </c>
      <c r="F1823" s="4">
        <v>28</v>
      </c>
      <c r="G1823" s="5">
        <v>85.906767980675738</v>
      </c>
      <c r="H1823" s="6" t="s">
        <v>2082</v>
      </c>
    </row>
    <row r="1824" spans="1:8">
      <c r="A1824" s="1">
        <v>1832</v>
      </c>
      <c r="B1824" s="2" t="s">
        <v>2091</v>
      </c>
      <c r="C1824" s="3">
        <v>38617</v>
      </c>
      <c r="D1824" s="4">
        <f>YEAR(Table1[[#This Row],[Date]])</f>
        <v>2005</v>
      </c>
      <c r="E1824" s="2" t="s">
        <v>2097</v>
      </c>
      <c r="F1824" s="4">
        <v>81</v>
      </c>
      <c r="G1824" s="5">
        <v>245.21311554699477</v>
      </c>
      <c r="H1824" s="6" t="s">
        <v>2090</v>
      </c>
    </row>
    <row r="1825" spans="1:8">
      <c r="A1825" s="1">
        <v>1833</v>
      </c>
      <c r="B1825" s="2" t="s">
        <v>2091</v>
      </c>
      <c r="C1825" s="3">
        <v>38364</v>
      </c>
      <c r="D1825" s="4">
        <f>YEAR(Table1[[#This Row],[Date]])</f>
        <v>2005</v>
      </c>
      <c r="E1825" s="2" t="s">
        <v>2081</v>
      </c>
      <c r="F1825" s="4">
        <v>12</v>
      </c>
      <c r="G1825" s="5">
        <v>37.991916032039505</v>
      </c>
      <c r="H1825" s="6" t="s">
        <v>2096</v>
      </c>
    </row>
    <row r="1826" spans="1:8">
      <c r="A1826" s="1">
        <v>1834</v>
      </c>
      <c r="B1826" s="2" t="s">
        <v>2091</v>
      </c>
      <c r="C1826" s="3">
        <v>38782</v>
      </c>
      <c r="D1826" s="4">
        <f>YEAR(Table1[[#This Row],[Date]])</f>
        <v>2006</v>
      </c>
      <c r="E1826" s="2" t="s">
        <v>2094</v>
      </c>
      <c r="F1826" s="4">
        <v>54</v>
      </c>
      <c r="G1826" s="5">
        <v>164.03373721658585</v>
      </c>
      <c r="H1826" s="6" t="s">
        <v>2096</v>
      </c>
    </row>
    <row r="1827" spans="1:8">
      <c r="A1827" s="1">
        <v>1835</v>
      </c>
      <c r="B1827" s="2" t="s">
        <v>2091</v>
      </c>
      <c r="C1827" s="3">
        <v>38496</v>
      </c>
      <c r="D1827" s="4">
        <f>YEAR(Table1[[#This Row],[Date]])</f>
        <v>2005</v>
      </c>
      <c r="E1827" s="2" t="s">
        <v>2085</v>
      </c>
      <c r="F1827" s="4">
        <v>70</v>
      </c>
      <c r="G1827" s="5">
        <v>212.30572042127932</v>
      </c>
      <c r="H1827" s="6" t="s">
        <v>2082</v>
      </c>
    </row>
    <row r="1828" spans="1:8">
      <c r="A1828" s="1">
        <v>1836</v>
      </c>
      <c r="B1828" s="2" t="s">
        <v>2091</v>
      </c>
      <c r="C1828" s="3">
        <v>38573</v>
      </c>
      <c r="D1828" s="4">
        <f>YEAR(Table1[[#This Row],[Date]])</f>
        <v>2005</v>
      </c>
      <c r="E1828" s="2" t="s">
        <v>2094</v>
      </c>
      <c r="F1828" s="4">
        <v>89</v>
      </c>
      <c r="G1828" s="5">
        <v>269.07289128480653</v>
      </c>
      <c r="H1828" s="6" t="s">
        <v>2096</v>
      </c>
    </row>
    <row r="1829" spans="1:8">
      <c r="A1829" s="1">
        <v>1837</v>
      </c>
      <c r="B1829" s="2" t="s">
        <v>2095</v>
      </c>
      <c r="C1829" s="3">
        <v>38606</v>
      </c>
      <c r="D1829" s="4">
        <f>YEAR(Table1[[#This Row],[Date]])</f>
        <v>2005</v>
      </c>
      <c r="E1829" s="2" t="s">
        <v>2085</v>
      </c>
      <c r="F1829" s="4">
        <v>10</v>
      </c>
      <c r="G1829" s="5">
        <v>32.271941209300522</v>
      </c>
      <c r="H1829" s="6" t="s">
        <v>2096</v>
      </c>
    </row>
    <row r="1830" spans="1:8">
      <c r="A1830" s="1">
        <v>1838</v>
      </c>
      <c r="B1830" s="2" t="s">
        <v>2080</v>
      </c>
      <c r="C1830" s="3">
        <v>37990</v>
      </c>
      <c r="D1830" s="4">
        <f>YEAR(Table1[[#This Row],[Date]])</f>
        <v>2004</v>
      </c>
      <c r="E1830" s="2" t="s">
        <v>2085</v>
      </c>
      <c r="F1830" s="4">
        <v>52</v>
      </c>
      <c r="G1830" s="5">
        <v>158.17581888720281</v>
      </c>
      <c r="H1830" s="6" t="s">
        <v>2096</v>
      </c>
    </row>
    <row r="1831" spans="1:8">
      <c r="A1831" s="1">
        <v>1839</v>
      </c>
      <c r="B1831" s="2" t="s">
        <v>2095</v>
      </c>
      <c r="C1831" s="3">
        <v>38540</v>
      </c>
      <c r="D1831" s="4">
        <f>YEAR(Table1[[#This Row],[Date]])</f>
        <v>2005</v>
      </c>
      <c r="E1831" s="2" t="s">
        <v>2097</v>
      </c>
      <c r="F1831" s="4">
        <v>85</v>
      </c>
      <c r="G1831" s="5">
        <v>257.81669173781398</v>
      </c>
      <c r="H1831" s="6" t="s">
        <v>2090</v>
      </c>
    </row>
    <row r="1832" spans="1:8">
      <c r="A1832" s="1">
        <v>1840</v>
      </c>
      <c r="B1832" s="2" t="s">
        <v>2087</v>
      </c>
      <c r="C1832" s="3">
        <v>38529</v>
      </c>
      <c r="D1832" s="4">
        <f>YEAR(Table1[[#This Row],[Date]])</f>
        <v>2005</v>
      </c>
      <c r="E1832" s="2" t="s">
        <v>2085</v>
      </c>
      <c r="F1832" s="4">
        <v>31</v>
      </c>
      <c r="G1832" s="5">
        <v>93.983701954495999</v>
      </c>
      <c r="H1832" s="6" t="s">
        <v>2082</v>
      </c>
    </row>
    <row r="1833" spans="1:8">
      <c r="A1833" s="1">
        <v>1841</v>
      </c>
      <c r="B1833" s="2" t="s">
        <v>2098</v>
      </c>
      <c r="C1833" s="3">
        <v>38793</v>
      </c>
      <c r="D1833" s="4">
        <f>YEAR(Table1[[#This Row],[Date]])</f>
        <v>2006</v>
      </c>
      <c r="E1833" s="2" t="s">
        <v>2097</v>
      </c>
      <c r="F1833" s="4">
        <v>36</v>
      </c>
      <c r="G1833" s="5">
        <v>110.02990284078979</v>
      </c>
      <c r="H1833" s="6" t="s">
        <v>2082</v>
      </c>
    </row>
    <row r="1834" spans="1:8">
      <c r="A1834" s="1">
        <v>1842</v>
      </c>
      <c r="B1834" s="2" t="s">
        <v>2093</v>
      </c>
      <c r="C1834" s="3">
        <v>38089</v>
      </c>
      <c r="D1834" s="4">
        <f>YEAR(Table1[[#This Row],[Date]])</f>
        <v>2004</v>
      </c>
      <c r="E1834" s="2" t="s">
        <v>2081</v>
      </c>
      <c r="F1834" s="4">
        <v>80</v>
      </c>
      <c r="G1834" s="5">
        <v>241.83353913915346</v>
      </c>
      <c r="H1834" s="6" t="s">
        <v>2086</v>
      </c>
    </row>
    <row r="1835" spans="1:8">
      <c r="A1835" s="1">
        <v>1843</v>
      </c>
      <c r="B1835" s="2" t="s">
        <v>2093</v>
      </c>
      <c r="C1835" s="3">
        <v>38562</v>
      </c>
      <c r="D1835" s="4">
        <f>YEAR(Table1[[#This Row],[Date]])</f>
        <v>2005</v>
      </c>
      <c r="E1835" s="2" t="s">
        <v>2097</v>
      </c>
      <c r="F1835" s="4">
        <v>27</v>
      </c>
      <c r="G1835" s="5">
        <v>82.455751292325587</v>
      </c>
      <c r="H1835" s="6" t="s">
        <v>2090</v>
      </c>
    </row>
    <row r="1836" spans="1:8">
      <c r="A1836" s="1">
        <v>1844</v>
      </c>
      <c r="B1836" s="2" t="s">
        <v>2095</v>
      </c>
      <c r="C1836" s="3">
        <v>38111</v>
      </c>
      <c r="D1836" s="4">
        <f>YEAR(Table1[[#This Row],[Date]])</f>
        <v>2004</v>
      </c>
      <c r="E1836" s="2" t="s">
        <v>2085</v>
      </c>
      <c r="F1836" s="4">
        <v>46</v>
      </c>
      <c r="G1836" s="5">
        <v>140.39446141212673</v>
      </c>
      <c r="H1836" s="6" t="s">
        <v>2082</v>
      </c>
    </row>
    <row r="1837" spans="1:8">
      <c r="A1837" s="1">
        <v>1845</v>
      </c>
      <c r="B1837" s="2" t="s">
        <v>2095</v>
      </c>
      <c r="C1837" s="3">
        <v>38188</v>
      </c>
      <c r="D1837" s="4">
        <f>YEAR(Table1[[#This Row],[Date]])</f>
        <v>2004</v>
      </c>
      <c r="E1837" s="2" t="s">
        <v>2085</v>
      </c>
      <c r="F1837" s="4">
        <v>29</v>
      </c>
      <c r="G1837" s="5">
        <v>89.577515368145924</v>
      </c>
      <c r="H1837" s="6" t="s">
        <v>2082</v>
      </c>
    </row>
    <row r="1838" spans="1:8">
      <c r="A1838" s="1">
        <v>1846</v>
      </c>
      <c r="B1838" s="2" t="s">
        <v>2099</v>
      </c>
      <c r="C1838" s="3">
        <v>38760</v>
      </c>
      <c r="D1838" s="4">
        <f>YEAR(Table1[[#This Row],[Date]])</f>
        <v>2006</v>
      </c>
      <c r="E1838" s="2" t="s">
        <v>2081</v>
      </c>
      <c r="F1838" s="4">
        <v>55</v>
      </c>
      <c r="G1838" s="5">
        <v>167.03601910379061</v>
      </c>
      <c r="H1838" s="6" t="s">
        <v>2086</v>
      </c>
    </row>
    <row r="1839" spans="1:8">
      <c r="A1839" s="1">
        <v>1847</v>
      </c>
      <c r="B1839" s="2" t="s">
        <v>2098</v>
      </c>
      <c r="C1839" s="3">
        <v>38243</v>
      </c>
      <c r="D1839" s="4">
        <f>YEAR(Table1[[#This Row],[Date]])</f>
        <v>2004</v>
      </c>
      <c r="E1839" s="2" t="s">
        <v>2097</v>
      </c>
      <c r="F1839" s="4">
        <v>2</v>
      </c>
      <c r="G1839" s="5">
        <v>7.3173645509019103</v>
      </c>
      <c r="H1839" s="6" t="s">
        <v>2082</v>
      </c>
    </row>
    <row r="1840" spans="1:8">
      <c r="A1840" s="1">
        <v>1848</v>
      </c>
      <c r="B1840" s="2" t="s">
        <v>2080</v>
      </c>
      <c r="C1840" s="3">
        <v>38892</v>
      </c>
      <c r="D1840" s="4">
        <f>YEAR(Table1[[#This Row],[Date]])</f>
        <v>2006</v>
      </c>
      <c r="E1840" s="2" t="s">
        <v>2085</v>
      </c>
      <c r="F1840" s="4">
        <v>60</v>
      </c>
      <c r="G1840" s="5">
        <v>182.39254500689876</v>
      </c>
      <c r="H1840" s="6" t="s">
        <v>2090</v>
      </c>
    </row>
    <row r="1841" spans="1:8">
      <c r="A1841" s="1">
        <v>1849</v>
      </c>
      <c r="B1841" s="2" t="s">
        <v>2091</v>
      </c>
      <c r="C1841" s="3">
        <v>38562</v>
      </c>
      <c r="D1841" s="4">
        <f>YEAR(Table1[[#This Row],[Date]])</f>
        <v>2005</v>
      </c>
      <c r="E1841" s="2" t="s">
        <v>2081</v>
      </c>
      <c r="F1841" s="4">
        <v>12</v>
      </c>
      <c r="G1841" s="5">
        <v>37.851664258571823</v>
      </c>
      <c r="H1841" s="6" t="s">
        <v>2096</v>
      </c>
    </row>
    <row r="1842" spans="1:8">
      <c r="A1842" s="1">
        <v>1850</v>
      </c>
      <c r="B1842" s="2" t="s">
        <v>2099</v>
      </c>
      <c r="C1842" s="3">
        <v>38122</v>
      </c>
      <c r="D1842" s="4">
        <f>YEAR(Table1[[#This Row],[Date]])</f>
        <v>2004</v>
      </c>
      <c r="E1842" s="2" t="s">
        <v>2097</v>
      </c>
      <c r="F1842" s="4">
        <v>52</v>
      </c>
      <c r="G1842" s="5">
        <v>157.88309865957618</v>
      </c>
      <c r="H1842" s="6" t="s">
        <v>2082</v>
      </c>
    </row>
    <row r="1843" spans="1:8">
      <c r="A1843" s="1">
        <v>1851</v>
      </c>
      <c r="B1843" s="2" t="s">
        <v>2087</v>
      </c>
      <c r="C1843" s="3">
        <v>38100</v>
      </c>
      <c r="D1843" s="4">
        <f>YEAR(Table1[[#This Row],[Date]])</f>
        <v>2004</v>
      </c>
      <c r="E1843" s="2" t="s">
        <v>2081</v>
      </c>
      <c r="F1843" s="4">
        <v>37</v>
      </c>
      <c r="G1843" s="5">
        <v>113.27390397366521</v>
      </c>
      <c r="H1843" s="6" t="s">
        <v>2086</v>
      </c>
    </row>
    <row r="1844" spans="1:8">
      <c r="A1844" s="1">
        <v>1852</v>
      </c>
      <c r="B1844" s="2" t="s">
        <v>2087</v>
      </c>
      <c r="C1844" s="3">
        <v>38254</v>
      </c>
      <c r="D1844" s="4">
        <f>YEAR(Table1[[#This Row],[Date]])</f>
        <v>2004</v>
      </c>
      <c r="E1844" s="2" t="s">
        <v>2088</v>
      </c>
      <c r="F1844" s="4">
        <v>36</v>
      </c>
      <c r="G1844" s="5">
        <v>110.51900033744339</v>
      </c>
      <c r="H1844" s="6" t="s">
        <v>2082</v>
      </c>
    </row>
    <row r="1845" spans="1:8">
      <c r="A1845" s="1">
        <v>1853</v>
      </c>
      <c r="B1845" s="2" t="s">
        <v>2100</v>
      </c>
      <c r="C1845" s="3">
        <v>38100</v>
      </c>
      <c r="D1845" s="4">
        <f>YEAR(Table1[[#This Row],[Date]])</f>
        <v>2004</v>
      </c>
      <c r="E1845" s="2" t="s">
        <v>2081</v>
      </c>
      <c r="F1845" s="4">
        <v>87</v>
      </c>
      <c r="G1845" s="5">
        <v>262.81312845180031</v>
      </c>
      <c r="H1845" s="6" t="s">
        <v>2096</v>
      </c>
    </row>
    <row r="1846" spans="1:8">
      <c r="A1846" s="1">
        <v>1854</v>
      </c>
      <c r="B1846" s="2" t="s">
        <v>2095</v>
      </c>
      <c r="C1846" s="3">
        <v>38749</v>
      </c>
      <c r="D1846" s="4">
        <f>YEAR(Table1[[#This Row],[Date]])</f>
        <v>2006</v>
      </c>
      <c r="E1846" s="2" t="s">
        <v>2097</v>
      </c>
      <c r="F1846" s="4">
        <v>16</v>
      </c>
      <c r="G1846" s="5">
        <v>50.279574486289519</v>
      </c>
      <c r="H1846" s="6" t="s">
        <v>2086</v>
      </c>
    </row>
    <row r="1847" spans="1:8">
      <c r="A1847" s="1">
        <v>1855</v>
      </c>
      <c r="B1847" s="2" t="s">
        <v>2098</v>
      </c>
      <c r="C1847" s="3">
        <v>38551</v>
      </c>
      <c r="D1847" s="4">
        <f>YEAR(Table1[[#This Row],[Date]])</f>
        <v>2005</v>
      </c>
      <c r="E1847" s="2" t="s">
        <v>2081</v>
      </c>
      <c r="F1847" s="4">
        <v>50</v>
      </c>
      <c r="G1847" s="5">
        <v>152.12593577749263</v>
      </c>
      <c r="H1847" s="6" t="s">
        <v>2096</v>
      </c>
    </row>
    <row r="1848" spans="1:8">
      <c r="A1848" s="1">
        <v>1856</v>
      </c>
      <c r="B1848" s="2" t="s">
        <v>2084</v>
      </c>
      <c r="C1848" s="3">
        <v>38749</v>
      </c>
      <c r="D1848" s="4">
        <f>YEAR(Table1[[#This Row],[Date]])</f>
        <v>2006</v>
      </c>
      <c r="E1848" s="2" t="s">
        <v>2097</v>
      </c>
      <c r="F1848" s="4">
        <v>53</v>
      </c>
      <c r="G1848" s="5">
        <v>160.62764519173885</v>
      </c>
      <c r="H1848" s="6" t="s">
        <v>2082</v>
      </c>
    </row>
    <row r="1849" spans="1:8">
      <c r="A1849" s="1">
        <v>1857</v>
      </c>
      <c r="B1849" s="2" t="s">
        <v>2100</v>
      </c>
      <c r="C1849" s="3">
        <v>38133</v>
      </c>
      <c r="D1849" s="4">
        <f>YEAR(Table1[[#This Row],[Date]])</f>
        <v>2004</v>
      </c>
      <c r="E1849" s="2" t="s">
        <v>2085</v>
      </c>
      <c r="F1849" s="4">
        <v>61</v>
      </c>
      <c r="G1849" s="5">
        <v>184.76093809619837</v>
      </c>
      <c r="H1849" s="6" t="s">
        <v>2086</v>
      </c>
    </row>
    <row r="1850" spans="1:8">
      <c r="A1850" s="1">
        <v>1858</v>
      </c>
      <c r="B1850" s="2" t="s">
        <v>2087</v>
      </c>
      <c r="C1850" s="3">
        <v>38540</v>
      </c>
      <c r="D1850" s="4">
        <f>YEAR(Table1[[#This Row],[Date]])</f>
        <v>2005</v>
      </c>
      <c r="E1850" s="2" t="s">
        <v>2085</v>
      </c>
      <c r="F1850" s="4">
        <v>95</v>
      </c>
      <c r="G1850" s="5">
        <v>286.82526300294711</v>
      </c>
      <c r="H1850" s="6" t="s">
        <v>2082</v>
      </c>
    </row>
    <row r="1851" spans="1:8">
      <c r="A1851" s="1">
        <v>1859</v>
      </c>
      <c r="B1851" s="2" t="s">
        <v>2093</v>
      </c>
      <c r="C1851" s="3">
        <v>38221</v>
      </c>
      <c r="D1851" s="4">
        <f>YEAR(Table1[[#This Row],[Date]])</f>
        <v>2004</v>
      </c>
      <c r="E1851" s="2" t="s">
        <v>2088</v>
      </c>
      <c r="F1851" s="4">
        <v>6</v>
      </c>
      <c r="G1851" s="5">
        <v>16.589394597675682</v>
      </c>
      <c r="H1851" s="6" t="s">
        <v>2082</v>
      </c>
    </row>
    <row r="1852" spans="1:8">
      <c r="A1852" s="1">
        <v>1860</v>
      </c>
      <c r="B1852" s="2" t="s">
        <v>2098</v>
      </c>
      <c r="C1852" s="3">
        <v>38210</v>
      </c>
      <c r="D1852" s="4">
        <f>YEAR(Table1[[#This Row],[Date]])</f>
        <v>2004</v>
      </c>
      <c r="E1852" s="2" t="s">
        <v>2081</v>
      </c>
      <c r="F1852" s="4">
        <v>9</v>
      </c>
      <c r="G1852" s="5">
        <v>24.760053633714985</v>
      </c>
      <c r="H1852" s="6" t="s">
        <v>2096</v>
      </c>
    </row>
    <row r="1853" spans="1:8">
      <c r="A1853" s="1">
        <v>1861</v>
      </c>
      <c r="B1853" s="2" t="s">
        <v>2095</v>
      </c>
      <c r="C1853" s="3">
        <v>38793</v>
      </c>
      <c r="D1853" s="4">
        <f>YEAR(Table1[[#This Row],[Date]])</f>
        <v>2006</v>
      </c>
      <c r="E1853" s="2" t="s">
        <v>2094</v>
      </c>
      <c r="F1853" s="4">
        <v>74</v>
      </c>
      <c r="G1853" s="5">
        <v>223.82751177660725</v>
      </c>
      <c r="H1853" s="6" t="s">
        <v>2086</v>
      </c>
    </row>
    <row r="1854" spans="1:8">
      <c r="A1854" s="1">
        <v>1862</v>
      </c>
      <c r="B1854" s="2" t="s">
        <v>2084</v>
      </c>
      <c r="C1854" s="3">
        <v>38694</v>
      </c>
      <c r="D1854" s="4">
        <f>YEAR(Table1[[#This Row],[Date]])</f>
        <v>2005</v>
      </c>
      <c r="E1854" s="2" t="s">
        <v>2081</v>
      </c>
      <c r="F1854" s="4">
        <v>18</v>
      </c>
      <c r="G1854" s="5">
        <v>55.524146786750528</v>
      </c>
      <c r="H1854" s="6" t="s">
        <v>2082</v>
      </c>
    </row>
    <row r="1855" spans="1:8">
      <c r="A1855" s="1">
        <v>1863</v>
      </c>
      <c r="B1855" s="2" t="s">
        <v>2091</v>
      </c>
      <c r="C1855" s="3">
        <v>38782</v>
      </c>
      <c r="D1855" s="4">
        <f>YEAR(Table1[[#This Row],[Date]])</f>
        <v>2006</v>
      </c>
      <c r="E1855" s="2" t="s">
        <v>2094</v>
      </c>
      <c r="F1855" s="4">
        <v>73</v>
      </c>
      <c r="G1855" s="5">
        <v>220.67063477706461</v>
      </c>
      <c r="H1855" s="6" t="s">
        <v>2096</v>
      </c>
    </row>
    <row r="1856" spans="1:8">
      <c r="A1856" s="1">
        <v>1864</v>
      </c>
      <c r="B1856" s="2" t="s">
        <v>2098</v>
      </c>
      <c r="C1856" s="3">
        <v>38331</v>
      </c>
      <c r="D1856" s="4">
        <f>YEAR(Table1[[#This Row],[Date]])</f>
        <v>2004</v>
      </c>
      <c r="E1856" s="2" t="s">
        <v>2094</v>
      </c>
      <c r="F1856" s="4">
        <v>62</v>
      </c>
      <c r="G1856" s="5">
        <v>188.42678187961798</v>
      </c>
      <c r="H1856" s="6" t="s">
        <v>2090</v>
      </c>
    </row>
    <row r="1857" spans="1:8">
      <c r="A1857" s="1">
        <v>1865</v>
      </c>
      <c r="B1857" s="2" t="s">
        <v>2093</v>
      </c>
      <c r="C1857" s="3">
        <v>38903</v>
      </c>
      <c r="D1857" s="4">
        <f>YEAR(Table1[[#This Row],[Date]])</f>
        <v>2006</v>
      </c>
      <c r="E1857" s="2" t="s">
        <v>2085</v>
      </c>
      <c r="F1857" s="4">
        <v>2</v>
      </c>
      <c r="G1857" s="5">
        <v>3.5924377444896751</v>
      </c>
      <c r="H1857" s="6" t="s">
        <v>2082</v>
      </c>
    </row>
    <row r="1858" spans="1:8">
      <c r="A1858" s="1">
        <v>1866</v>
      </c>
      <c r="B1858" s="2" t="s">
        <v>2095</v>
      </c>
      <c r="C1858" s="3">
        <v>38991</v>
      </c>
      <c r="D1858" s="4">
        <f>YEAR(Table1[[#This Row],[Date]])</f>
        <v>2006</v>
      </c>
      <c r="E1858" s="2" t="s">
        <v>2085</v>
      </c>
      <c r="F1858" s="4">
        <v>7</v>
      </c>
      <c r="G1858" s="5">
        <v>18.939063444337712</v>
      </c>
      <c r="H1858" s="6" t="s">
        <v>2082</v>
      </c>
    </row>
    <row r="1859" spans="1:8">
      <c r="A1859" s="1">
        <v>1867</v>
      </c>
      <c r="B1859" s="2" t="s">
        <v>2095</v>
      </c>
      <c r="C1859" s="3">
        <v>38947</v>
      </c>
      <c r="D1859" s="4">
        <f>YEAR(Table1[[#This Row],[Date]])</f>
        <v>2006</v>
      </c>
      <c r="E1859" s="2" t="s">
        <v>2097</v>
      </c>
      <c r="F1859" s="4">
        <v>73</v>
      </c>
      <c r="G1859" s="5">
        <v>220.77421208293487</v>
      </c>
      <c r="H1859" s="6" t="s">
        <v>2096</v>
      </c>
    </row>
    <row r="1860" spans="1:8">
      <c r="A1860" s="1">
        <v>1868</v>
      </c>
      <c r="B1860" s="2" t="s">
        <v>2084</v>
      </c>
      <c r="C1860" s="3">
        <v>38452</v>
      </c>
      <c r="D1860" s="4">
        <f>YEAR(Table1[[#This Row],[Date]])</f>
        <v>2005</v>
      </c>
      <c r="E1860" s="2" t="s">
        <v>2094</v>
      </c>
      <c r="F1860" s="4">
        <v>24</v>
      </c>
      <c r="G1860" s="5">
        <v>73.585989082063819</v>
      </c>
      <c r="H1860" s="6" t="s">
        <v>2082</v>
      </c>
    </row>
    <row r="1861" spans="1:8">
      <c r="A1861" s="1">
        <v>1869</v>
      </c>
      <c r="B1861" s="2" t="s">
        <v>2080</v>
      </c>
      <c r="C1861" s="3">
        <v>38628</v>
      </c>
      <c r="D1861" s="4">
        <f>YEAR(Table1[[#This Row],[Date]])</f>
        <v>2005</v>
      </c>
      <c r="E1861" s="2" t="s">
        <v>2088</v>
      </c>
      <c r="F1861" s="4">
        <v>18</v>
      </c>
      <c r="G1861" s="5">
        <v>56.084454934208836</v>
      </c>
      <c r="H1861" s="6" t="s">
        <v>2096</v>
      </c>
    </row>
    <row r="1862" spans="1:8">
      <c r="A1862" s="1">
        <v>1870</v>
      </c>
      <c r="B1862" s="2" t="s">
        <v>2084</v>
      </c>
      <c r="C1862" s="3">
        <v>39046</v>
      </c>
      <c r="D1862" s="4">
        <f>YEAR(Table1[[#This Row],[Date]])</f>
        <v>2006</v>
      </c>
      <c r="E1862" s="2" t="s">
        <v>2097</v>
      </c>
      <c r="F1862" s="4">
        <v>49</v>
      </c>
      <c r="G1862" s="5">
        <v>149.40493820151829</v>
      </c>
      <c r="H1862" s="6" t="s">
        <v>2090</v>
      </c>
    </row>
    <row r="1863" spans="1:8">
      <c r="A1863" s="1">
        <v>1871</v>
      </c>
      <c r="B1863" s="2" t="s">
        <v>2100</v>
      </c>
      <c r="C1863" s="3">
        <v>38353</v>
      </c>
      <c r="D1863" s="4">
        <f>YEAR(Table1[[#This Row],[Date]])</f>
        <v>2005</v>
      </c>
      <c r="E1863" s="2" t="s">
        <v>2097</v>
      </c>
      <c r="F1863" s="4">
        <v>21</v>
      </c>
      <c r="G1863" s="5">
        <v>64.683872648507389</v>
      </c>
      <c r="H1863" s="6" t="s">
        <v>2086</v>
      </c>
    </row>
    <row r="1864" spans="1:8">
      <c r="A1864" s="1">
        <v>1872</v>
      </c>
      <c r="B1864" s="2" t="s">
        <v>2093</v>
      </c>
      <c r="C1864" s="3">
        <v>38122</v>
      </c>
      <c r="D1864" s="4">
        <f>YEAR(Table1[[#This Row],[Date]])</f>
        <v>2004</v>
      </c>
      <c r="E1864" s="2" t="s">
        <v>2085</v>
      </c>
      <c r="F1864" s="4">
        <v>2</v>
      </c>
      <c r="G1864" s="5">
        <v>7.9938401735771141</v>
      </c>
      <c r="H1864" s="6" t="s">
        <v>2082</v>
      </c>
    </row>
    <row r="1865" spans="1:8">
      <c r="A1865" s="1">
        <v>1873</v>
      </c>
      <c r="B1865" s="2" t="s">
        <v>2100</v>
      </c>
      <c r="C1865" s="3">
        <v>38309</v>
      </c>
      <c r="D1865" s="4">
        <f>YEAR(Table1[[#This Row],[Date]])</f>
        <v>2004</v>
      </c>
      <c r="E1865" s="2" t="s">
        <v>2085</v>
      </c>
      <c r="F1865" s="4">
        <v>83</v>
      </c>
      <c r="G1865" s="5">
        <v>250.87539350545751</v>
      </c>
      <c r="H1865" s="6" t="s">
        <v>2082</v>
      </c>
    </row>
    <row r="1866" spans="1:8">
      <c r="A1866" s="1">
        <v>1874</v>
      </c>
      <c r="B1866" s="2" t="s">
        <v>2093</v>
      </c>
      <c r="C1866" s="3">
        <v>38353</v>
      </c>
      <c r="D1866" s="4">
        <f>YEAR(Table1[[#This Row],[Date]])</f>
        <v>2005</v>
      </c>
      <c r="E1866" s="2" t="s">
        <v>2081</v>
      </c>
      <c r="F1866" s="4">
        <v>63</v>
      </c>
      <c r="G1866" s="5">
        <v>191.14760672109483</v>
      </c>
      <c r="H1866" s="6" t="s">
        <v>2082</v>
      </c>
    </row>
    <row r="1867" spans="1:8">
      <c r="A1867" s="1">
        <v>1875</v>
      </c>
      <c r="B1867" s="2" t="s">
        <v>2095</v>
      </c>
      <c r="C1867" s="3">
        <v>38045</v>
      </c>
      <c r="D1867" s="4">
        <f>YEAR(Table1[[#This Row],[Date]])</f>
        <v>2004</v>
      </c>
      <c r="E1867" s="2" t="s">
        <v>2088</v>
      </c>
      <c r="F1867" s="4">
        <v>54</v>
      </c>
      <c r="G1867" s="5">
        <v>163.86628539020685</v>
      </c>
      <c r="H1867" s="6" t="s">
        <v>2086</v>
      </c>
    </row>
    <row r="1868" spans="1:8">
      <c r="A1868" s="1">
        <v>1876</v>
      </c>
      <c r="B1868" s="2" t="s">
        <v>2093</v>
      </c>
      <c r="C1868" s="3">
        <v>38243</v>
      </c>
      <c r="D1868" s="4">
        <f>YEAR(Table1[[#This Row],[Date]])</f>
        <v>2004</v>
      </c>
      <c r="E1868" s="2" t="s">
        <v>2081</v>
      </c>
      <c r="F1868" s="4">
        <v>19</v>
      </c>
      <c r="G1868" s="5">
        <v>59.715260847522721</v>
      </c>
      <c r="H1868" s="6" t="s">
        <v>2090</v>
      </c>
    </row>
    <row r="1869" spans="1:8">
      <c r="A1869" s="1">
        <v>1877</v>
      </c>
      <c r="B1869" s="2" t="s">
        <v>2100</v>
      </c>
      <c r="C1869" s="3">
        <v>38243</v>
      </c>
      <c r="D1869" s="4">
        <f>YEAR(Table1[[#This Row],[Date]])</f>
        <v>2004</v>
      </c>
      <c r="E1869" s="2" t="s">
        <v>2094</v>
      </c>
      <c r="F1869" s="4">
        <v>66</v>
      </c>
      <c r="G1869" s="5">
        <v>199.3615971018873</v>
      </c>
      <c r="H1869" s="6" t="s">
        <v>2096</v>
      </c>
    </row>
    <row r="1870" spans="1:8">
      <c r="A1870" s="1">
        <v>1878</v>
      </c>
      <c r="B1870" s="2" t="s">
        <v>2080</v>
      </c>
      <c r="C1870" s="3">
        <v>38133</v>
      </c>
      <c r="D1870" s="4">
        <f>YEAR(Table1[[#This Row],[Date]])</f>
        <v>2004</v>
      </c>
      <c r="E1870" s="2" t="s">
        <v>2081</v>
      </c>
      <c r="F1870" s="4">
        <v>60</v>
      </c>
      <c r="G1870" s="5">
        <v>182.28071376505659</v>
      </c>
      <c r="H1870" s="6" t="s">
        <v>2082</v>
      </c>
    </row>
    <row r="1871" spans="1:8">
      <c r="A1871" s="1">
        <v>1879</v>
      </c>
      <c r="B1871" s="2" t="s">
        <v>2087</v>
      </c>
      <c r="C1871" s="3">
        <v>38947</v>
      </c>
      <c r="D1871" s="4">
        <f>YEAR(Table1[[#This Row],[Date]])</f>
        <v>2006</v>
      </c>
      <c r="E1871" s="2" t="s">
        <v>2094</v>
      </c>
      <c r="F1871" s="4">
        <v>90</v>
      </c>
      <c r="G1871" s="5">
        <v>271.85208039455387</v>
      </c>
      <c r="H1871" s="6" t="s">
        <v>2086</v>
      </c>
    </row>
    <row r="1872" spans="1:8">
      <c r="A1872" s="1">
        <v>1880</v>
      </c>
      <c r="B1872" s="2" t="s">
        <v>2098</v>
      </c>
      <c r="C1872" s="3">
        <v>39068</v>
      </c>
      <c r="D1872" s="4">
        <f>YEAR(Table1[[#This Row],[Date]])</f>
        <v>2006</v>
      </c>
      <c r="E1872" s="2" t="s">
        <v>2081</v>
      </c>
      <c r="F1872" s="4">
        <v>59</v>
      </c>
      <c r="G1872" s="5">
        <v>178.65030230399057</v>
      </c>
      <c r="H1872" s="6" t="s">
        <v>2082</v>
      </c>
    </row>
    <row r="1873" spans="1:8">
      <c r="A1873" s="1">
        <v>1881</v>
      </c>
      <c r="B1873" s="2" t="s">
        <v>2098</v>
      </c>
      <c r="C1873" s="3">
        <v>38628</v>
      </c>
      <c r="D1873" s="4">
        <f>YEAR(Table1[[#This Row],[Date]])</f>
        <v>2005</v>
      </c>
      <c r="E1873" s="2" t="s">
        <v>2085</v>
      </c>
      <c r="F1873" s="4">
        <v>0</v>
      </c>
      <c r="G1873" s="5">
        <v>2.6560689007562872</v>
      </c>
      <c r="H1873" s="6" t="s">
        <v>2096</v>
      </c>
    </row>
    <row r="1874" spans="1:8">
      <c r="A1874" s="1">
        <v>1882</v>
      </c>
      <c r="B1874" s="2" t="s">
        <v>2099</v>
      </c>
      <c r="C1874" s="3">
        <v>38067</v>
      </c>
      <c r="D1874" s="4">
        <f>YEAR(Table1[[#This Row],[Date]])</f>
        <v>2004</v>
      </c>
      <c r="E1874" s="2" t="s">
        <v>2085</v>
      </c>
      <c r="F1874" s="4">
        <v>72</v>
      </c>
      <c r="G1874" s="5">
        <v>217.90015045055327</v>
      </c>
      <c r="H1874" s="6" t="s">
        <v>2086</v>
      </c>
    </row>
    <row r="1875" spans="1:8">
      <c r="A1875" s="1">
        <v>1883</v>
      </c>
      <c r="B1875" s="2" t="s">
        <v>2080</v>
      </c>
      <c r="C1875" s="3">
        <v>38188</v>
      </c>
      <c r="D1875" s="4">
        <f>YEAR(Table1[[#This Row],[Date]])</f>
        <v>2004</v>
      </c>
      <c r="E1875" s="2" t="s">
        <v>2081</v>
      </c>
      <c r="F1875" s="4">
        <v>6</v>
      </c>
      <c r="G1875" s="5">
        <v>15.735959690520316</v>
      </c>
      <c r="H1875" s="6" t="s">
        <v>2096</v>
      </c>
    </row>
    <row r="1876" spans="1:8">
      <c r="A1876" s="1">
        <v>1884</v>
      </c>
      <c r="B1876" s="2" t="s">
        <v>2084</v>
      </c>
      <c r="C1876" s="3">
        <v>38859</v>
      </c>
      <c r="D1876" s="4">
        <f>YEAR(Table1[[#This Row],[Date]])</f>
        <v>2006</v>
      </c>
      <c r="E1876" s="2" t="s">
        <v>2081</v>
      </c>
      <c r="F1876" s="4">
        <v>89</v>
      </c>
      <c r="G1876" s="5">
        <v>269.39552816852074</v>
      </c>
      <c r="H1876" s="6" t="s">
        <v>2090</v>
      </c>
    </row>
    <row r="1877" spans="1:8">
      <c r="A1877" s="1">
        <v>1885</v>
      </c>
      <c r="B1877" s="2" t="s">
        <v>2087</v>
      </c>
      <c r="C1877" s="3">
        <v>38848</v>
      </c>
      <c r="D1877" s="4">
        <f>YEAR(Table1[[#This Row],[Date]])</f>
        <v>2006</v>
      </c>
      <c r="E1877" s="2" t="s">
        <v>2081</v>
      </c>
      <c r="F1877" s="4">
        <v>12</v>
      </c>
      <c r="G1877" s="5">
        <v>37.837711255972984</v>
      </c>
      <c r="H1877" s="6" t="s">
        <v>2090</v>
      </c>
    </row>
    <row r="1878" spans="1:8">
      <c r="A1878" s="1">
        <v>1886</v>
      </c>
      <c r="B1878" s="2" t="s">
        <v>2095</v>
      </c>
      <c r="C1878" s="3">
        <v>38573</v>
      </c>
      <c r="D1878" s="4">
        <f>YEAR(Table1[[#This Row],[Date]])</f>
        <v>2005</v>
      </c>
      <c r="E1878" s="2" t="s">
        <v>2097</v>
      </c>
      <c r="F1878" s="4">
        <v>89</v>
      </c>
      <c r="G1878" s="5">
        <v>269.14754282019447</v>
      </c>
      <c r="H1878" s="6" t="s">
        <v>2082</v>
      </c>
    </row>
    <row r="1879" spans="1:8">
      <c r="A1879" s="1">
        <v>1887</v>
      </c>
      <c r="B1879" s="2" t="s">
        <v>2091</v>
      </c>
      <c r="C1879" s="3">
        <v>38463</v>
      </c>
      <c r="D1879" s="4">
        <f>YEAR(Table1[[#This Row],[Date]])</f>
        <v>2005</v>
      </c>
      <c r="E1879" s="2" t="s">
        <v>2081</v>
      </c>
      <c r="F1879" s="4">
        <v>61</v>
      </c>
      <c r="G1879" s="5">
        <v>185.3147883164014</v>
      </c>
      <c r="H1879" s="6" t="s">
        <v>2086</v>
      </c>
    </row>
    <row r="1880" spans="1:8">
      <c r="A1880" s="1">
        <v>1888</v>
      </c>
      <c r="B1880" s="2" t="s">
        <v>2093</v>
      </c>
      <c r="C1880" s="3">
        <v>38551</v>
      </c>
      <c r="D1880" s="4">
        <f>YEAR(Table1[[#This Row],[Date]])</f>
        <v>2005</v>
      </c>
      <c r="E1880" s="2" t="s">
        <v>2094</v>
      </c>
      <c r="F1880" s="4">
        <v>24</v>
      </c>
      <c r="G1880" s="5">
        <v>73.811151860326262</v>
      </c>
      <c r="H1880" s="6" t="s">
        <v>2090</v>
      </c>
    </row>
    <row r="1881" spans="1:8">
      <c r="A1881" s="1">
        <v>1889</v>
      </c>
      <c r="B1881" s="2" t="s">
        <v>2098</v>
      </c>
      <c r="C1881" s="3">
        <v>39046</v>
      </c>
      <c r="D1881" s="4">
        <f>YEAR(Table1[[#This Row],[Date]])</f>
        <v>2006</v>
      </c>
      <c r="E1881" s="2" t="s">
        <v>2094</v>
      </c>
      <c r="F1881" s="4">
        <v>76</v>
      </c>
      <c r="G1881" s="5">
        <v>229.9178081264337</v>
      </c>
      <c r="H1881" s="6" t="s">
        <v>2090</v>
      </c>
    </row>
    <row r="1882" spans="1:8">
      <c r="A1882" s="1">
        <v>1890</v>
      </c>
      <c r="B1882" s="2" t="s">
        <v>2100</v>
      </c>
      <c r="C1882" s="3">
        <v>38518</v>
      </c>
      <c r="D1882" s="4">
        <f>YEAR(Table1[[#This Row],[Date]])</f>
        <v>2005</v>
      </c>
      <c r="E1882" s="2" t="s">
        <v>2085</v>
      </c>
      <c r="F1882" s="4">
        <v>16</v>
      </c>
      <c r="G1882" s="5">
        <v>49.753987400329763</v>
      </c>
      <c r="H1882" s="6" t="s">
        <v>2096</v>
      </c>
    </row>
    <row r="1883" spans="1:8">
      <c r="A1883" s="1">
        <v>1891</v>
      </c>
      <c r="B1883" s="2" t="s">
        <v>2080</v>
      </c>
      <c r="C1883" s="3">
        <v>38452</v>
      </c>
      <c r="D1883" s="4">
        <f>YEAR(Table1[[#This Row],[Date]])</f>
        <v>2005</v>
      </c>
      <c r="E1883" s="2" t="s">
        <v>2085</v>
      </c>
      <c r="F1883" s="4">
        <v>39</v>
      </c>
      <c r="G1883" s="5">
        <v>119.18883187506967</v>
      </c>
      <c r="H1883" s="6" t="s">
        <v>2096</v>
      </c>
    </row>
    <row r="1884" spans="1:8">
      <c r="A1884" s="1">
        <v>1892</v>
      </c>
      <c r="B1884" s="2" t="s">
        <v>2100</v>
      </c>
      <c r="C1884" s="3">
        <v>38771</v>
      </c>
      <c r="D1884" s="4">
        <f>YEAR(Table1[[#This Row],[Date]])</f>
        <v>2006</v>
      </c>
      <c r="E1884" s="2" t="s">
        <v>2097</v>
      </c>
      <c r="F1884" s="4">
        <v>92</v>
      </c>
      <c r="G1884" s="5">
        <v>278.43491112447333</v>
      </c>
      <c r="H1884" s="6" t="s">
        <v>2090</v>
      </c>
    </row>
    <row r="1885" spans="1:8">
      <c r="A1885" s="1">
        <v>1893</v>
      </c>
      <c r="B1885" s="2" t="s">
        <v>2100</v>
      </c>
      <c r="C1885" s="3">
        <v>38199</v>
      </c>
      <c r="D1885" s="4">
        <f>YEAR(Table1[[#This Row],[Date]])</f>
        <v>2004</v>
      </c>
      <c r="E1885" s="2" t="s">
        <v>2085</v>
      </c>
      <c r="F1885" s="4">
        <v>20</v>
      </c>
      <c r="G1885" s="5">
        <v>61.923857472779041</v>
      </c>
      <c r="H1885" s="6" t="s">
        <v>2086</v>
      </c>
    </row>
    <row r="1886" spans="1:8">
      <c r="A1886" s="1">
        <v>1894</v>
      </c>
      <c r="B1886" s="2" t="s">
        <v>2093</v>
      </c>
      <c r="C1886" s="3">
        <v>38122</v>
      </c>
      <c r="D1886" s="4">
        <f>YEAR(Table1[[#This Row],[Date]])</f>
        <v>2004</v>
      </c>
      <c r="E1886" s="2" t="s">
        <v>2081</v>
      </c>
      <c r="F1886" s="4">
        <v>60</v>
      </c>
      <c r="G1886" s="5">
        <v>181.87034788891373</v>
      </c>
      <c r="H1886" s="6" t="s">
        <v>2096</v>
      </c>
    </row>
    <row r="1887" spans="1:8">
      <c r="A1887" s="1">
        <v>1895</v>
      </c>
      <c r="B1887" s="2" t="s">
        <v>2098</v>
      </c>
      <c r="C1887" s="3">
        <v>38683</v>
      </c>
      <c r="D1887" s="4">
        <f>YEAR(Table1[[#This Row],[Date]])</f>
        <v>2005</v>
      </c>
      <c r="E1887" s="2" t="s">
        <v>2094</v>
      </c>
      <c r="F1887" s="4">
        <v>15</v>
      </c>
      <c r="G1887" s="5">
        <v>47.161022333179389</v>
      </c>
      <c r="H1887" s="6" t="s">
        <v>2096</v>
      </c>
    </row>
    <row r="1888" spans="1:8">
      <c r="A1888" s="1">
        <v>1896</v>
      </c>
      <c r="B1888" s="2" t="s">
        <v>2087</v>
      </c>
      <c r="C1888" s="3">
        <v>38397</v>
      </c>
      <c r="D1888" s="4">
        <f>YEAR(Table1[[#This Row],[Date]])</f>
        <v>2005</v>
      </c>
      <c r="E1888" s="2" t="s">
        <v>2085</v>
      </c>
      <c r="F1888" s="4">
        <v>36</v>
      </c>
      <c r="G1888" s="5">
        <v>109.84259915039922</v>
      </c>
      <c r="H1888" s="6" t="s">
        <v>2096</v>
      </c>
    </row>
    <row r="1889" spans="1:8">
      <c r="A1889" s="1">
        <v>1897</v>
      </c>
      <c r="B1889" s="2" t="s">
        <v>2093</v>
      </c>
      <c r="C1889" s="3">
        <v>38661</v>
      </c>
      <c r="D1889" s="4">
        <f>YEAR(Table1[[#This Row],[Date]])</f>
        <v>2005</v>
      </c>
      <c r="E1889" s="2" t="s">
        <v>2081</v>
      </c>
      <c r="F1889" s="4">
        <v>46</v>
      </c>
      <c r="G1889" s="5">
        <v>140.4088993575123</v>
      </c>
      <c r="H1889" s="6" t="s">
        <v>2090</v>
      </c>
    </row>
    <row r="1890" spans="1:8">
      <c r="A1890" s="1">
        <v>1898</v>
      </c>
      <c r="B1890" s="2" t="s">
        <v>2091</v>
      </c>
      <c r="C1890" s="3">
        <v>38001</v>
      </c>
      <c r="D1890" s="4">
        <f>YEAR(Table1[[#This Row],[Date]])</f>
        <v>2004</v>
      </c>
      <c r="E1890" s="2" t="s">
        <v>2088</v>
      </c>
      <c r="F1890" s="4">
        <v>72</v>
      </c>
      <c r="G1890" s="5">
        <v>217.83588624347365</v>
      </c>
      <c r="H1890" s="6" t="s">
        <v>2090</v>
      </c>
    </row>
    <row r="1891" spans="1:8">
      <c r="A1891" s="1">
        <v>1899</v>
      </c>
      <c r="B1891" s="2" t="s">
        <v>2084</v>
      </c>
      <c r="C1891" s="3">
        <v>39024</v>
      </c>
      <c r="D1891" s="4">
        <f>YEAR(Table1[[#This Row],[Date]])</f>
        <v>2006</v>
      </c>
      <c r="E1891" s="2" t="s">
        <v>2094</v>
      </c>
      <c r="F1891" s="4">
        <v>28</v>
      </c>
      <c r="G1891" s="5">
        <v>85.656829526557672</v>
      </c>
      <c r="H1891" s="6" t="s">
        <v>2082</v>
      </c>
    </row>
    <row r="1892" spans="1:8">
      <c r="A1892" s="7">
        <v>1900</v>
      </c>
      <c r="B1892" s="8" t="s">
        <v>2095</v>
      </c>
      <c r="C1892" s="9">
        <v>38881</v>
      </c>
      <c r="D1892" s="10">
        <f>YEAR(Table1[[#This Row],[Date]])</f>
        <v>2006</v>
      </c>
      <c r="E1892" s="8" t="s">
        <v>2094</v>
      </c>
      <c r="F1892" s="10">
        <v>54</v>
      </c>
      <c r="G1892" s="11">
        <v>164.48733423141368</v>
      </c>
      <c r="H1892" s="12" t="s">
        <v>2086</v>
      </c>
    </row>
  </sheetData>
  <conditionalFormatting sqref="F2:F1892">
    <cfRule type="cellIs" dxfId="18" priority="1" stopIfTrue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6BBD8-EEA6-4017-A2AB-A482261C60BC}">
  <dimension ref="A3:K28"/>
  <sheetViews>
    <sheetView workbookViewId="0">
      <selection activeCell="H8" sqref="H8"/>
    </sheetView>
  </sheetViews>
  <sheetFormatPr defaultRowHeight="15"/>
  <cols>
    <col min="1" max="1" width="16" bestFit="1" customWidth="1"/>
    <col min="2" max="4" width="11.85546875" bestFit="1" customWidth="1"/>
    <col min="5" max="5" width="13" bestFit="1" customWidth="1"/>
    <col min="6" max="10" width="11.7109375" bestFit="1" customWidth="1"/>
    <col min="11" max="11" width="14.42578125" customWidth="1"/>
    <col min="12" max="34" width="11.7109375" bestFit="1" customWidth="1"/>
    <col min="35" max="35" width="11.85546875" bestFit="1" customWidth="1"/>
    <col min="36" max="69" width="11.7109375" bestFit="1" customWidth="1"/>
    <col min="70" max="70" width="11.85546875" bestFit="1" customWidth="1"/>
    <col min="71" max="103" width="11.7109375" bestFit="1" customWidth="1"/>
    <col min="104" max="104" width="11.85546875" bestFit="1" customWidth="1"/>
    <col min="105" max="105" width="13" bestFit="1" customWidth="1"/>
  </cols>
  <sheetData>
    <row r="3" spans="1:11">
      <c r="A3" s="79" t="s">
        <v>2101</v>
      </c>
      <c r="B3" t="s">
        <v>2102</v>
      </c>
      <c r="E3" s="81" t="s">
        <v>2103</v>
      </c>
      <c r="F3" s="81" t="s">
        <v>75</v>
      </c>
      <c r="G3" s="82"/>
      <c r="H3" s="82"/>
      <c r="I3" s="82"/>
      <c r="J3" s="82"/>
      <c r="K3" s="82"/>
    </row>
    <row r="4" spans="1:11">
      <c r="A4" t="s">
        <v>2087</v>
      </c>
      <c r="B4" s="78">
        <v>192489</v>
      </c>
      <c r="E4" s="81" t="s">
        <v>2104</v>
      </c>
      <c r="F4" s="82" t="s">
        <v>2094</v>
      </c>
      <c r="G4" s="82" t="s">
        <v>2085</v>
      </c>
      <c r="H4" s="82" t="s">
        <v>2081</v>
      </c>
      <c r="I4" s="82" t="s">
        <v>2088</v>
      </c>
      <c r="J4" s="82" t="s">
        <v>2097</v>
      </c>
      <c r="K4" s="82" t="s">
        <v>2105</v>
      </c>
    </row>
    <row r="5" spans="1:11">
      <c r="A5" t="s">
        <v>2080</v>
      </c>
      <c r="B5" s="78">
        <v>214466</v>
      </c>
      <c r="E5" s="82" t="s">
        <v>2087</v>
      </c>
      <c r="F5" s="82">
        <v>5848.8121690347825</v>
      </c>
      <c r="G5" s="82">
        <v>4310.9476459202906</v>
      </c>
      <c r="H5" s="82">
        <v>6198.1640043167672</v>
      </c>
      <c r="I5" s="82">
        <v>3346.1958418231443</v>
      </c>
      <c r="J5" s="82">
        <v>6673.8393384675201</v>
      </c>
      <c r="K5" s="82">
        <v>26377.958999562507</v>
      </c>
    </row>
    <row r="6" spans="1:11">
      <c r="A6" t="s">
        <v>2100</v>
      </c>
      <c r="B6" s="78">
        <v>228660</v>
      </c>
      <c r="E6" s="82" t="s">
        <v>2080</v>
      </c>
      <c r="F6" s="82">
        <v>6136.3559757457779</v>
      </c>
      <c r="G6" s="82">
        <v>8045.1300421567239</v>
      </c>
      <c r="H6" s="82">
        <v>5815.5436168328415</v>
      </c>
      <c r="I6" s="82">
        <v>4053.651480095506</v>
      </c>
      <c r="J6" s="82">
        <v>4920.2717224500802</v>
      </c>
      <c r="K6" s="82">
        <v>28970.952837280929</v>
      </c>
    </row>
    <row r="7" spans="1:11">
      <c r="A7" t="s">
        <v>2093</v>
      </c>
      <c r="B7" s="78">
        <v>197841</v>
      </c>
      <c r="E7" s="82" t="s">
        <v>2100</v>
      </c>
      <c r="F7" s="82">
        <v>6164.2281859286813</v>
      </c>
      <c r="G7" s="82">
        <v>6477.3834097865511</v>
      </c>
      <c r="H7" s="82">
        <v>5325.5201062508131</v>
      </c>
      <c r="I7" s="82">
        <v>3164.0708342309208</v>
      </c>
      <c r="J7" s="82">
        <v>7184.7522931885323</v>
      </c>
      <c r="K7" s="82">
        <v>28315.954829385497</v>
      </c>
    </row>
    <row r="8" spans="1:11">
      <c r="A8" t="s">
        <v>2095</v>
      </c>
      <c r="B8" s="78">
        <v>204288</v>
      </c>
      <c r="E8" s="82" t="s">
        <v>2093</v>
      </c>
      <c r="F8" s="82">
        <v>3461.0680104095718</v>
      </c>
      <c r="G8" s="82">
        <v>7067.4332852609577</v>
      </c>
      <c r="H8" s="82">
        <v>5764.1657928425411</v>
      </c>
      <c r="I8" s="82">
        <v>2493.8861042271251</v>
      </c>
      <c r="J8" s="82">
        <v>6921.9806382610032</v>
      </c>
      <c r="K8" s="82">
        <v>25708.533831001198</v>
      </c>
    </row>
    <row r="9" spans="1:11">
      <c r="A9" t="s">
        <v>2098</v>
      </c>
      <c r="B9" s="78">
        <v>194101</v>
      </c>
      <c r="E9" s="82" t="s">
        <v>2095</v>
      </c>
      <c r="F9" s="82">
        <v>5530.07779754483</v>
      </c>
      <c r="G9" s="82">
        <v>5495.7489702034954</v>
      </c>
      <c r="H9" s="82">
        <v>5344.7662366149216</v>
      </c>
      <c r="I9" s="82">
        <v>2401.6683433629355</v>
      </c>
      <c r="J9" s="82">
        <v>5533.1177578114603</v>
      </c>
      <c r="K9" s="82">
        <v>24305.379105537642</v>
      </c>
    </row>
    <row r="10" spans="1:11">
      <c r="A10" t="s">
        <v>2084</v>
      </c>
      <c r="B10" s="78">
        <v>188454</v>
      </c>
      <c r="E10" s="82" t="s">
        <v>2098</v>
      </c>
      <c r="F10" s="82">
        <v>7641.8556442698564</v>
      </c>
      <c r="G10" s="82">
        <v>5379.1629097355408</v>
      </c>
      <c r="H10" s="82">
        <v>5583.2853096410954</v>
      </c>
      <c r="I10" s="82">
        <v>2210.3907659898318</v>
      </c>
      <c r="J10" s="82">
        <v>4851.0310031868103</v>
      </c>
      <c r="K10" s="82">
        <v>25665.725632823134</v>
      </c>
    </row>
    <row r="11" spans="1:11">
      <c r="A11" t="s">
        <v>2099</v>
      </c>
      <c r="B11" s="78">
        <v>176069</v>
      </c>
      <c r="E11" s="82" t="s">
        <v>2084</v>
      </c>
      <c r="F11" s="82">
        <v>6964.6210744672253</v>
      </c>
      <c r="G11" s="82">
        <v>7109.2687184876913</v>
      </c>
      <c r="H11" s="82">
        <v>5607.0275370840827</v>
      </c>
      <c r="I11" s="82">
        <v>3177.8713252359439</v>
      </c>
      <c r="J11" s="82">
        <v>5867.1435946838983</v>
      </c>
      <c r="K11" s="82">
        <v>28725.932249958842</v>
      </c>
    </row>
    <row r="12" spans="1:11">
      <c r="A12" t="s">
        <v>2091</v>
      </c>
      <c r="B12" s="78">
        <v>209297</v>
      </c>
      <c r="E12" s="82" t="s">
        <v>2099</v>
      </c>
      <c r="F12" s="82">
        <v>7200.6050057935026</v>
      </c>
      <c r="G12" s="82">
        <v>5765.2429337504909</v>
      </c>
      <c r="H12" s="82">
        <v>5532.7669104981996</v>
      </c>
      <c r="I12" s="82">
        <v>4017.2677299041848</v>
      </c>
      <c r="J12" s="82">
        <v>6914.2378256375368</v>
      </c>
      <c r="K12" s="82">
        <v>29430.120405583915</v>
      </c>
    </row>
    <row r="13" spans="1:11">
      <c r="A13" t="s">
        <v>2105</v>
      </c>
      <c r="B13" s="78">
        <v>1805665</v>
      </c>
      <c r="E13" s="82" t="s">
        <v>2091</v>
      </c>
      <c r="F13" s="82">
        <v>8283.9445712079123</v>
      </c>
      <c r="G13" s="82">
        <v>6720.1964097190539</v>
      </c>
      <c r="H13" s="82">
        <v>5722.7208718312322</v>
      </c>
      <c r="I13" s="82">
        <v>2512.2884439763925</v>
      </c>
      <c r="J13" s="82">
        <v>3975.3196981656261</v>
      </c>
      <c r="K13" s="82">
        <v>27214.469994900217</v>
      </c>
    </row>
    <row r="14" spans="1:11">
      <c r="E14" s="82" t="s">
        <v>2105</v>
      </c>
      <c r="F14" s="82">
        <v>57231.568434402136</v>
      </c>
      <c r="G14" s="82">
        <v>56370.514325020791</v>
      </c>
      <c r="H14" s="82">
        <v>50893.960385912498</v>
      </c>
      <c r="I14" s="82">
        <v>27377.290868845987</v>
      </c>
      <c r="J14" s="82">
        <v>52841.693871852476</v>
      </c>
      <c r="K14" s="82">
        <v>244715.02788603387</v>
      </c>
    </row>
    <row r="17" spans="1:5">
      <c r="A17" s="79" t="s">
        <v>2106</v>
      </c>
      <c r="B17" s="79" t="s">
        <v>2076</v>
      </c>
    </row>
    <row r="18" spans="1:5">
      <c r="A18" s="79" t="s">
        <v>2101</v>
      </c>
      <c r="B18" s="83">
        <v>2004</v>
      </c>
      <c r="C18" s="83">
        <v>2005</v>
      </c>
      <c r="D18" s="83">
        <v>2006</v>
      </c>
      <c r="E18" s="83" t="s">
        <v>2105</v>
      </c>
    </row>
    <row r="19" spans="1:5">
      <c r="A19" t="s">
        <v>2087</v>
      </c>
      <c r="B19" s="80">
        <v>9663.522755703083</v>
      </c>
      <c r="C19" s="80">
        <v>9680.6110448823147</v>
      </c>
      <c r="D19" s="80">
        <v>7033.8251989771052</v>
      </c>
      <c r="E19" s="80">
        <v>26377.958999562503</v>
      </c>
    </row>
    <row r="20" spans="1:5">
      <c r="A20" t="s">
        <v>2080</v>
      </c>
      <c r="B20" s="80">
        <v>9573.7759601129601</v>
      </c>
      <c r="C20" s="80">
        <v>9828.6439949198266</v>
      </c>
      <c r="D20" s="80">
        <v>9568.5328822481351</v>
      </c>
      <c r="E20" s="80">
        <v>28970.952837280922</v>
      </c>
    </row>
    <row r="21" spans="1:5">
      <c r="A21" t="s">
        <v>2100</v>
      </c>
      <c r="B21" s="80">
        <v>9269.9016842068813</v>
      </c>
      <c r="C21" s="80">
        <v>9215.9266983086582</v>
      </c>
      <c r="D21" s="80">
        <v>9830.1264468699665</v>
      </c>
      <c r="E21" s="80">
        <v>28315.954829385504</v>
      </c>
    </row>
    <row r="22" spans="1:5">
      <c r="A22" t="s">
        <v>2093</v>
      </c>
      <c r="B22" s="80">
        <v>9808.9051082604456</v>
      </c>
      <c r="C22" s="80">
        <v>8227.9197347470035</v>
      </c>
      <c r="D22" s="80">
        <v>7671.7089879937494</v>
      </c>
      <c r="E22" s="80">
        <v>25708.533831001198</v>
      </c>
    </row>
    <row r="23" spans="1:5">
      <c r="A23" t="s">
        <v>2095</v>
      </c>
      <c r="B23" s="80">
        <v>9299.6929276810606</v>
      </c>
      <c r="C23" s="80">
        <v>8096.6178972949647</v>
      </c>
      <c r="D23" s="80">
        <v>6909.0682805616152</v>
      </c>
      <c r="E23" s="80">
        <v>24305.379105537642</v>
      </c>
    </row>
    <row r="24" spans="1:5">
      <c r="A24" t="s">
        <v>2098</v>
      </c>
      <c r="B24" s="80">
        <v>8006.0933229457241</v>
      </c>
      <c r="C24" s="80">
        <v>9535.900201553246</v>
      </c>
      <c r="D24" s="80">
        <v>8123.7321083241623</v>
      </c>
      <c r="E24" s="80">
        <v>25665.725632823131</v>
      </c>
    </row>
    <row r="25" spans="1:5">
      <c r="A25" t="s">
        <v>2084</v>
      </c>
      <c r="B25" s="80">
        <v>10676.87903451167</v>
      </c>
      <c r="C25" s="80">
        <v>9316.0199013891379</v>
      </c>
      <c r="D25" s="80">
        <v>8733.0333140580296</v>
      </c>
      <c r="E25" s="80">
        <v>28725.932249958838</v>
      </c>
    </row>
    <row r="26" spans="1:5">
      <c r="A26" t="s">
        <v>2099</v>
      </c>
      <c r="B26" s="80">
        <v>9160.7918688157661</v>
      </c>
      <c r="C26" s="80">
        <v>9091.253473595465</v>
      </c>
      <c r="D26" s="80">
        <v>11178.075063172686</v>
      </c>
      <c r="E26" s="80">
        <v>29430.120405583919</v>
      </c>
    </row>
    <row r="27" spans="1:5">
      <c r="A27" t="s">
        <v>2091</v>
      </c>
      <c r="B27" s="80">
        <v>9306.9429372320265</v>
      </c>
      <c r="C27" s="80">
        <v>8743.110696477097</v>
      </c>
      <c r="D27" s="80">
        <v>9164.4163611910953</v>
      </c>
      <c r="E27" s="80">
        <v>27214.469994900221</v>
      </c>
    </row>
    <row r="28" spans="1:5">
      <c r="A28" t="s">
        <v>2105</v>
      </c>
      <c r="B28" s="80">
        <v>84766.505599469616</v>
      </c>
      <c r="C28" s="80">
        <v>81736.003643167714</v>
      </c>
      <c r="D28" s="80">
        <v>78212.518643396543</v>
      </c>
      <c r="E28" s="80">
        <v>244715.02788603387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001"/>
  <sheetViews>
    <sheetView topLeftCell="G17" workbookViewId="0">
      <selection activeCell="M25" sqref="M25"/>
    </sheetView>
  </sheetViews>
  <sheetFormatPr defaultRowHeight="15" customHeight="1"/>
  <cols>
    <col min="1" max="2" width="12.140625" customWidth="1"/>
    <col min="4" max="4" width="13.5703125" customWidth="1"/>
    <col min="5" max="5" width="19.85546875" bestFit="1" customWidth="1"/>
    <col min="6" max="6" width="13" customWidth="1"/>
    <col min="7" max="7" width="14" customWidth="1"/>
    <col min="11" max="11" width="12.28515625" customWidth="1"/>
    <col min="12" max="12" width="20.140625" customWidth="1"/>
    <col min="13" max="13" width="16.140625" customWidth="1"/>
    <col min="14" max="14" width="14.28515625" customWidth="1"/>
    <col min="16" max="16" width="13.140625" bestFit="1" customWidth="1"/>
    <col min="17" max="17" width="16.28515625" bestFit="1" customWidth="1"/>
    <col min="18" max="18" width="6.140625" customWidth="1"/>
    <col min="19" max="19" width="6.85546875" customWidth="1"/>
    <col min="20" max="20" width="7.140625" customWidth="1"/>
    <col min="21" max="21" width="11.28515625" bestFit="1" customWidth="1"/>
  </cols>
  <sheetData>
    <row r="1" spans="1:14">
      <c r="A1" s="42" t="s">
        <v>70</v>
      </c>
      <c r="B1" s="42" t="s">
        <v>2076</v>
      </c>
      <c r="C1" s="64" t="s">
        <v>72</v>
      </c>
      <c r="D1" s="64" t="s">
        <v>2107</v>
      </c>
      <c r="E1" s="64" t="s">
        <v>2108</v>
      </c>
      <c r="F1" s="64" t="s">
        <v>2109</v>
      </c>
      <c r="G1" s="64" t="s">
        <v>2110</v>
      </c>
      <c r="H1" s="64" t="s">
        <v>77</v>
      </c>
      <c r="I1" s="64" t="s">
        <v>2111</v>
      </c>
      <c r="K1" s="49" t="s">
        <v>0</v>
      </c>
      <c r="L1" s="48" t="s">
        <v>2112</v>
      </c>
    </row>
    <row r="2" spans="1:14">
      <c r="A2" s="13">
        <v>44656</v>
      </c>
      <c r="B2" s="91">
        <f>YEAR(A2)</f>
        <v>2022</v>
      </c>
      <c r="C2" s="15" t="s">
        <v>2113</v>
      </c>
      <c r="D2" s="15" t="s">
        <v>2114</v>
      </c>
      <c r="E2" s="15" t="s">
        <v>2115</v>
      </c>
      <c r="F2" s="15" t="s">
        <v>2116</v>
      </c>
      <c r="G2" s="15" t="s">
        <v>2117</v>
      </c>
      <c r="H2" s="15">
        <v>9225</v>
      </c>
      <c r="I2" s="15">
        <v>1505.48</v>
      </c>
    </row>
    <row r="3" spans="1:14">
      <c r="A3" s="13">
        <v>45344</v>
      </c>
      <c r="B3" s="91">
        <f t="shared" ref="B3:B66" si="0">YEAR(A3)</f>
        <v>2024</v>
      </c>
      <c r="C3" s="15" t="s">
        <v>104</v>
      </c>
      <c r="D3" s="15" t="s">
        <v>2118</v>
      </c>
      <c r="E3" s="15" t="s">
        <v>2119</v>
      </c>
      <c r="F3" s="15" t="s">
        <v>2120</v>
      </c>
      <c r="G3" s="15" t="s">
        <v>2121</v>
      </c>
      <c r="H3" s="15">
        <v>6712</v>
      </c>
      <c r="I3" s="15">
        <v>1631.21</v>
      </c>
      <c r="K3" s="49" t="s">
        <v>2</v>
      </c>
      <c r="L3" s="48" t="s">
        <v>2122</v>
      </c>
    </row>
    <row r="4" spans="1:14">
      <c r="A4" s="13">
        <v>44887</v>
      </c>
      <c r="B4" s="91">
        <f t="shared" si="0"/>
        <v>2022</v>
      </c>
      <c r="C4" s="15" t="s">
        <v>107</v>
      </c>
      <c r="D4" s="15" t="s">
        <v>2114</v>
      </c>
      <c r="E4" s="15" t="s">
        <v>2123</v>
      </c>
      <c r="F4" s="15" t="s">
        <v>2124</v>
      </c>
      <c r="G4" s="15" t="s">
        <v>2125</v>
      </c>
      <c r="H4" s="15">
        <v>3685</v>
      </c>
      <c r="I4" s="15">
        <v>719.33</v>
      </c>
    </row>
    <row r="5" spans="1:14">
      <c r="A5" s="13">
        <v>45325</v>
      </c>
      <c r="B5" s="91">
        <f t="shared" si="0"/>
        <v>2024</v>
      </c>
      <c r="C5" s="15" t="s">
        <v>2113</v>
      </c>
      <c r="D5" s="15" t="s">
        <v>2126</v>
      </c>
      <c r="E5" s="15" t="s">
        <v>2115</v>
      </c>
      <c r="F5" s="15" t="s">
        <v>2116</v>
      </c>
      <c r="G5" s="15" t="s">
        <v>2127</v>
      </c>
      <c r="H5" s="15">
        <v>1622</v>
      </c>
      <c r="I5" s="15">
        <v>263.3</v>
      </c>
    </row>
    <row r="6" spans="1:14">
      <c r="A6" s="13">
        <v>44944</v>
      </c>
      <c r="B6" s="91">
        <f t="shared" si="0"/>
        <v>2023</v>
      </c>
      <c r="C6" s="15" t="s">
        <v>107</v>
      </c>
      <c r="D6" s="15" t="s">
        <v>2128</v>
      </c>
      <c r="E6" s="15" t="s">
        <v>2129</v>
      </c>
      <c r="F6" s="15" t="s">
        <v>2124</v>
      </c>
      <c r="G6" s="15" t="s">
        <v>2130</v>
      </c>
      <c r="H6" s="15">
        <v>7665</v>
      </c>
      <c r="I6" s="15">
        <v>1533.22</v>
      </c>
      <c r="L6" s="31" t="s">
        <v>52</v>
      </c>
      <c r="M6" s="31" t="s">
        <v>53</v>
      </c>
    </row>
    <row r="7" spans="1:14">
      <c r="A7" s="13">
        <v>45089</v>
      </c>
      <c r="B7" s="91">
        <f t="shared" si="0"/>
        <v>2023</v>
      </c>
      <c r="C7" s="15" t="s">
        <v>107</v>
      </c>
      <c r="D7" s="15" t="s">
        <v>2131</v>
      </c>
      <c r="E7" s="15" t="s">
        <v>2123</v>
      </c>
      <c r="F7" s="15" t="s">
        <v>2120</v>
      </c>
      <c r="G7" s="15" t="s">
        <v>2132</v>
      </c>
      <c r="H7" s="15">
        <v>2782</v>
      </c>
      <c r="I7" s="15">
        <v>613.03</v>
      </c>
      <c r="L7" s="15" t="s">
        <v>0</v>
      </c>
      <c r="M7" s="15">
        <v>4</v>
      </c>
    </row>
    <row r="8" spans="1:14">
      <c r="A8" s="13">
        <v>44853</v>
      </c>
      <c r="B8" s="91">
        <f t="shared" si="0"/>
        <v>2022</v>
      </c>
      <c r="C8" s="15" t="s">
        <v>104</v>
      </c>
      <c r="D8" s="15" t="s">
        <v>2118</v>
      </c>
      <c r="E8" s="15" t="s">
        <v>2123</v>
      </c>
      <c r="F8" s="15" t="s">
        <v>2120</v>
      </c>
      <c r="G8" s="15" t="s">
        <v>2133</v>
      </c>
      <c r="H8" s="15">
        <v>8786</v>
      </c>
      <c r="I8" s="15">
        <v>2080.42</v>
      </c>
      <c r="L8" s="15" t="s">
        <v>2</v>
      </c>
      <c r="M8" s="15">
        <v>4</v>
      </c>
    </row>
    <row r="9" spans="1:14">
      <c r="A9" s="13">
        <v>45078</v>
      </c>
      <c r="B9" s="91">
        <f t="shared" si="0"/>
        <v>2023</v>
      </c>
      <c r="C9" s="15" t="s">
        <v>2113</v>
      </c>
      <c r="D9" s="15" t="s">
        <v>2118</v>
      </c>
      <c r="E9" s="15" t="s">
        <v>2134</v>
      </c>
      <c r="F9" s="15" t="s">
        <v>2124</v>
      </c>
      <c r="G9" s="15" t="s">
        <v>2130</v>
      </c>
      <c r="H9" s="15">
        <v>7879</v>
      </c>
      <c r="I9" s="15">
        <v>2091.5500000000002</v>
      </c>
      <c r="L9" s="55"/>
      <c r="M9" s="55"/>
    </row>
    <row r="10" spans="1:14">
      <c r="A10" s="13">
        <v>45217</v>
      </c>
      <c r="B10" s="91">
        <f t="shared" si="0"/>
        <v>2023</v>
      </c>
      <c r="C10" s="15" t="s">
        <v>107</v>
      </c>
      <c r="D10" s="15" t="s">
        <v>2135</v>
      </c>
      <c r="E10" s="15" t="s">
        <v>2136</v>
      </c>
      <c r="F10" s="15" t="s">
        <v>2116</v>
      </c>
      <c r="G10" s="15" t="s">
        <v>2117</v>
      </c>
      <c r="H10" s="15">
        <v>7563</v>
      </c>
      <c r="I10" s="15">
        <v>1323.85</v>
      </c>
      <c r="L10" s="88" t="s">
        <v>2108</v>
      </c>
      <c r="M10" s="88" t="s">
        <v>77</v>
      </c>
      <c r="N10" s="88" t="s">
        <v>2137</v>
      </c>
    </row>
    <row r="11" spans="1:14">
      <c r="A11" s="13">
        <v>45460</v>
      </c>
      <c r="B11" s="91">
        <f t="shared" si="0"/>
        <v>2024</v>
      </c>
      <c r="C11" s="15" t="s">
        <v>104</v>
      </c>
      <c r="D11" s="15" t="s">
        <v>2131</v>
      </c>
      <c r="E11" s="15" t="s">
        <v>2134</v>
      </c>
      <c r="F11" s="15" t="s">
        <v>2138</v>
      </c>
      <c r="G11" s="15" t="s">
        <v>2139</v>
      </c>
      <c r="H11" s="15">
        <v>9477</v>
      </c>
      <c r="I11" s="15">
        <v>1670.52</v>
      </c>
      <c r="L11" s="84" t="str" cm="1">
        <f t="array" ref="L11:L20">_xlfn.UNIQUE(E2:E3001)</f>
        <v>Amit Singh</v>
      </c>
      <c r="M11" s="85">
        <f>SUMIF($E$2:$E$3001,L11,$H$2:$H$3001)</f>
        <v>1668579</v>
      </c>
      <c r="N11" s="86">
        <f>M11/$M$21</f>
        <v>0.10071303991343132</v>
      </c>
    </row>
    <row r="12" spans="1:14">
      <c r="A12" s="13">
        <v>45084</v>
      </c>
      <c r="B12" s="91">
        <f t="shared" si="0"/>
        <v>2023</v>
      </c>
      <c r="C12" s="15" t="s">
        <v>104</v>
      </c>
      <c r="D12" s="15" t="s">
        <v>2114</v>
      </c>
      <c r="E12" s="15" t="s">
        <v>2134</v>
      </c>
      <c r="F12" s="15" t="s">
        <v>2124</v>
      </c>
      <c r="G12" s="15" t="s">
        <v>2140</v>
      </c>
      <c r="H12" s="15">
        <v>2233</v>
      </c>
      <c r="I12" s="15">
        <v>571.71</v>
      </c>
      <c r="L12" s="84" t="str">
        <v>Rani Gupta</v>
      </c>
      <c r="M12" s="85">
        <f t="shared" ref="M12:M20" si="1">SUMIF($E$2:$E$3001,L12,$H$2:$H$3001)</f>
        <v>1676594</v>
      </c>
      <c r="N12" s="86">
        <f t="shared" ref="N12:N20" si="2">M12/$M$21</f>
        <v>0.10119681384017147</v>
      </c>
    </row>
    <row r="13" spans="1:14">
      <c r="A13" s="13">
        <v>44770</v>
      </c>
      <c r="B13" s="91">
        <f t="shared" si="0"/>
        <v>2022</v>
      </c>
      <c r="C13" s="15" t="s">
        <v>2141</v>
      </c>
      <c r="D13" s="15" t="s">
        <v>2142</v>
      </c>
      <c r="E13" s="15" t="s">
        <v>2143</v>
      </c>
      <c r="F13" s="15" t="s">
        <v>2124</v>
      </c>
      <c r="G13" s="15" t="s">
        <v>2130</v>
      </c>
      <c r="H13" s="15">
        <v>5585</v>
      </c>
      <c r="I13" s="15">
        <v>1091.22</v>
      </c>
      <c r="L13" s="84" t="str">
        <v>Priya Mehta</v>
      </c>
      <c r="M13" s="85">
        <f t="shared" si="1"/>
        <v>1463266</v>
      </c>
      <c r="N13" s="86">
        <f t="shared" si="2"/>
        <v>8.832064113354357E-2</v>
      </c>
    </row>
    <row r="14" spans="1:14">
      <c r="A14" s="13">
        <v>45430</v>
      </c>
      <c r="B14" s="91">
        <f t="shared" si="0"/>
        <v>2024</v>
      </c>
      <c r="C14" s="15" t="s">
        <v>104</v>
      </c>
      <c r="D14" s="15" t="s">
        <v>2131</v>
      </c>
      <c r="E14" s="15" t="s">
        <v>2115</v>
      </c>
      <c r="F14" s="15" t="s">
        <v>2120</v>
      </c>
      <c r="G14" s="15" t="s">
        <v>2133</v>
      </c>
      <c r="H14" s="15">
        <v>3087</v>
      </c>
      <c r="I14" s="15">
        <v>652.01</v>
      </c>
      <c r="L14" s="84" t="str">
        <v>Vikram Rao</v>
      </c>
      <c r="M14" s="85">
        <f t="shared" si="1"/>
        <v>1727573</v>
      </c>
      <c r="N14" s="86">
        <f t="shared" si="2"/>
        <v>0.10427383330508552</v>
      </c>
    </row>
    <row r="15" spans="1:14">
      <c r="A15" s="13">
        <v>45121</v>
      </c>
      <c r="B15" s="91">
        <f t="shared" si="0"/>
        <v>2023</v>
      </c>
      <c r="C15" s="15" t="s">
        <v>107</v>
      </c>
      <c r="D15" s="15" t="s">
        <v>2131</v>
      </c>
      <c r="E15" s="15" t="s">
        <v>2136</v>
      </c>
      <c r="F15" s="15" t="s">
        <v>2120</v>
      </c>
      <c r="G15" s="15" t="s">
        <v>2132</v>
      </c>
      <c r="H15" s="15">
        <v>1487</v>
      </c>
      <c r="I15" s="15">
        <v>319.08</v>
      </c>
      <c r="L15" s="84" t="str">
        <v>Anil Kumar</v>
      </c>
      <c r="M15" s="85">
        <f t="shared" si="1"/>
        <v>1729207</v>
      </c>
      <c r="N15" s="86">
        <f t="shared" si="2"/>
        <v>0.10437245920605788</v>
      </c>
    </row>
    <row r="16" spans="1:14">
      <c r="A16" s="13">
        <v>45398</v>
      </c>
      <c r="B16" s="91">
        <f t="shared" si="0"/>
        <v>2024</v>
      </c>
      <c r="C16" s="15" t="s">
        <v>107</v>
      </c>
      <c r="D16" s="15" t="s">
        <v>2128</v>
      </c>
      <c r="E16" s="15" t="s">
        <v>2144</v>
      </c>
      <c r="F16" s="15" t="s">
        <v>2138</v>
      </c>
      <c r="G16" s="15" t="s">
        <v>2139</v>
      </c>
      <c r="H16" s="15">
        <v>7189</v>
      </c>
      <c r="I16" s="15">
        <v>1444.85</v>
      </c>
      <c r="L16" s="84" t="str">
        <v>Pooja Agarwal</v>
      </c>
      <c r="M16" s="85">
        <f t="shared" si="1"/>
        <v>1609601</v>
      </c>
      <c r="N16" s="86">
        <f t="shared" si="2"/>
        <v>9.715321225887355E-2</v>
      </c>
    </row>
    <row r="17" spans="1:17">
      <c r="A17" s="13">
        <v>45064</v>
      </c>
      <c r="B17" s="91">
        <f t="shared" si="0"/>
        <v>2023</v>
      </c>
      <c r="C17" s="15" t="s">
        <v>107</v>
      </c>
      <c r="D17" s="15" t="s">
        <v>2135</v>
      </c>
      <c r="E17" s="15" t="s">
        <v>2144</v>
      </c>
      <c r="F17" s="15" t="s">
        <v>2120</v>
      </c>
      <c r="G17" s="15" t="s">
        <v>2121</v>
      </c>
      <c r="H17" s="15">
        <v>2987</v>
      </c>
      <c r="I17" s="15">
        <v>766.9</v>
      </c>
      <c r="L17" s="87" t="str">
        <v>Neha Verma</v>
      </c>
      <c r="M17" s="85">
        <f t="shared" si="1"/>
        <v>1584883</v>
      </c>
      <c r="N17" s="86">
        <f t="shared" si="2"/>
        <v>9.5661269162034754E-2</v>
      </c>
    </row>
    <row r="18" spans="1:17">
      <c r="A18" s="13">
        <v>45565</v>
      </c>
      <c r="B18" s="91">
        <f t="shared" si="0"/>
        <v>2024</v>
      </c>
      <c r="C18" s="15" t="s">
        <v>104</v>
      </c>
      <c r="D18" s="15" t="s">
        <v>2126</v>
      </c>
      <c r="E18" s="15" t="s">
        <v>2115</v>
      </c>
      <c r="F18" s="15" t="s">
        <v>2120</v>
      </c>
      <c r="G18" s="15" t="s">
        <v>2121</v>
      </c>
      <c r="H18" s="15">
        <v>7937</v>
      </c>
      <c r="I18" s="15">
        <v>1937.22</v>
      </c>
      <c r="L18" s="87" t="str">
        <v>Aakash Kumar</v>
      </c>
      <c r="M18" s="85">
        <f t="shared" si="1"/>
        <v>1752751</v>
      </c>
      <c r="N18" s="86">
        <f t="shared" si="2"/>
        <v>0.10579354134344653</v>
      </c>
    </row>
    <row r="19" spans="1:17">
      <c r="A19" s="13">
        <v>45081</v>
      </c>
      <c r="B19" s="91">
        <f t="shared" si="0"/>
        <v>2023</v>
      </c>
      <c r="C19" s="15" t="s">
        <v>107</v>
      </c>
      <c r="D19" s="15" t="s">
        <v>2142</v>
      </c>
      <c r="E19" s="15" t="s">
        <v>2145</v>
      </c>
      <c r="F19" s="15" t="s">
        <v>2116</v>
      </c>
      <c r="G19" s="15" t="s">
        <v>2127</v>
      </c>
      <c r="H19" s="15">
        <v>8542</v>
      </c>
      <c r="I19" s="15">
        <v>2538.81</v>
      </c>
      <c r="L19" s="87" t="str">
        <v>Rahul Sharma</v>
      </c>
      <c r="M19" s="85">
        <f t="shared" si="1"/>
        <v>1739849</v>
      </c>
      <c r="N19" s="86">
        <f t="shared" si="2"/>
        <v>0.10501479509231722</v>
      </c>
    </row>
    <row r="20" spans="1:17">
      <c r="A20" s="13">
        <v>44585</v>
      </c>
      <c r="B20" s="91">
        <f t="shared" si="0"/>
        <v>2022</v>
      </c>
      <c r="C20" s="15" t="s">
        <v>107</v>
      </c>
      <c r="D20" s="15" t="s">
        <v>2128</v>
      </c>
      <c r="E20" s="15" t="s">
        <v>2115</v>
      </c>
      <c r="F20" s="15" t="s">
        <v>2138</v>
      </c>
      <c r="G20" s="15" t="s">
        <v>2146</v>
      </c>
      <c r="H20" s="15">
        <v>2041</v>
      </c>
      <c r="I20" s="15">
        <v>275.60000000000002</v>
      </c>
      <c r="L20" s="87" t="str">
        <v>Sita Reddy</v>
      </c>
      <c r="M20" s="85">
        <f t="shared" si="1"/>
        <v>1615353</v>
      </c>
      <c r="N20" s="86">
        <f t="shared" si="2"/>
        <v>9.750039474503816E-2</v>
      </c>
    </row>
    <row r="21" spans="1:17">
      <c r="A21" s="13">
        <v>45145</v>
      </c>
      <c r="B21" s="91">
        <f t="shared" si="0"/>
        <v>2023</v>
      </c>
      <c r="C21" s="15" t="s">
        <v>2113</v>
      </c>
      <c r="D21" s="15" t="s">
        <v>2118</v>
      </c>
      <c r="E21" s="15" t="s">
        <v>2144</v>
      </c>
      <c r="F21" s="15" t="s">
        <v>2138</v>
      </c>
      <c r="G21" s="15" t="s">
        <v>2146</v>
      </c>
      <c r="H21" s="15">
        <v>1700</v>
      </c>
      <c r="I21" s="15">
        <v>476.59</v>
      </c>
      <c r="L21" s="89" t="s">
        <v>2147</v>
      </c>
      <c r="M21" s="90">
        <f>SUM(M11:M20)</f>
        <v>16567656</v>
      </c>
      <c r="N21" s="90">
        <f>SUM(N11:N20)</f>
        <v>1</v>
      </c>
    </row>
    <row r="22" spans="1:17">
      <c r="A22" s="13">
        <v>45461</v>
      </c>
      <c r="B22" s="91">
        <f t="shared" si="0"/>
        <v>2024</v>
      </c>
      <c r="C22" s="15" t="s">
        <v>104</v>
      </c>
      <c r="D22" s="15" t="s">
        <v>2118</v>
      </c>
      <c r="E22" s="15" t="s">
        <v>2129</v>
      </c>
      <c r="F22" s="15" t="s">
        <v>2124</v>
      </c>
      <c r="G22" s="15" t="s">
        <v>2130</v>
      </c>
      <c r="H22" s="15">
        <v>2345</v>
      </c>
      <c r="I22" s="15">
        <v>250.61</v>
      </c>
      <c r="L22" s="41"/>
      <c r="M22" s="40"/>
      <c r="N22" s="40"/>
      <c r="O22" s="40"/>
      <c r="P22" s="40"/>
      <c r="Q22" s="40"/>
    </row>
    <row r="23" spans="1:17">
      <c r="A23" s="13">
        <v>44662</v>
      </c>
      <c r="B23" s="91">
        <f t="shared" si="0"/>
        <v>2022</v>
      </c>
      <c r="C23" s="15" t="s">
        <v>107</v>
      </c>
      <c r="D23" s="15" t="s">
        <v>2148</v>
      </c>
      <c r="E23" s="15" t="s">
        <v>2115</v>
      </c>
      <c r="F23" s="15" t="s">
        <v>2138</v>
      </c>
      <c r="G23" s="15" t="s">
        <v>2149</v>
      </c>
      <c r="H23" s="15">
        <v>2288</v>
      </c>
      <c r="I23" s="15">
        <v>610.13</v>
      </c>
      <c r="L23" s="41"/>
      <c r="M23" s="40"/>
      <c r="N23" s="40"/>
      <c r="O23" s="40"/>
      <c r="P23" s="40"/>
      <c r="Q23" s="40"/>
    </row>
    <row r="24" spans="1:17">
      <c r="A24" s="13">
        <v>44818</v>
      </c>
      <c r="B24" s="91">
        <f t="shared" si="0"/>
        <v>2022</v>
      </c>
      <c r="C24" s="15" t="s">
        <v>2141</v>
      </c>
      <c r="D24" s="15" t="s">
        <v>2128</v>
      </c>
      <c r="E24" s="15" t="s">
        <v>2134</v>
      </c>
      <c r="F24" s="15" t="s">
        <v>2116</v>
      </c>
      <c r="G24" s="15" t="s">
        <v>2127</v>
      </c>
      <c r="H24" s="15">
        <v>5434</v>
      </c>
      <c r="I24" s="15">
        <v>636.88</v>
      </c>
      <c r="L24" s="89" t="s">
        <v>2150</v>
      </c>
      <c r="M24" s="94" cm="1">
        <f t="array" ref="M24:O24">SMALL(TRANSPOSE(_xlfn.UNIQUE(YEAR($A$2:$A$3001))),{1,2,3})</f>
        <v>2022</v>
      </c>
      <c r="N24" s="94">
        <v>2023</v>
      </c>
      <c r="O24" s="94">
        <v>2024</v>
      </c>
      <c r="P24" s="40"/>
      <c r="Q24" s="40"/>
    </row>
    <row r="25" spans="1:17">
      <c r="A25" s="13">
        <v>45247</v>
      </c>
      <c r="B25" s="91">
        <f t="shared" si="0"/>
        <v>2023</v>
      </c>
      <c r="C25" s="15" t="s">
        <v>104</v>
      </c>
      <c r="D25" s="15" t="s">
        <v>2135</v>
      </c>
      <c r="E25" s="15" t="s">
        <v>2151</v>
      </c>
      <c r="F25" s="15" t="s">
        <v>2116</v>
      </c>
      <c r="G25" s="15" t="s">
        <v>2117</v>
      </c>
      <c r="H25" s="15">
        <v>9554</v>
      </c>
      <c r="I25" s="15">
        <v>1312.82</v>
      </c>
      <c r="L25" s="93" t="str" cm="1">
        <f t="array" ref="L25:L28">_xlfn.UNIQUE($C$2:$C$3001)</f>
        <v>South</v>
      </c>
      <c r="M25" s="92">
        <f>SUMIFS($H$2:$H$3001,$C$2:$C$3001,$L25,$B$2:$B$3001,M$24)</f>
        <v>1294477</v>
      </c>
      <c r="N25" s="92">
        <f>SUMIFS($H$2:$H$3001,$C$2:$C$3001,$L25,$B$2:$B$3001,N$24)</f>
        <v>1401330</v>
      </c>
      <c r="O25" s="92">
        <f>SUMIFS($H$2:$H$3001,$C$2:$C$3001,$L25,$B$2:$B$3001,O$24)</f>
        <v>1347314</v>
      </c>
      <c r="P25" s="40"/>
      <c r="Q25" s="40"/>
    </row>
    <row r="26" spans="1:17">
      <c r="A26" s="13">
        <v>45449</v>
      </c>
      <c r="B26" s="91">
        <f t="shared" si="0"/>
        <v>2024</v>
      </c>
      <c r="C26" s="15" t="s">
        <v>104</v>
      </c>
      <c r="D26" s="15" t="s">
        <v>2118</v>
      </c>
      <c r="E26" s="15" t="s">
        <v>2151</v>
      </c>
      <c r="F26" s="15" t="s">
        <v>2138</v>
      </c>
      <c r="G26" s="15" t="s">
        <v>2139</v>
      </c>
      <c r="H26" s="15">
        <v>2866</v>
      </c>
      <c r="I26" s="15">
        <v>850.62</v>
      </c>
      <c r="L26" s="93" t="str">
        <v>West</v>
      </c>
      <c r="M26" s="92">
        <f>SUMIFS($H$2:$H$3001,$C$2:$C$3001,$L26,$B$2:$B$3001,M$24)</f>
        <v>1276657</v>
      </c>
      <c r="N26" s="92">
        <f>SUMIFS($H$2:$H$3001,$C$2:$C$3001,$L26,$B$2:$B$3001,N$24)</f>
        <v>1441261</v>
      </c>
      <c r="O26" s="92">
        <f>SUMIFS($H$2:$H$3001,$C$2:$C$3001,$L26,$B$2:$B$3001,O$24)</f>
        <v>1546897</v>
      </c>
    </row>
    <row r="27" spans="1:17">
      <c r="A27" s="13">
        <v>45010</v>
      </c>
      <c r="B27" s="91">
        <f t="shared" si="0"/>
        <v>2023</v>
      </c>
      <c r="C27" s="15" t="s">
        <v>2141</v>
      </c>
      <c r="D27" s="15" t="s">
        <v>2114</v>
      </c>
      <c r="E27" s="15" t="s">
        <v>2134</v>
      </c>
      <c r="F27" s="15" t="s">
        <v>2138</v>
      </c>
      <c r="G27" s="15" t="s">
        <v>2139</v>
      </c>
      <c r="H27" s="15">
        <v>6377</v>
      </c>
      <c r="I27" s="15">
        <v>1880.37</v>
      </c>
      <c r="L27" s="93" t="str">
        <v>North</v>
      </c>
      <c r="M27" s="92">
        <f>SUMIFS($H$2:$H$3001,$C$2:$C$3001,$L27,$B$2:$B$3001,M$24)</f>
        <v>1346646</v>
      </c>
      <c r="N27" s="92">
        <f>SUMIFS($H$2:$H$3001,$C$2:$C$3001,$L27,$B$2:$B$3001,N$24)</f>
        <v>1415826</v>
      </c>
      <c r="O27" s="92">
        <f>SUMIFS($H$2:$H$3001,$C$2:$C$3001,$L27,$B$2:$B$3001,O$24)</f>
        <v>1430720</v>
      </c>
    </row>
    <row r="28" spans="1:17">
      <c r="A28" s="13">
        <v>45631</v>
      </c>
      <c r="B28" s="91">
        <f t="shared" si="0"/>
        <v>2024</v>
      </c>
      <c r="C28" s="15" t="s">
        <v>107</v>
      </c>
      <c r="D28" s="15" t="s">
        <v>2118</v>
      </c>
      <c r="E28" s="15" t="s">
        <v>2119</v>
      </c>
      <c r="F28" s="15" t="s">
        <v>2124</v>
      </c>
      <c r="G28" s="15" t="s">
        <v>2125</v>
      </c>
      <c r="H28" s="15">
        <v>3751</v>
      </c>
      <c r="I28" s="15">
        <v>461.76</v>
      </c>
      <c r="L28" s="93" t="str">
        <v>East</v>
      </c>
      <c r="M28" s="92">
        <f>SUMIFS($H$2:$H$3001,$C$2:$C$3001,$L28,$B$2:$B$3001,M$24)</f>
        <v>1337015</v>
      </c>
      <c r="N28" s="92">
        <f>SUMIFS($H$2:$H$3001,$C$2:$C$3001,$L28,$B$2:$B$3001,N$24)</f>
        <v>1399963</v>
      </c>
      <c r="O28" s="92">
        <f>SUMIFS($H$2:$H$3001,$C$2:$C$3001,$L28,$B$2:$B$3001,O$24)</f>
        <v>1329550</v>
      </c>
    </row>
    <row r="29" spans="1:17">
      <c r="A29" s="13">
        <v>44615</v>
      </c>
      <c r="B29" s="91">
        <f t="shared" si="0"/>
        <v>2022</v>
      </c>
      <c r="C29" s="15" t="s">
        <v>2141</v>
      </c>
      <c r="D29" s="15" t="s">
        <v>2135</v>
      </c>
      <c r="E29" s="15" t="s">
        <v>2145</v>
      </c>
      <c r="F29" s="15" t="s">
        <v>2124</v>
      </c>
      <c r="G29" s="15" t="s">
        <v>2125</v>
      </c>
      <c r="H29" s="15">
        <v>4085</v>
      </c>
      <c r="I29" s="15">
        <v>1208.8599999999999</v>
      </c>
    </row>
    <row r="30" spans="1:17">
      <c r="A30" s="13">
        <v>45637</v>
      </c>
      <c r="B30" s="91">
        <f t="shared" si="0"/>
        <v>2024</v>
      </c>
      <c r="C30" s="15" t="s">
        <v>107</v>
      </c>
      <c r="D30" s="15" t="s">
        <v>2152</v>
      </c>
      <c r="E30" s="15" t="s">
        <v>2151</v>
      </c>
      <c r="F30" s="15" t="s">
        <v>2124</v>
      </c>
      <c r="G30" s="15" t="s">
        <v>2140</v>
      </c>
      <c r="H30" s="15">
        <v>4793</v>
      </c>
      <c r="I30" s="15">
        <v>584.15</v>
      </c>
    </row>
    <row r="31" spans="1:17">
      <c r="A31" s="13">
        <v>45064</v>
      </c>
      <c r="B31" s="91">
        <f t="shared" si="0"/>
        <v>2023</v>
      </c>
      <c r="C31" s="15" t="s">
        <v>2113</v>
      </c>
      <c r="D31" s="15" t="s">
        <v>2148</v>
      </c>
      <c r="E31" s="15" t="s">
        <v>2129</v>
      </c>
      <c r="F31" s="15" t="s">
        <v>2116</v>
      </c>
      <c r="G31" s="15" t="s">
        <v>2127</v>
      </c>
      <c r="H31" s="15">
        <v>8221</v>
      </c>
      <c r="I31" s="15">
        <v>1869.96</v>
      </c>
    </row>
    <row r="32" spans="1:17">
      <c r="A32" s="13">
        <v>45086</v>
      </c>
      <c r="B32" s="91">
        <f t="shared" si="0"/>
        <v>2023</v>
      </c>
      <c r="C32" s="15" t="s">
        <v>107</v>
      </c>
      <c r="D32" s="15" t="s">
        <v>2148</v>
      </c>
      <c r="E32" s="15" t="s">
        <v>2143</v>
      </c>
      <c r="F32" s="15" t="s">
        <v>2116</v>
      </c>
      <c r="G32" s="15" t="s">
        <v>2127</v>
      </c>
      <c r="H32" s="15">
        <v>8434</v>
      </c>
      <c r="I32" s="15">
        <v>2450.8200000000002</v>
      </c>
    </row>
    <row r="33" spans="1:9">
      <c r="A33" s="13">
        <v>45240</v>
      </c>
      <c r="B33" s="91">
        <f t="shared" si="0"/>
        <v>2023</v>
      </c>
      <c r="C33" s="15" t="s">
        <v>2141</v>
      </c>
      <c r="D33" s="15" t="s">
        <v>2126</v>
      </c>
      <c r="E33" s="15" t="s">
        <v>2119</v>
      </c>
      <c r="F33" s="15" t="s">
        <v>2120</v>
      </c>
      <c r="G33" s="15" t="s">
        <v>2132</v>
      </c>
      <c r="H33" s="15">
        <v>4803</v>
      </c>
      <c r="I33" s="15">
        <v>1414.94</v>
      </c>
    </row>
    <row r="34" spans="1:9">
      <c r="A34" s="13">
        <v>44979</v>
      </c>
      <c r="B34" s="91">
        <f t="shared" si="0"/>
        <v>2023</v>
      </c>
      <c r="C34" s="15" t="s">
        <v>2141</v>
      </c>
      <c r="D34" s="15" t="s">
        <v>2114</v>
      </c>
      <c r="E34" s="15" t="s">
        <v>2144</v>
      </c>
      <c r="F34" s="15" t="s">
        <v>2116</v>
      </c>
      <c r="G34" s="15" t="s">
        <v>2127</v>
      </c>
      <c r="H34" s="15">
        <v>9861</v>
      </c>
      <c r="I34" s="15">
        <v>2304.58</v>
      </c>
    </row>
    <row r="35" spans="1:9">
      <c r="A35" s="13">
        <v>45031</v>
      </c>
      <c r="B35" s="91">
        <f t="shared" si="0"/>
        <v>2023</v>
      </c>
      <c r="C35" s="15" t="s">
        <v>2113</v>
      </c>
      <c r="D35" s="15" t="s">
        <v>2135</v>
      </c>
      <c r="E35" s="15" t="s">
        <v>2136</v>
      </c>
      <c r="F35" s="15" t="s">
        <v>2116</v>
      </c>
      <c r="G35" s="15" t="s">
        <v>2127</v>
      </c>
      <c r="H35" s="15">
        <v>3232</v>
      </c>
      <c r="I35" s="15">
        <v>447.03</v>
      </c>
    </row>
    <row r="36" spans="1:9">
      <c r="A36" s="13">
        <v>45081</v>
      </c>
      <c r="B36" s="91">
        <f t="shared" si="0"/>
        <v>2023</v>
      </c>
      <c r="C36" s="15" t="s">
        <v>107</v>
      </c>
      <c r="D36" s="15" t="s">
        <v>2128</v>
      </c>
      <c r="E36" s="15" t="s">
        <v>2144</v>
      </c>
      <c r="F36" s="15" t="s">
        <v>2120</v>
      </c>
      <c r="G36" s="15" t="s">
        <v>2133</v>
      </c>
      <c r="H36" s="15">
        <v>1709</v>
      </c>
      <c r="I36" s="15">
        <v>275.68</v>
      </c>
    </row>
    <row r="37" spans="1:9">
      <c r="A37" s="13">
        <v>45314</v>
      </c>
      <c r="B37" s="91">
        <f t="shared" si="0"/>
        <v>2024</v>
      </c>
      <c r="C37" s="15" t="s">
        <v>107</v>
      </c>
      <c r="D37" s="15" t="s">
        <v>2148</v>
      </c>
      <c r="E37" s="15" t="s">
        <v>2134</v>
      </c>
      <c r="F37" s="15" t="s">
        <v>2138</v>
      </c>
      <c r="G37" s="15" t="s">
        <v>2149</v>
      </c>
      <c r="H37" s="15">
        <v>3440</v>
      </c>
      <c r="I37" s="15">
        <v>903.21</v>
      </c>
    </row>
    <row r="38" spans="1:9">
      <c r="A38" s="13">
        <v>44829</v>
      </c>
      <c r="B38" s="91">
        <f t="shared" si="0"/>
        <v>2022</v>
      </c>
      <c r="C38" s="15" t="s">
        <v>104</v>
      </c>
      <c r="D38" s="15" t="s">
        <v>2128</v>
      </c>
      <c r="E38" s="15" t="s">
        <v>2143</v>
      </c>
      <c r="F38" s="15" t="s">
        <v>2116</v>
      </c>
      <c r="G38" s="15" t="s">
        <v>2117</v>
      </c>
      <c r="H38" s="15">
        <v>1557</v>
      </c>
      <c r="I38" s="15">
        <v>200.35</v>
      </c>
    </row>
    <row r="39" spans="1:9">
      <c r="A39" s="13">
        <v>45213</v>
      </c>
      <c r="B39" s="91">
        <f t="shared" si="0"/>
        <v>2023</v>
      </c>
      <c r="C39" s="15" t="s">
        <v>2141</v>
      </c>
      <c r="D39" s="15" t="s">
        <v>2126</v>
      </c>
      <c r="E39" s="15" t="s">
        <v>2143</v>
      </c>
      <c r="F39" s="15" t="s">
        <v>2120</v>
      </c>
      <c r="G39" s="15" t="s">
        <v>2132</v>
      </c>
      <c r="H39" s="15">
        <v>6702</v>
      </c>
      <c r="I39" s="15">
        <v>1208.33</v>
      </c>
    </row>
    <row r="40" spans="1:9">
      <c r="A40" s="13">
        <v>44785</v>
      </c>
      <c r="B40" s="91">
        <f t="shared" si="0"/>
        <v>2022</v>
      </c>
      <c r="C40" s="15" t="s">
        <v>2113</v>
      </c>
      <c r="D40" s="15" t="s">
        <v>2131</v>
      </c>
      <c r="E40" s="15" t="s">
        <v>2151</v>
      </c>
      <c r="F40" s="15" t="s">
        <v>2120</v>
      </c>
      <c r="G40" s="15" t="s">
        <v>2133</v>
      </c>
      <c r="H40" s="15">
        <v>3389</v>
      </c>
      <c r="I40" s="15">
        <v>771.87</v>
      </c>
    </row>
    <row r="41" spans="1:9">
      <c r="A41" s="13">
        <v>45338</v>
      </c>
      <c r="B41" s="91">
        <f t="shared" si="0"/>
        <v>2024</v>
      </c>
      <c r="C41" s="15" t="s">
        <v>107</v>
      </c>
      <c r="D41" s="15" t="s">
        <v>2118</v>
      </c>
      <c r="E41" s="15" t="s">
        <v>2134</v>
      </c>
      <c r="F41" s="15" t="s">
        <v>2138</v>
      </c>
      <c r="G41" s="15" t="s">
        <v>2139</v>
      </c>
      <c r="H41" s="15">
        <v>6115</v>
      </c>
      <c r="I41" s="15">
        <v>760.8</v>
      </c>
    </row>
    <row r="42" spans="1:9">
      <c r="A42" s="13">
        <v>45224</v>
      </c>
      <c r="B42" s="91">
        <f t="shared" si="0"/>
        <v>2023</v>
      </c>
      <c r="C42" s="15" t="s">
        <v>104</v>
      </c>
      <c r="D42" s="15" t="s">
        <v>2153</v>
      </c>
      <c r="E42" s="15" t="s">
        <v>2129</v>
      </c>
      <c r="F42" s="15" t="s">
        <v>2124</v>
      </c>
      <c r="G42" s="15" t="s">
        <v>2125</v>
      </c>
      <c r="H42" s="15">
        <v>2999</v>
      </c>
      <c r="I42" s="15">
        <v>540.45000000000005</v>
      </c>
    </row>
    <row r="43" spans="1:9">
      <c r="A43" s="13">
        <v>44850</v>
      </c>
      <c r="B43" s="91">
        <f t="shared" si="0"/>
        <v>2022</v>
      </c>
      <c r="C43" s="15" t="s">
        <v>2141</v>
      </c>
      <c r="D43" s="15" t="s">
        <v>2152</v>
      </c>
      <c r="E43" s="15" t="s">
        <v>2145</v>
      </c>
      <c r="F43" s="15" t="s">
        <v>2116</v>
      </c>
      <c r="G43" s="15" t="s">
        <v>2154</v>
      </c>
      <c r="H43" s="15">
        <v>4163</v>
      </c>
      <c r="I43" s="15">
        <v>1069.8</v>
      </c>
    </row>
    <row r="44" spans="1:9">
      <c r="A44" s="13">
        <v>44759</v>
      </c>
      <c r="B44" s="91">
        <f t="shared" si="0"/>
        <v>2022</v>
      </c>
      <c r="C44" s="15" t="s">
        <v>104</v>
      </c>
      <c r="D44" s="15" t="s">
        <v>2128</v>
      </c>
      <c r="E44" s="15" t="s">
        <v>2143</v>
      </c>
      <c r="F44" s="15" t="s">
        <v>2120</v>
      </c>
      <c r="G44" s="15" t="s">
        <v>2133</v>
      </c>
      <c r="H44" s="15">
        <v>9650</v>
      </c>
      <c r="I44" s="15">
        <v>2182.38</v>
      </c>
    </row>
    <row r="45" spans="1:9">
      <c r="A45" s="13">
        <v>45024</v>
      </c>
      <c r="B45" s="91">
        <f t="shared" si="0"/>
        <v>2023</v>
      </c>
      <c r="C45" s="15" t="s">
        <v>104</v>
      </c>
      <c r="D45" s="15" t="s">
        <v>2131</v>
      </c>
      <c r="E45" s="15" t="s">
        <v>2136</v>
      </c>
      <c r="F45" s="15" t="s">
        <v>2124</v>
      </c>
      <c r="G45" s="15" t="s">
        <v>2140</v>
      </c>
      <c r="H45" s="15">
        <v>4172</v>
      </c>
      <c r="I45" s="15">
        <v>595.64</v>
      </c>
    </row>
    <row r="46" spans="1:9">
      <c r="A46" s="13">
        <v>44871</v>
      </c>
      <c r="B46" s="91">
        <f t="shared" si="0"/>
        <v>2022</v>
      </c>
      <c r="C46" s="15" t="s">
        <v>104</v>
      </c>
      <c r="D46" s="15" t="s">
        <v>2126</v>
      </c>
      <c r="E46" s="15" t="s">
        <v>2136</v>
      </c>
      <c r="F46" s="15" t="s">
        <v>2124</v>
      </c>
      <c r="G46" s="15" t="s">
        <v>2125</v>
      </c>
      <c r="H46" s="15">
        <v>3855</v>
      </c>
      <c r="I46" s="15">
        <v>845.36</v>
      </c>
    </row>
    <row r="47" spans="1:9">
      <c r="A47" s="13">
        <v>45593</v>
      </c>
      <c r="B47" s="91">
        <f t="shared" si="0"/>
        <v>2024</v>
      </c>
      <c r="C47" s="15" t="s">
        <v>2113</v>
      </c>
      <c r="D47" s="15" t="s">
        <v>2131</v>
      </c>
      <c r="E47" s="15" t="s">
        <v>2143</v>
      </c>
      <c r="F47" s="15" t="s">
        <v>2124</v>
      </c>
      <c r="G47" s="15" t="s">
        <v>2130</v>
      </c>
      <c r="H47" s="15">
        <v>2951</v>
      </c>
      <c r="I47" s="15">
        <v>595.1</v>
      </c>
    </row>
    <row r="48" spans="1:9">
      <c r="A48" s="13">
        <v>44621</v>
      </c>
      <c r="B48" s="91">
        <f t="shared" si="0"/>
        <v>2022</v>
      </c>
      <c r="C48" s="15" t="s">
        <v>2141</v>
      </c>
      <c r="D48" s="15" t="s">
        <v>2153</v>
      </c>
      <c r="E48" s="15" t="s">
        <v>2115</v>
      </c>
      <c r="F48" s="15" t="s">
        <v>2138</v>
      </c>
      <c r="G48" s="15" t="s">
        <v>2146</v>
      </c>
      <c r="H48" s="15">
        <v>3730</v>
      </c>
      <c r="I48" s="15">
        <v>888.55</v>
      </c>
    </row>
    <row r="49" spans="1:9">
      <c r="A49" s="13">
        <v>45069</v>
      </c>
      <c r="B49" s="91">
        <f t="shared" si="0"/>
        <v>2023</v>
      </c>
      <c r="C49" s="15" t="s">
        <v>107</v>
      </c>
      <c r="D49" s="15" t="s">
        <v>2126</v>
      </c>
      <c r="E49" s="15" t="s">
        <v>2145</v>
      </c>
      <c r="F49" s="15" t="s">
        <v>2116</v>
      </c>
      <c r="G49" s="15" t="s">
        <v>2127</v>
      </c>
      <c r="H49" s="15">
        <v>5282</v>
      </c>
      <c r="I49" s="15">
        <v>1459.22</v>
      </c>
    </row>
    <row r="50" spans="1:9">
      <c r="A50" s="13">
        <v>44778</v>
      </c>
      <c r="B50" s="91">
        <f t="shared" si="0"/>
        <v>2022</v>
      </c>
      <c r="C50" s="15" t="s">
        <v>2113</v>
      </c>
      <c r="D50" s="15" t="s">
        <v>2128</v>
      </c>
      <c r="E50" s="15" t="s">
        <v>2119</v>
      </c>
      <c r="F50" s="15" t="s">
        <v>2124</v>
      </c>
      <c r="G50" s="15" t="s">
        <v>2130</v>
      </c>
      <c r="H50" s="15">
        <v>2496</v>
      </c>
      <c r="I50" s="15">
        <v>361.18</v>
      </c>
    </row>
    <row r="51" spans="1:9">
      <c r="A51" s="13">
        <v>44564</v>
      </c>
      <c r="B51" s="91">
        <f t="shared" si="0"/>
        <v>2022</v>
      </c>
      <c r="C51" s="15" t="s">
        <v>104</v>
      </c>
      <c r="D51" s="15" t="s">
        <v>2128</v>
      </c>
      <c r="E51" s="15" t="s">
        <v>2151</v>
      </c>
      <c r="F51" s="15" t="s">
        <v>2116</v>
      </c>
      <c r="G51" s="15" t="s">
        <v>2154</v>
      </c>
      <c r="H51" s="15">
        <v>3130</v>
      </c>
      <c r="I51" s="15">
        <v>729.64</v>
      </c>
    </row>
    <row r="52" spans="1:9">
      <c r="A52" s="13">
        <v>45140</v>
      </c>
      <c r="B52" s="91">
        <f t="shared" si="0"/>
        <v>2023</v>
      </c>
      <c r="C52" s="15" t="s">
        <v>2113</v>
      </c>
      <c r="D52" s="15" t="s">
        <v>2114</v>
      </c>
      <c r="E52" s="15" t="s">
        <v>2136</v>
      </c>
      <c r="F52" s="15" t="s">
        <v>2116</v>
      </c>
      <c r="G52" s="15" t="s">
        <v>2154</v>
      </c>
      <c r="H52" s="15">
        <v>5355</v>
      </c>
      <c r="I52" s="15">
        <v>906.8</v>
      </c>
    </row>
    <row r="53" spans="1:9">
      <c r="A53" s="13">
        <v>44712</v>
      </c>
      <c r="B53" s="91">
        <f t="shared" si="0"/>
        <v>2022</v>
      </c>
      <c r="C53" s="15" t="s">
        <v>107</v>
      </c>
      <c r="D53" s="15" t="s">
        <v>2114</v>
      </c>
      <c r="E53" s="15" t="s">
        <v>2119</v>
      </c>
      <c r="F53" s="15" t="s">
        <v>2116</v>
      </c>
      <c r="G53" s="15" t="s">
        <v>2117</v>
      </c>
      <c r="H53" s="15">
        <v>2170</v>
      </c>
      <c r="I53" s="15">
        <v>597.70000000000005</v>
      </c>
    </row>
    <row r="54" spans="1:9">
      <c r="A54" s="13">
        <v>44935</v>
      </c>
      <c r="B54" s="91">
        <f t="shared" si="0"/>
        <v>2023</v>
      </c>
      <c r="C54" s="15" t="s">
        <v>2113</v>
      </c>
      <c r="D54" s="15" t="s">
        <v>2148</v>
      </c>
      <c r="E54" s="15" t="s">
        <v>2136</v>
      </c>
      <c r="F54" s="15" t="s">
        <v>2120</v>
      </c>
      <c r="G54" s="15" t="s">
        <v>2132</v>
      </c>
      <c r="H54" s="15">
        <v>2318</v>
      </c>
      <c r="I54" s="15">
        <v>643.86</v>
      </c>
    </row>
    <row r="55" spans="1:9">
      <c r="A55" s="13">
        <v>45424</v>
      </c>
      <c r="B55" s="91">
        <f t="shared" si="0"/>
        <v>2024</v>
      </c>
      <c r="C55" s="15" t="s">
        <v>2141</v>
      </c>
      <c r="D55" s="15" t="s">
        <v>2118</v>
      </c>
      <c r="E55" s="15" t="s">
        <v>2129</v>
      </c>
      <c r="F55" s="15" t="s">
        <v>2120</v>
      </c>
      <c r="G55" s="15" t="s">
        <v>2132</v>
      </c>
      <c r="H55" s="15">
        <v>4759</v>
      </c>
      <c r="I55" s="15">
        <v>1267.3</v>
      </c>
    </row>
    <row r="56" spans="1:9">
      <c r="A56" s="13">
        <v>45554</v>
      </c>
      <c r="B56" s="91">
        <f t="shared" si="0"/>
        <v>2024</v>
      </c>
      <c r="C56" s="15" t="s">
        <v>2113</v>
      </c>
      <c r="D56" s="15" t="s">
        <v>2126</v>
      </c>
      <c r="E56" s="15" t="s">
        <v>2143</v>
      </c>
      <c r="F56" s="15" t="s">
        <v>2116</v>
      </c>
      <c r="G56" s="15" t="s">
        <v>2154</v>
      </c>
      <c r="H56" s="15">
        <v>5489</v>
      </c>
      <c r="I56" s="15">
        <v>1327.5</v>
      </c>
    </row>
    <row r="57" spans="1:9">
      <c r="A57" s="13">
        <v>44909</v>
      </c>
      <c r="B57" s="91">
        <f t="shared" si="0"/>
        <v>2022</v>
      </c>
      <c r="C57" s="15" t="s">
        <v>2141</v>
      </c>
      <c r="D57" s="15" t="s">
        <v>2152</v>
      </c>
      <c r="E57" s="15" t="s">
        <v>2119</v>
      </c>
      <c r="F57" s="15" t="s">
        <v>2124</v>
      </c>
      <c r="G57" s="15" t="s">
        <v>2125</v>
      </c>
      <c r="H57" s="15">
        <v>8822</v>
      </c>
      <c r="I57" s="15">
        <v>1977.73</v>
      </c>
    </row>
    <row r="58" spans="1:9">
      <c r="A58" s="13">
        <v>45337</v>
      </c>
      <c r="B58" s="91">
        <f t="shared" si="0"/>
        <v>2024</v>
      </c>
      <c r="C58" s="15" t="s">
        <v>2113</v>
      </c>
      <c r="D58" s="15" t="s">
        <v>2152</v>
      </c>
      <c r="E58" s="15" t="s">
        <v>2144</v>
      </c>
      <c r="F58" s="15" t="s">
        <v>2138</v>
      </c>
      <c r="G58" s="15" t="s">
        <v>2146</v>
      </c>
      <c r="H58" s="15">
        <v>2789</v>
      </c>
      <c r="I58" s="15">
        <v>572.12</v>
      </c>
    </row>
    <row r="59" spans="1:9">
      <c r="A59" s="13">
        <v>45560</v>
      </c>
      <c r="B59" s="91">
        <f t="shared" si="0"/>
        <v>2024</v>
      </c>
      <c r="C59" s="15" t="s">
        <v>104</v>
      </c>
      <c r="D59" s="15" t="s">
        <v>2152</v>
      </c>
      <c r="E59" s="15" t="s">
        <v>2129</v>
      </c>
      <c r="F59" s="15" t="s">
        <v>2124</v>
      </c>
      <c r="G59" s="15" t="s">
        <v>2130</v>
      </c>
      <c r="H59" s="15">
        <v>4985</v>
      </c>
      <c r="I59" s="15">
        <v>1491.01</v>
      </c>
    </row>
    <row r="60" spans="1:9">
      <c r="A60" s="13">
        <v>44596</v>
      </c>
      <c r="B60" s="91">
        <f t="shared" si="0"/>
        <v>2022</v>
      </c>
      <c r="C60" s="15" t="s">
        <v>107</v>
      </c>
      <c r="D60" s="15" t="s">
        <v>2142</v>
      </c>
      <c r="E60" s="15" t="s">
        <v>2136</v>
      </c>
      <c r="F60" s="15" t="s">
        <v>2138</v>
      </c>
      <c r="G60" s="15" t="s">
        <v>2146</v>
      </c>
      <c r="H60" s="15">
        <v>6677</v>
      </c>
      <c r="I60" s="15">
        <v>1658.42</v>
      </c>
    </row>
    <row r="61" spans="1:9">
      <c r="A61" s="13">
        <v>45055</v>
      </c>
      <c r="B61" s="91">
        <f t="shared" si="0"/>
        <v>2023</v>
      </c>
      <c r="C61" s="15" t="s">
        <v>107</v>
      </c>
      <c r="D61" s="15" t="s">
        <v>2114</v>
      </c>
      <c r="E61" s="15" t="s">
        <v>2119</v>
      </c>
      <c r="F61" s="15" t="s">
        <v>2120</v>
      </c>
      <c r="G61" s="15" t="s">
        <v>2121</v>
      </c>
      <c r="H61" s="15">
        <v>1588</v>
      </c>
      <c r="I61" s="15">
        <v>407.43</v>
      </c>
    </row>
    <row r="62" spans="1:9">
      <c r="A62" s="13">
        <v>45151</v>
      </c>
      <c r="B62" s="91">
        <f t="shared" si="0"/>
        <v>2023</v>
      </c>
      <c r="C62" s="15" t="s">
        <v>2113</v>
      </c>
      <c r="D62" s="15" t="s">
        <v>2142</v>
      </c>
      <c r="E62" s="15" t="s">
        <v>2136</v>
      </c>
      <c r="F62" s="15" t="s">
        <v>2124</v>
      </c>
      <c r="G62" s="15" t="s">
        <v>2125</v>
      </c>
      <c r="H62" s="15">
        <v>3792</v>
      </c>
      <c r="I62" s="15">
        <v>922.84</v>
      </c>
    </row>
    <row r="63" spans="1:9">
      <c r="A63" s="13">
        <v>44825</v>
      </c>
      <c r="B63" s="91">
        <f t="shared" si="0"/>
        <v>2022</v>
      </c>
      <c r="C63" s="15" t="s">
        <v>2113</v>
      </c>
      <c r="D63" s="15" t="s">
        <v>2148</v>
      </c>
      <c r="E63" s="15" t="s">
        <v>2134</v>
      </c>
      <c r="F63" s="15" t="s">
        <v>2124</v>
      </c>
      <c r="G63" s="15" t="s">
        <v>2140</v>
      </c>
      <c r="H63" s="15">
        <v>4504</v>
      </c>
      <c r="I63" s="15">
        <v>1135.06</v>
      </c>
    </row>
    <row r="64" spans="1:9">
      <c r="A64" s="13">
        <v>45413</v>
      </c>
      <c r="B64" s="91">
        <f t="shared" si="0"/>
        <v>2024</v>
      </c>
      <c r="C64" s="15" t="s">
        <v>2113</v>
      </c>
      <c r="D64" s="15" t="s">
        <v>2118</v>
      </c>
      <c r="E64" s="15" t="s">
        <v>2119</v>
      </c>
      <c r="F64" s="15" t="s">
        <v>2116</v>
      </c>
      <c r="G64" s="15" t="s">
        <v>2127</v>
      </c>
      <c r="H64" s="15">
        <v>3353</v>
      </c>
      <c r="I64" s="15">
        <v>699.97</v>
      </c>
    </row>
    <row r="65" spans="1:9">
      <c r="A65" s="13">
        <v>45650</v>
      </c>
      <c r="B65" s="91">
        <f t="shared" si="0"/>
        <v>2024</v>
      </c>
      <c r="C65" s="15" t="s">
        <v>2141</v>
      </c>
      <c r="D65" s="15" t="s">
        <v>2114</v>
      </c>
      <c r="E65" s="15" t="s">
        <v>2115</v>
      </c>
      <c r="F65" s="15" t="s">
        <v>2116</v>
      </c>
      <c r="G65" s="15" t="s">
        <v>2154</v>
      </c>
      <c r="H65" s="15">
        <v>5825</v>
      </c>
      <c r="I65" s="15">
        <v>1336.13</v>
      </c>
    </row>
    <row r="66" spans="1:9">
      <c r="A66" s="13">
        <v>44667</v>
      </c>
      <c r="B66" s="91">
        <f t="shared" si="0"/>
        <v>2022</v>
      </c>
      <c r="C66" s="15" t="s">
        <v>104</v>
      </c>
      <c r="D66" s="15" t="s">
        <v>2128</v>
      </c>
      <c r="E66" s="15" t="s">
        <v>2144</v>
      </c>
      <c r="F66" s="15" t="s">
        <v>2120</v>
      </c>
      <c r="G66" s="15" t="s">
        <v>2132</v>
      </c>
      <c r="H66" s="15">
        <v>4640</v>
      </c>
      <c r="I66" s="15">
        <v>644.03</v>
      </c>
    </row>
    <row r="67" spans="1:9">
      <c r="A67" s="13">
        <v>44885</v>
      </c>
      <c r="B67" s="91">
        <f t="shared" ref="B67:B130" si="3">YEAR(A67)</f>
        <v>2022</v>
      </c>
      <c r="C67" s="15" t="s">
        <v>104</v>
      </c>
      <c r="D67" s="15" t="s">
        <v>2135</v>
      </c>
      <c r="E67" s="15" t="s">
        <v>2119</v>
      </c>
      <c r="F67" s="15" t="s">
        <v>2116</v>
      </c>
      <c r="G67" s="15" t="s">
        <v>2117</v>
      </c>
      <c r="H67" s="15">
        <v>2006</v>
      </c>
      <c r="I67" s="15">
        <v>200.75</v>
      </c>
    </row>
    <row r="68" spans="1:9">
      <c r="A68" s="13">
        <v>45453</v>
      </c>
      <c r="B68" s="91">
        <f t="shared" si="3"/>
        <v>2024</v>
      </c>
      <c r="C68" s="15" t="s">
        <v>2113</v>
      </c>
      <c r="D68" s="15" t="s">
        <v>2142</v>
      </c>
      <c r="E68" s="15" t="s">
        <v>2123</v>
      </c>
      <c r="F68" s="15" t="s">
        <v>2116</v>
      </c>
      <c r="G68" s="15" t="s">
        <v>2154</v>
      </c>
      <c r="H68" s="15">
        <v>9321</v>
      </c>
      <c r="I68" s="15">
        <v>1931.55</v>
      </c>
    </row>
    <row r="69" spans="1:9">
      <c r="A69" s="13">
        <v>45592</v>
      </c>
      <c r="B69" s="91">
        <f t="shared" si="3"/>
        <v>2024</v>
      </c>
      <c r="C69" s="15" t="s">
        <v>2141</v>
      </c>
      <c r="D69" s="15" t="s">
        <v>2126</v>
      </c>
      <c r="E69" s="15" t="s">
        <v>2136</v>
      </c>
      <c r="F69" s="15" t="s">
        <v>2138</v>
      </c>
      <c r="G69" s="15" t="s">
        <v>2146</v>
      </c>
      <c r="H69" s="15">
        <v>2879</v>
      </c>
      <c r="I69" s="15">
        <v>451.07</v>
      </c>
    </row>
    <row r="70" spans="1:9">
      <c r="A70" s="13">
        <v>45064</v>
      </c>
      <c r="B70" s="91">
        <f t="shared" si="3"/>
        <v>2023</v>
      </c>
      <c r="C70" s="15" t="s">
        <v>2141</v>
      </c>
      <c r="D70" s="15" t="s">
        <v>2128</v>
      </c>
      <c r="E70" s="15" t="s">
        <v>2134</v>
      </c>
      <c r="F70" s="15" t="s">
        <v>2138</v>
      </c>
      <c r="G70" s="15" t="s">
        <v>2149</v>
      </c>
      <c r="H70" s="15">
        <v>7716</v>
      </c>
      <c r="I70" s="15">
        <v>2170.14</v>
      </c>
    </row>
    <row r="71" spans="1:9">
      <c r="A71" s="13">
        <v>44660</v>
      </c>
      <c r="B71" s="91">
        <f t="shared" si="3"/>
        <v>2022</v>
      </c>
      <c r="C71" s="15" t="s">
        <v>2141</v>
      </c>
      <c r="D71" s="15" t="s">
        <v>2148</v>
      </c>
      <c r="E71" s="15" t="s">
        <v>2145</v>
      </c>
      <c r="F71" s="15" t="s">
        <v>2120</v>
      </c>
      <c r="G71" s="15" t="s">
        <v>2132</v>
      </c>
      <c r="H71" s="15">
        <v>6706</v>
      </c>
      <c r="I71" s="15">
        <v>1785.55</v>
      </c>
    </row>
    <row r="72" spans="1:9">
      <c r="A72" s="13">
        <v>45590</v>
      </c>
      <c r="B72" s="91">
        <f t="shared" si="3"/>
        <v>2024</v>
      </c>
      <c r="C72" s="15" t="s">
        <v>2113</v>
      </c>
      <c r="D72" s="15" t="s">
        <v>2114</v>
      </c>
      <c r="E72" s="15" t="s">
        <v>2119</v>
      </c>
      <c r="F72" s="15" t="s">
        <v>2138</v>
      </c>
      <c r="G72" s="15" t="s">
        <v>2149</v>
      </c>
      <c r="H72" s="15">
        <v>4591</v>
      </c>
      <c r="I72" s="15">
        <v>1342.58</v>
      </c>
    </row>
    <row r="73" spans="1:9">
      <c r="A73" s="13">
        <v>44724</v>
      </c>
      <c r="B73" s="91">
        <f t="shared" si="3"/>
        <v>2022</v>
      </c>
      <c r="C73" s="15" t="s">
        <v>2141</v>
      </c>
      <c r="D73" s="15" t="s">
        <v>2152</v>
      </c>
      <c r="E73" s="15" t="s">
        <v>2123</v>
      </c>
      <c r="F73" s="15" t="s">
        <v>2138</v>
      </c>
      <c r="G73" s="15" t="s">
        <v>2139</v>
      </c>
      <c r="H73" s="15">
        <v>7937</v>
      </c>
      <c r="I73" s="15">
        <v>1758.66</v>
      </c>
    </row>
    <row r="74" spans="1:9">
      <c r="A74" s="13">
        <v>44853</v>
      </c>
      <c r="B74" s="91">
        <f t="shared" si="3"/>
        <v>2022</v>
      </c>
      <c r="C74" s="15" t="s">
        <v>104</v>
      </c>
      <c r="D74" s="15" t="s">
        <v>2131</v>
      </c>
      <c r="E74" s="15" t="s">
        <v>2123</v>
      </c>
      <c r="F74" s="15" t="s">
        <v>2116</v>
      </c>
      <c r="G74" s="15" t="s">
        <v>2127</v>
      </c>
      <c r="H74" s="15">
        <v>6930</v>
      </c>
      <c r="I74" s="15">
        <v>2031.44</v>
      </c>
    </row>
    <row r="75" spans="1:9">
      <c r="A75" s="13">
        <v>44692</v>
      </c>
      <c r="B75" s="91">
        <f t="shared" si="3"/>
        <v>2022</v>
      </c>
      <c r="C75" s="15" t="s">
        <v>2113</v>
      </c>
      <c r="D75" s="15" t="s">
        <v>2142</v>
      </c>
      <c r="E75" s="15" t="s">
        <v>2129</v>
      </c>
      <c r="F75" s="15" t="s">
        <v>2120</v>
      </c>
      <c r="G75" s="15" t="s">
        <v>2132</v>
      </c>
      <c r="H75" s="15">
        <v>8473</v>
      </c>
      <c r="I75" s="15">
        <v>2429.86</v>
      </c>
    </row>
    <row r="76" spans="1:9">
      <c r="A76" s="13">
        <v>45106</v>
      </c>
      <c r="B76" s="91">
        <f t="shared" si="3"/>
        <v>2023</v>
      </c>
      <c r="C76" s="15" t="s">
        <v>2141</v>
      </c>
      <c r="D76" s="15" t="s">
        <v>2114</v>
      </c>
      <c r="E76" s="15" t="s">
        <v>2123</v>
      </c>
      <c r="F76" s="15" t="s">
        <v>2116</v>
      </c>
      <c r="G76" s="15" t="s">
        <v>2127</v>
      </c>
      <c r="H76" s="15">
        <v>7013</v>
      </c>
      <c r="I76" s="15">
        <v>1237.82</v>
      </c>
    </row>
    <row r="77" spans="1:9">
      <c r="A77" s="13">
        <v>45504</v>
      </c>
      <c r="B77" s="91">
        <f t="shared" si="3"/>
        <v>2024</v>
      </c>
      <c r="C77" s="15" t="s">
        <v>2141</v>
      </c>
      <c r="D77" s="15" t="s">
        <v>2153</v>
      </c>
      <c r="E77" s="15" t="s">
        <v>2129</v>
      </c>
      <c r="F77" s="15" t="s">
        <v>2116</v>
      </c>
      <c r="G77" s="15" t="s">
        <v>2154</v>
      </c>
      <c r="H77" s="15">
        <v>7974</v>
      </c>
      <c r="I77" s="15">
        <v>931.78</v>
      </c>
    </row>
    <row r="78" spans="1:9">
      <c r="A78" s="13">
        <v>45330</v>
      </c>
      <c r="B78" s="91">
        <f t="shared" si="3"/>
        <v>2024</v>
      </c>
      <c r="C78" s="15" t="s">
        <v>2113</v>
      </c>
      <c r="D78" s="15" t="s">
        <v>2128</v>
      </c>
      <c r="E78" s="15" t="s">
        <v>2123</v>
      </c>
      <c r="F78" s="15" t="s">
        <v>2138</v>
      </c>
      <c r="G78" s="15" t="s">
        <v>2139</v>
      </c>
      <c r="H78" s="15">
        <v>1318</v>
      </c>
      <c r="I78" s="15">
        <v>203.75</v>
      </c>
    </row>
    <row r="79" spans="1:9">
      <c r="A79" s="13">
        <v>45435</v>
      </c>
      <c r="B79" s="91">
        <f t="shared" si="3"/>
        <v>2024</v>
      </c>
      <c r="C79" s="15" t="s">
        <v>2113</v>
      </c>
      <c r="D79" s="15" t="s">
        <v>2126</v>
      </c>
      <c r="E79" s="15" t="s">
        <v>2119</v>
      </c>
      <c r="F79" s="15" t="s">
        <v>2116</v>
      </c>
      <c r="G79" s="15" t="s">
        <v>2127</v>
      </c>
      <c r="H79" s="15">
        <v>5879</v>
      </c>
      <c r="I79" s="15">
        <v>1250.23</v>
      </c>
    </row>
    <row r="80" spans="1:9">
      <c r="A80" s="13">
        <v>45214</v>
      </c>
      <c r="B80" s="91">
        <f t="shared" si="3"/>
        <v>2023</v>
      </c>
      <c r="C80" s="15" t="s">
        <v>104</v>
      </c>
      <c r="D80" s="15" t="s">
        <v>2128</v>
      </c>
      <c r="E80" s="15" t="s">
        <v>2123</v>
      </c>
      <c r="F80" s="15" t="s">
        <v>2116</v>
      </c>
      <c r="G80" s="15" t="s">
        <v>2127</v>
      </c>
      <c r="H80" s="15">
        <v>2944</v>
      </c>
      <c r="I80" s="15">
        <v>472.47</v>
      </c>
    </row>
    <row r="81" spans="1:9">
      <c r="A81" s="13">
        <v>45512</v>
      </c>
      <c r="B81" s="91">
        <f t="shared" si="3"/>
        <v>2024</v>
      </c>
      <c r="C81" s="15" t="s">
        <v>2141</v>
      </c>
      <c r="D81" s="15" t="s">
        <v>2118</v>
      </c>
      <c r="E81" s="15" t="s">
        <v>2129</v>
      </c>
      <c r="F81" s="15" t="s">
        <v>2116</v>
      </c>
      <c r="G81" s="15" t="s">
        <v>2127</v>
      </c>
      <c r="H81" s="15">
        <v>8310</v>
      </c>
      <c r="I81" s="15">
        <v>2325.64</v>
      </c>
    </row>
    <row r="82" spans="1:9">
      <c r="A82" s="13">
        <v>44626</v>
      </c>
      <c r="B82" s="91">
        <f t="shared" si="3"/>
        <v>2022</v>
      </c>
      <c r="C82" s="15" t="s">
        <v>2113</v>
      </c>
      <c r="D82" s="15" t="s">
        <v>2118</v>
      </c>
      <c r="E82" s="15" t="s">
        <v>2123</v>
      </c>
      <c r="F82" s="15" t="s">
        <v>2138</v>
      </c>
      <c r="G82" s="15" t="s">
        <v>2139</v>
      </c>
      <c r="H82" s="15">
        <v>1020</v>
      </c>
      <c r="I82" s="15">
        <v>210.67</v>
      </c>
    </row>
    <row r="83" spans="1:9">
      <c r="A83" s="13">
        <v>45260</v>
      </c>
      <c r="B83" s="91">
        <f t="shared" si="3"/>
        <v>2023</v>
      </c>
      <c r="C83" s="15" t="s">
        <v>104</v>
      </c>
      <c r="D83" s="15" t="s">
        <v>2135</v>
      </c>
      <c r="E83" s="15" t="s">
        <v>2136</v>
      </c>
      <c r="F83" s="15" t="s">
        <v>2138</v>
      </c>
      <c r="G83" s="15" t="s">
        <v>2139</v>
      </c>
      <c r="H83" s="15">
        <v>8026</v>
      </c>
      <c r="I83" s="15">
        <v>1374.94</v>
      </c>
    </row>
    <row r="84" spans="1:9">
      <c r="A84" s="13">
        <v>44986</v>
      </c>
      <c r="B84" s="91">
        <f t="shared" si="3"/>
        <v>2023</v>
      </c>
      <c r="C84" s="15" t="s">
        <v>2113</v>
      </c>
      <c r="D84" s="15" t="s">
        <v>2142</v>
      </c>
      <c r="E84" s="15" t="s">
        <v>2143</v>
      </c>
      <c r="F84" s="15" t="s">
        <v>2138</v>
      </c>
      <c r="G84" s="15" t="s">
        <v>2149</v>
      </c>
      <c r="H84" s="15">
        <v>3505</v>
      </c>
      <c r="I84" s="15">
        <v>1043.29</v>
      </c>
    </row>
    <row r="85" spans="1:9">
      <c r="A85" s="13">
        <v>45185</v>
      </c>
      <c r="B85" s="91">
        <f t="shared" si="3"/>
        <v>2023</v>
      </c>
      <c r="C85" s="15" t="s">
        <v>2141</v>
      </c>
      <c r="D85" s="15" t="s">
        <v>2135</v>
      </c>
      <c r="E85" s="15" t="s">
        <v>2123</v>
      </c>
      <c r="F85" s="15" t="s">
        <v>2116</v>
      </c>
      <c r="G85" s="15" t="s">
        <v>2117</v>
      </c>
      <c r="H85" s="15">
        <v>6320</v>
      </c>
      <c r="I85" s="15">
        <v>1225.3</v>
      </c>
    </row>
    <row r="86" spans="1:9">
      <c r="A86" s="13">
        <v>45354</v>
      </c>
      <c r="B86" s="91">
        <f t="shared" si="3"/>
        <v>2024</v>
      </c>
      <c r="C86" s="15" t="s">
        <v>104</v>
      </c>
      <c r="D86" s="15" t="s">
        <v>2135</v>
      </c>
      <c r="E86" s="15" t="s">
        <v>2119</v>
      </c>
      <c r="F86" s="15" t="s">
        <v>2116</v>
      </c>
      <c r="G86" s="15" t="s">
        <v>2154</v>
      </c>
      <c r="H86" s="15">
        <v>3443</v>
      </c>
      <c r="I86" s="15">
        <v>472.17</v>
      </c>
    </row>
    <row r="87" spans="1:9">
      <c r="A87" s="13">
        <v>45189</v>
      </c>
      <c r="B87" s="91">
        <f t="shared" si="3"/>
        <v>2023</v>
      </c>
      <c r="C87" s="15" t="s">
        <v>104</v>
      </c>
      <c r="D87" s="15" t="s">
        <v>2114</v>
      </c>
      <c r="E87" s="15" t="s">
        <v>2145</v>
      </c>
      <c r="F87" s="15" t="s">
        <v>2120</v>
      </c>
      <c r="G87" s="15" t="s">
        <v>2133</v>
      </c>
      <c r="H87" s="15">
        <v>8212</v>
      </c>
      <c r="I87" s="15">
        <v>1965.68</v>
      </c>
    </row>
    <row r="88" spans="1:9">
      <c r="A88" s="13">
        <v>45377</v>
      </c>
      <c r="B88" s="91">
        <f t="shared" si="3"/>
        <v>2024</v>
      </c>
      <c r="C88" s="15" t="s">
        <v>2113</v>
      </c>
      <c r="D88" s="15" t="s">
        <v>2153</v>
      </c>
      <c r="E88" s="15" t="s">
        <v>2123</v>
      </c>
      <c r="F88" s="15" t="s">
        <v>2138</v>
      </c>
      <c r="G88" s="15" t="s">
        <v>2139</v>
      </c>
      <c r="H88" s="15">
        <v>4402</v>
      </c>
      <c r="I88" s="15">
        <v>1221.23</v>
      </c>
    </row>
    <row r="89" spans="1:9">
      <c r="A89" s="13">
        <v>45154</v>
      </c>
      <c r="B89" s="91">
        <f t="shared" si="3"/>
        <v>2023</v>
      </c>
      <c r="C89" s="15" t="s">
        <v>107</v>
      </c>
      <c r="D89" s="15" t="s">
        <v>2153</v>
      </c>
      <c r="E89" s="15" t="s">
        <v>2119</v>
      </c>
      <c r="F89" s="15" t="s">
        <v>2124</v>
      </c>
      <c r="G89" s="15" t="s">
        <v>2140</v>
      </c>
      <c r="H89" s="15">
        <v>4961</v>
      </c>
      <c r="I89" s="15">
        <v>929.8</v>
      </c>
    </row>
    <row r="90" spans="1:9">
      <c r="A90" s="13">
        <v>44775</v>
      </c>
      <c r="B90" s="91">
        <f t="shared" si="3"/>
        <v>2022</v>
      </c>
      <c r="C90" s="15" t="s">
        <v>2141</v>
      </c>
      <c r="D90" s="15" t="s">
        <v>2135</v>
      </c>
      <c r="E90" s="15" t="s">
        <v>2129</v>
      </c>
      <c r="F90" s="15" t="s">
        <v>2124</v>
      </c>
      <c r="G90" s="15" t="s">
        <v>2125</v>
      </c>
      <c r="H90" s="15">
        <v>7849</v>
      </c>
      <c r="I90" s="15">
        <v>1362.7</v>
      </c>
    </row>
    <row r="91" spans="1:9">
      <c r="A91" s="13">
        <v>44597</v>
      </c>
      <c r="B91" s="91">
        <f t="shared" si="3"/>
        <v>2022</v>
      </c>
      <c r="C91" s="15" t="s">
        <v>104</v>
      </c>
      <c r="D91" s="15" t="s">
        <v>2148</v>
      </c>
      <c r="E91" s="15" t="s">
        <v>2144</v>
      </c>
      <c r="F91" s="15" t="s">
        <v>2120</v>
      </c>
      <c r="G91" s="15" t="s">
        <v>2121</v>
      </c>
      <c r="H91" s="15">
        <v>3757</v>
      </c>
      <c r="I91" s="15">
        <v>1034.79</v>
      </c>
    </row>
    <row r="92" spans="1:9">
      <c r="A92" s="13">
        <v>45595</v>
      </c>
      <c r="B92" s="91">
        <f t="shared" si="3"/>
        <v>2024</v>
      </c>
      <c r="C92" s="15" t="s">
        <v>2141</v>
      </c>
      <c r="D92" s="15" t="s">
        <v>2148</v>
      </c>
      <c r="E92" s="15" t="s">
        <v>2136</v>
      </c>
      <c r="F92" s="15" t="s">
        <v>2138</v>
      </c>
      <c r="G92" s="15" t="s">
        <v>2146</v>
      </c>
      <c r="H92" s="15">
        <v>6369</v>
      </c>
      <c r="I92" s="15">
        <v>855.51</v>
      </c>
    </row>
    <row r="93" spans="1:9">
      <c r="A93" s="13">
        <v>45015</v>
      </c>
      <c r="B93" s="91">
        <f t="shared" si="3"/>
        <v>2023</v>
      </c>
      <c r="C93" s="15" t="s">
        <v>2113</v>
      </c>
      <c r="D93" s="15" t="s">
        <v>2148</v>
      </c>
      <c r="E93" s="15" t="s">
        <v>2151</v>
      </c>
      <c r="F93" s="15" t="s">
        <v>2138</v>
      </c>
      <c r="G93" s="15" t="s">
        <v>2149</v>
      </c>
      <c r="H93" s="15">
        <v>1077</v>
      </c>
      <c r="I93" s="15">
        <v>235.02</v>
      </c>
    </row>
    <row r="94" spans="1:9">
      <c r="A94" s="13">
        <v>45073</v>
      </c>
      <c r="B94" s="91">
        <f t="shared" si="3"/>
        <v>2023</v>
      </c>
      <c r="C94" s="15" t="s">
        <v>104</v>
      </c>
      <c r="D94" s="15" t="s">
        <v>2114</v>
      </c>
      <c r="E94" s="15" t="s">
        <v>2115</v>
      </c>
      <c r="F94" s="15" t="s">
        <v>2138</v>
      </c>
      <c r="G94" s="15" t="s">
        <v>2139</v>
      </c>
      <c r="H94" s="15">
        <v>8921</v>
      </c>
      <c r="I94" s="15">
        <v>2264.5300000000002</v>
      </c>
    </row>
    <row r="95" spans="1:9">
      <c r="A95" s="13">
        <v>44759</v>
      </c>
      <c r="B95" s="91">
        <f t="shared" si="3"/>
        <v>2022</v>
      </c>
      <c r="C95" s="15" t="s">
        <v>2141</v>
      </c>
      <c r="D95" s="15" t="s">
        <v>2135</v>
      </c>
      <c r="E95" s="15" t="s">
        <v>2144</v>
      </c>
      <c r="F95" s="15" t="s">
        <v>2124</v>
      </c>
      <c r="G95" s="15" t="s">
        <v>2125</v>
      </c>
      <c r="H95" s="15">
        <v>3945</v>
      </c>
      <c r="I95" s="15">
        <v>513.78</v>
      </c>
    </row>
    <row r="96" spans="1:9">
      <c r="A96" s="13">
        <v>44643</v>
      </c>
      <c r="B96" s="91">
        <f t="shared" si="3"/>
        <v>2022</v>
      </c>
      <c r="C96" s="15" t="s">
        <v>2141</v>
      </c>
      <c r="D96" s="15" t="s">
        <v>2152</v>
      </c>
      <c r="E96" s="15" t="s">
        <v>2115</v>
      </c>
      <c r="F96" s="15" t="s">
        <v>2138</v>
      </c>
      <c r="G96" s="15" t="s">
        <v>2146</v>
      </c>
      <c r="H96" s="15">
        <v>1314</v>
      </c>
      <c r="I96" s="15">
        <v>153.69999999999999</v>
      </c>
    </row>
    <row r="97" spans="1:9">
      <c r="A97" s="13">
        <v>44581</v>
      </c>
      <c r="B97" s="91">
        <f t="shared" si="3"/>
        <v>2022</v>
      </c>
      <c r="C97" s="15" t="s">
        <v>2141</v>
      </c>
      <c r="D97" s="15" t="s">
        <v>2114</v>
      </c>
      <c r="E97" s="15" t="s">
        <v>2143</v>
      </c>
      <c r="F97" s="15" t="s">
        <v>2120</v>
      </c>
      <c r="G97" s="15" t="s">
        <v>2132</v>
      </c>
      <c r="H97" s="15">
        <v>4438</v>
      </c>
      <c r="I97" s="15">
        <v>925.92</v>
      </c>
    </row>
    <row r="98" spans="1:9">
      <c r="A98" s="13">
        <v>45608</v>
      </c>
      <c r="B98" s="91">
        <f t="shared" si="3"/>
        <v>2024</v>
      </c>
      <c r="C98" s="15" t="s">
        <v>104</v>
      </c>
      <c r="D98" s="15" t="s">
        <v>2142</v>
      </c>
      <c r="E98" s="15" t="s">
        <v>2115</v>
      </c>
      <c r="F98" s="15" t="s">
        <v>2124</v>
      </c>
      <c r="G98" s="15" t="s">
        <v>2140</v>
      </c>
      <c r="H98" s="15">
        <v>8044</v>
      </c>
      <c r="I98" s="15">
        <v>1099.48</v>
      </c>
    </row>
    <row r="99" spans="1:9">
      <c r="A99" s="13">
        <v>45301</v>
      </c>
      <c r="B99" s="91">
        <f t="shared" si="3"/>
        <v>2024</v>
      </c>
      <c r="C99" s="15" t="s">
        <v>2141</v>
      </c>
      <c r="D99" s="15" t="s">
        <v>2131</v>
      </c>
      <c r="E99" s="15" t="s">
        <v>2151</v>
      </c>
      <c r="F99" s="15" t="s">
        <v>2138</v>
      </c>
      <c r="G99" s="15" t="s">
        <v>2146</v>
      </c>
      <c r="H99" s="15">
        <v>8780</v>
      </c>
      <c r="I99" s="15">
        <v>2458.0100000000002</v>
      </c>
    </row>
    <row r="100" spans="1:9">
      <c r="A100" s="13">
        <v>45044</v>
      </c>
      <c r="B100" s="91">
        <f t="shared" si="3"/>
        <v>2023</v>
      </c>
      <c r="C100" s="15" t="s">
        <v>2113</v>
      </c>
      <c r="D100" s="15" t="s">
        <v>2135</v>
      </c>
      <c r="E100" s="15" t="s">
        <v>2136</v>
      </c>
      <c r="F100" s="15" t="s">
        <v>2116</v>
      </c>
      <c r="G100" s="15" t="s">
        <v>2154</v>
      </c>
      <c r="H100" s="15">
        <v>7658</v>
      </c>
      <c r="I100" s="15">
        <v>1459.45</v>
      </c>
    </row>
    <row r="101" spans="1:9">
      <c r="A101" s="13">
        <v>45458</v>
      </c>
      <c r="B101" s="91">
        <f t="shared" si="3"/>
        <v>2024</v>
      </c>
      <c r="C101" s="15" t="s">
        <v>2113</v>
      </c>
      <c r="D101" s="15" t="s">
        <v>2128</v>
      </c>
      <c r="E101" s="15" t="s">
        <v>2123</v>
      </c>
      <c r="F101" s="15" t="s">
        <v>2116</v>
      </c>
      <c r="G101" s="15" t="s">
        <v>2117</v>
      </c>
      <c r="H101" s="15">
        <v>1555</v>
      </c>
      <c r="I101" s="15">
        <v>271.3</v>
      </c>
    </row>
    <row r="102" spans="1:9">
      <c r="A102" s="13">
        <v>45071</v>
      </c>
      <c r="B102" s="91">
        <f t="shared" si="3"/>
        <v>2023</v>
      </c>
      <c r="C102" s="15" t="s">
        <v>2113</v>
      </c>
      <c r="D102" s="15" t="s">
        <v>2148</v>
      </c>
      <c r="E102" s="15" t="s">
        <v>2129</v>
      </c>
      <c r="F102" s="15" t="s">
        <v>2120</v>
      </c>
      <c r="G102" s="15" t="s">
        <v>2132</v>
      </c>
      <c r="H102" s="15">
        <v>8767</v>
      </c>
      <c r="I102" s="15">
        <v>2401.3000000000002</v>
      </c>
    </row>
    <row r="103" spans="1:9">
      <c r="A103" s="13">
        <v>44984</v>
      </c>
      <c r="B103" s="91">
        <f t="shared" si="3"/>
        <v>2023</v>
      </c>
      <c r="C103" s="15" t="s">
        <v>2141</v>
      </c>
      <c r="D103" s="15" t="s">
        <v>2131</v>
      </c>
      <c r="E103" s="15" t="s">
        <v>2143</v>
      </c>
      <c r="F103" s="15" t="s">
        <v>2120</v>
      </c>
      <c r="G103" s="15" t="s">
        <v>2121</v>
      </c>
      <c r="H103" s="15">
        <v>8606</v>
      </c>
      <c r="I103" s="15">
        <v>1373.92</v>
      </c>
    </row>
    <row r="104" spans="1:9">
      <c r="A104" s="13">
        <v>44889</v>
      </c>
      <c r="B104" s="91">
        <f t="shared" si="3"/>
        <v>2022</v>
      </c>
      <c r="C104" s="15" t="s">
        <v>2141</v>
      </c>
      <c r="D104" s="15" t="s">
        <v>2152</v>
      </c>
      <c r="E104" s="15" t="s">
        <v>2151</v>
      </c>
      <c r="F104" s="15" t="s">
        <v>2116</v>
      </c>
      <c r="G104" s="15" t="s">
        <v>2127</v>
      </c>
      <c r="H104" s="15">
        <v>6870</v>
      </c>
      <c r="I104" s="15">
        <v>711.51</v>
      </c>
    </row>
    <row r="105" spans="1:9">
      <c r="A105" s="13">
        <v>45223</v>
      </c>
      <c r="B105" s="91">
        <f t="shared" si="3"/>
        <v>2023</v>
      </c>
      <c r="C105" s="15" t="s">
        <v>2113</v>
      </c>
      <c r="D105" s="15" t="s">
        <v>2148</v>
      </c>
      <c r="E105" s="15" t="s">
        <v>2151</v>
      </c>
      <c r="F105" s="15" t="s">
        <v>2116</v>
      </c>
      <c r="G105" s="15" t="s">
        <v>2117</v>
      </c>
      <c r="H105" s="15">
        <v>4289</v>
      </c>
      <c r="I105" s="15">
        <v>1055.9000000000001</v>
      </c>
    </row>
    <row r="106" spans="1:9">
      <c r="A106" s="13">
        <v>45493</v>
      </c>
      <c r="B106" s="91">
        <f t="shared" si="3"/>
        <v>2024</v>
      </c>
      <c r="C106" s="15" t="s">
        <v>2113</v>
      </c>
      <c r="D106" s="15" t="s">
        <v>2128</v>
      </c>
      <c r="E106" s="15" t="s">
        <v>2134</v>
      </c>
      <c r="F106" s="15" t="s">
        <v>2120</v>
      </c>
      <c r="G106" s="15" t="s">
        <v>2121</v>
      </c>
      <c r="H106" s="15">
        <v>1127</v>
      </c>
      <c r="I106" s="15">
        <v>304.72000000000003</v>
      </c>
    </row>
    <row r="107" spans="1:9">
      <c r="A107" s="13">
        <v>45082</v>
      </c>
      <c r="B107" s="91">
        <f t="shared" si="3"/>
        <v>2023</v>
      </c>
      <c r="C107" s="15" t="s">
        <v>104</v>
      </c>
      <c r="D107" s="15" t="s">
        <v>2128</v>
      </c>
      <c r="E107" s="15" t="s">
        <v>2129</v>
      </c>
      <c r="F107" s="15" t="s">
        <v>2120</v>
      </c>
      <c r="G107" s="15" t="s">
        <v>2133</v>
      </c>
      <c r="H107" s="15">
        <v>6432</v>
      </c>
      <c r="I107" s="15">
        <v>1304.73</v>
      </c>
    </row>
    <row r="108" spans="1:9">
      <c r="A108" s="13">
        <v>44724</v>
      </c>
      <c r="B108" s="91">
        <f t="shared" si="3"/>
        <v>2022</v>
      </c>
      <c r="C108" s="15" t="s">
        <v>104</v>
      </c>
      <c r="D108" s="15" t="s">
        <v>2135</v>
      </c>
      <c r="E108" s="15" t="s">
        <v>2115</v>
      </c>
      <c r="F108" s="15" t="s">
        <v>2138</v>
      </c>
      <c r="G108" s="15" t="s">
        <v>2149</v>
      </c>
      <c r="H108" s="15">
        <v>9476</v>
      </c>
      <c r="I108" s="15">
        <v>2081.61</v>
      </c>
    </row>
    <row r="109" spans="1:9">
      <c r="A109" s="13">
        <v>45294</v>
      </c>
      <c r="B109" s="91">
        <f t="shared" si="3"/>
        <v>2024</v>
      </c>
      <c r="C109" s="15" t="s">
        <v>107</v>
      </c>
      <c r="D109" s="15" t="s">
        <v>2118</v>
      </c>
      <c r="E109" s="15" t="s">
        <v>2143</v>
      </c>
      <c r="F109" s="15" t="s">
        <v>2116</v>
      </c>
      <c r="G109" s="15" t="s">
        <v>2127</v>
      </c>
      <c r="H109" s="15">
        <v>1991</v>
      </c>
      <c r="I109" s="15">
        <v>339.05</v>
      </c>
    </row>
    <row r="110" spans="1:9">
      <c r="A110" s="13">
        <v>45400</v>
      </c>
      <c r="B110" s="91">
        <f t="shared" si="3"/>
        <v>2024</v>
      </c>
      <c r="C110" s="15" t="s">
        <v>2141</v>
      </c>
      <c r="D110" s="15" t="s">
        <v>2152</v>
      </c>
      <c r="E110" s="15" t="s">
        <v>2144</v>
      </c>
      <c r="F110" s="15" t="s">
        <v>2120</v>
      </c>
      <c r="G110" s="15" t="s">
        <v>2121</v>
      </c>
      <c r="H110" s="15">
        <v>5369</v>
      </c>
      <c r="I110" s="15">
        <v>1361.53</v>
      </c>
    </row>
    <row r="111" spans="1:9">
      <c r="A111" s="13">
        <v>45584</v>
      </c>
      <c r="B111" s="91">
        <f t="shared" si="3"/>
        <v>2024</v>
      </c>
      <c r="C111" s="15" t="s">
        <v>104</v>
      </c>
      <c r="D111" s="15" t="s">
        <v>2152</v>
      </c>
      <c r="E111" s="15" t="s">
        <v>2143</v>
      </c>
      <c r="F111" s="15" t="s">
        <v>2116</v>
      </c>
      <c r="G111" s="15" t="s">
        <v>2154</v>
      </c>
      <c r="H111" s="15">
        <v>8478</v>
      </c>
      <c r="I111" s="15">
        <v>1666.02</v>
      </c>
    </row>
    <row r="112" spans="1:9">
      <c r="A112" s="13">
        <v>44629</v>
      </c>
      <c r="B112" s="91">
        <f t="shared" si="3"/>
        <v>2022</v>
      </c>
      <c r="C112" s="15" t="s">
        <v>2141</v>
      </c>
      <c r="D112" s="15" t="s">
        <v>2152</v>
      </c>
      <c r="E112" s="15" t="s">
        <v>2119</v>
      </c>
      <c r="F112" s="15" t="s">
        <v>2124</v>
      </c>
      <c r="G112" s="15" t="s">
        <v>2140</v>
      </c>
      <c r="H112" s="15">
        <v>8780</v>
      </c>
      <c r="I112" s="15">
        <v>1297.46</v>
      </c>
    </row>
    <row r="113" spans="1:9">
      <c r="A113" s="13">
        <v>44734</v>
      </c>
      <c r="B113" s="91">
        <f t="shared" si="3"/>
        <v>2022</v>
      </c>
      <c r="C113" s="15" t="s">
        <v>107</v>
      </c>
      <c r="D113" s="15" t="s">
        <v>2135</v>
      </c>
      <c r="E113" s="15" t="s">
        <v>2134</v>
      </c>
      <c r="F113" s="15" t="s">
        <v>2116</v>
      </c>
      <c r="G113" s="15" t="s">
        <v>2154</v>
      </c>
      <c r="H113" s="15">
        <v>6780</v>
      </c>
      <c r="I113" s="15">
        <v>1504.53</v>
      </c>
    </row>
    <row r="114" spans="1:9">
      <c r="A114" s="13">
        <v>45485</v>
      </c>
      <c r="B114" s="91">
        <f t="shared" si="3"/>
        <v>2024</v>
      </c>
      <c r="C114" s="15" t="s">
        <v>2113</v>
      </c>
      <c r="D114" s="15" t="s">
        <v>2142</v>
      </c>
      <c r="E114" s="15" t="s">
        <v>2115</v>
      </c>
      <c r="F114" s="15" t="s">
        <v>2138</v>
      </c>
      <c r="G114" s="15" t="s">
        <v>2149</v>
      </c>
      <c r="H114" s="15">
        <v>6389</v>
      </c>
      <c r="I114" s="15">
        <v>1391.19</v>
      </c>
    </row>
    <row r="115" spans="1:9">
      <c r="A115" s="13">
        <v>45338</v>
      </c>
      <c r="B115" s="91">
        <f t="shared" si="3"/>
        <v>2024</v>
      </c>
      <c r="C115" s="15" t="s">
        <v>2141</v>
      </c>
      <c r="D115" s="15" t="s">
        <v>2131</v>
      </c>
      <c r="E115" s="15" t="s">
        <v>2115</v>
      </c>
      <c r="F115" s="15" t="s">
        <v>2116</v>
      </c>
      <c r="G115" s="15" t="s">
        <v>2127</v>
      </c>
      <c r="H115" s="15">
        <v>8247</v>
      </c>
      <c r="I115" s="15">
        <v>1147.5899999999999</v>
      </c>
    </row>
    <row r="116" spans="1:9">
      <c r="A116" s="13">
        <v>44865</v>
      </c>
      <c r="B116" s="91">
        <f t="shared" si="3"/>
        <v>2022</v>
      </c>
      <c r="C116" s="15" t="s">
        <v>107</v>
      </c>
      <c r="D116" s="15" t="s">
        <v>2126</v>
      </c>
      <c r="E116" s="15" t="s">
        <v>2144</v>
      </c>
      <c r="F116" s="15" t="s">
        <v>2120</v>
      </c>
      <c r="G116" s="15" t="s">
        <v>2121</v>
      </c>
      <c r="H116" s="15">
        <v>6754</v>
      </c>
      <c r="I116" s="15">
        <v>2006.01</v>
      </c>
    </row>
    <row r="117" spans="1:9">
      <c r="A117" s="13">
        <v>45042</v>
      </c>
      <c r="B117" s="91">
        <f t="shared" si="3"/>
        <v>2023</v>
      </c>
      <c r="C117" s="15" t="s">
        <v>2113</v>
      </c>
      <c r="D117" s="15" t="s">
        <v>2152</v>
      </c>
      <c r="E117" s="15" t="s">
        <v>2145</v>
      </c>
      <c r="F117" s="15" t="s">
        <v>2116</v>
      </c>
      <c r="G117" s="15" t="s">
        <v>2154</v>
      </c>
      <c r="H117" s="15">
        <v>1160</v>
      </c>
      <c r="I117" s="15">
        <v>265.16000000000003</v>
      </c>
    </row>
    <row r="118" spans="1:9">
      <c r="A118" s="13">
        <v>44781</v>
      </c>
      <c r="B118" s="91">
        <f t="shared" si="3"/>
        <v>2022</v>
      </c>
      <c r="C118" s="15" t="s">
        <v>2141</v>
      </c>
      <c r="D118" s="15" t="s">
        <v>2128</v>
      </c>
      <c r="E118" s="15" t="s">
        <v>2136</v>
      </c>
      <c r="F118" s="15" t="s">
        <v>2116</v>
      </c>
      <c r="G118" s="15" t="s">
        <v>2127</v>
      </c>
      <c r="H118" s="15">
        <v>7847</v>
      </c>
      <c r="I118" s="15">
        <v>1961.51</v>
      </c>
    </row>
    <row r="119" spans="1:9">
      <c r="A119" s="13">
        <v>45401</v>
      </c>
      <c r="B119" s="91">
        <f t="shared" si="3"/>
        <v>2024</v>
      </c>
      <c r="C119" s="15" t="s">
        <v>2141</v>
      </c>
      <c r="D119" s="15" t="s">
        <v>2126</v>
      </c>
      <c r="E119" s="15" t="s">
        <v>2143</v>
      </c>
      <c r="F119" s="15" t="s">
        <v>2116</v>
      </c>
      <c r="G119" s="15" t="s">
        <v>2117</v>
      </c>
      <c r="H119" s="15">
        <v>3635</v>
      </c>
      <c r="I119" s="15">
        <v>1000.87</v>
      </c>
    </row>
    <row r="120" spans="1:9">
      <c r="A120" s="13">
        <v>45130</v>
      </c>
      <c r="B120" s="91">
        <f t="shared" si="3"/>
        <v>2023</v>
      </c>
      <c r="C120" s="15" t="s">
        <v>2141</v>
      </c>
      <c r="D120" s="15" t="s">
        <v>2128</v>
      </c>
      <c r="E120" s="15" t="s">
        <v>2143</v>
      </c>
      <c r="F120" s="15" t="s">
        <v>2120</v>
      </c>
      <c r="G120" s="15" t="s">
        <v>2133</v>
      </c>
      <c r="H120" s="15">
        <v>8926</v>
      </c>
      <c r="I120" s="15">
        <v>2243.33</v>
      </c>
    </row>
    <row r="121" spans="1:9">
      <c r="A121" s="13">
        <v>44891</v>
      </c>
      <c r="B121" s="91">
        <f t="shared" si="3"/>
        <v>2022</v>
      </c>
      <c r="C121" s="15" t="s">
        <v>107</v>
      </c>
      <c r="D121" s="15" t="s">
        <v>2153</v>
      </c>
      <c r="E121" s="15" t="s">
        <v>2145</v>
      </c>
      <c r="F121" s="15" t="s">
        <v>2120</v>
      </c>
      <c r="G121" s="15" t="s">
        <v>2133</v>
      </c>
      <c r="H121" s="15">
        <v>8184</v>
      </c>
      <c r="I121" s="15">
        <v>1614.19</v>
      </c>
    </row>
    <row r="122" spans="1:9">
      <c r="A122" s="13">
        <v>44609</v>
      </c>
      <c r="B122" s="91">
        <f t="shared" si="3"/>
        <v>2022</v>
      </c>
      <c r="C122" s="15" t="s">
        <v>107</v>
      </c>
      <c r="D122" s="15" t="s">
        <v>2118</v>
      </c>
      <c r="E122" s="15" t="s">
        <v>2144</v>
      </c>
      <c r="F122" s="15" t="s">
        <v>2124</v>
      </c>
      <c r="G122" s="15" t="s">
        <v>2125</v>
      </c>
      <c r="H122" s="15">
        <v>1978</v>
      </c>
      <c r="I122" s="15">
        <v>332.35</v>
      </c>
    </row>
    <row r="123" spans="1:9">
      <c r="A123" s="13">
        <v>45012</v>
      </c>
      <c r="B123" s="91">
        <f t="shared" si="3"/>
        <v>2023</v>
      </c>
      <c r="C123" s="15" t="s">
        <v>107</v>
      </c>
      <c r="D123" s="15" t="s">
        <v>2135</v>
      </c>
      <c r="E123" s="15" t="s">
        <v>2144</v>
      </c>
      <c r="F123" s="15" t="s">
        <v>2138</v>
      </c>
      <c r="G123" s="15" t="s">
        <v>2146</v>
      </c>
      <c r="H123" s="15">
        <v>7217</v>
      </c>
      <c r="I123" s="15">
        <v>918.51</v>
      </c>
    </row>
    <row r="124" spans="1:9">
      <c r="A124" s="13">
        <v>44880</v>
      </c>
      <c r="B124" s="91">
        <f t="shared" si="3"/>
        <v>2022</v>
      </c>
      <c r="C124" s="15" t="s">
        <v>104</v>
      </c>
      <c r="D124" s="15" t="s">
        <v>2128</v>
      </c>
      <c r="E124" s="15" t="s">
        <v>2151</v>
      </c>
      <c r="F124" s="15" t="s">
        <v>2120</v>
      </c>
      <c r="G124" s="15" t="s">
        <v>2133</v>
      </c>
      <c r="H124" s="15">
        <v>2515</v>
      </c>
      <c r="I124" s="15">
        <v>415.28</v>
      </c>
    </row>
    <row r="125" spans="1:9">
      <c r="A125" s="13">
        <v>45036</v>
      </c>
      <c r="B125" s="91">
        <f t="shared" si="3"/>
        <v>2023</v>
      </c>
      <c r="C125" s="15" t="s">
        <v>2113</v>
      </c>
      <c r="D125" s="15" t="s">
        <v>2131</v>
      </c>
      <c r="E125" s="15" t="s">
        <v>2119</v>
      </c>
      <c r="F125" s="15" t="s">
        <v>2120</v>
      </c>
      <c r="G125" s="15" t="s">
        <v>2121</v>
      </c>
      <c r="H125" s="15">
        <v>4972</v>
      </c>
      <c r="I125" s="15">
        <v>1454.16</v>
      </c>
    </row>
    <row r="126" spans="1:9">
      <c r="A126" s="13">
        <v>45064</v>
      </c>
      <c r="B126" s="91">
        <f t="shared" si="3"/>
        <v>2023</v>
      </c>
      <c r="C126" s="15" t="s">
        <v>107</v>
      </c>
      <c r="D126" s="15" t="s">
        <v>2142</v>
      </c>
      <c r="E126" s="15" t="s">
        <v>2145</v>
      </c>
      <c r="F126" s="15" t="s">
        <v>2124</v>
      </c>
      <c r="G126" s="15" t="s">
        <v>2125</v>
      </c>
      <c r="H126" s="15">
        <v>8166</v>
      </c>
      <c r="I126" s="15">
        <v>1023.31</v>
      </c>
    </row>
    <row r="127" spans="1:9">
      <c r="A127" s="13">
        <v>45101</v>
      </c>
      <c r="B127" s="91">
        <f t="shared" si="3"/>
        <v>2023</v>
      </c>
      <c r="C127" s="15" t="s">
        <v>104</v>
      </c>
      <c r="D127" s="15" t="s">
        <v>2131</v>
      </c>
      <c r="E127" s="15" t="s">
        <v>2129</v>
      </c>
      <c r="F127" s="15" t="s">
        <v>2138</v>
      </c>
      <c r="G127" s="15" t="s">
        <v>2149</v>
      </c>
      <c r="H127" s="15">
        <v>6528</v>
      </c>
      <c r="I127" s="15">
        <v>1001.06</v>
      </c>
    </row>
    <row r="128" spans="1:9">
      <c r="A128" s="13">
        <v>45154</v>
      </c>
      <c r="B128" s="91">
        <f t="shared" si="3"/>
        <v>2023</v>
      </c>
      <c r="C128" s="15" t="s">
        <v>107</v>
      </c>
      <c r="D128" s="15" t="s">
        <v>2148</v>
      </c>
      <c r="E128" s="15" t="s">
        <v>2129</v>
      </c>
      <c r="F128" s="15" t="s">
        <v>2116</v>
      </c>
      <c r="G128" s="15" t="s">
        <v>2127</v>
      </c>
      <c r="H128" s="15">
        <v>3674</v>
      </c>
      <c r="I128" s="15">
        <v>767.93</v>
      </c>
    </row>
    <row r="129" spans="1:9">
      <c r="A129" s="13">
        <v>44615</v>
      </c>
      <c r="B129" s="91">
        <f t="shared" si="3"/>
        <v>2022</v>
      </c>
      <c r="C129" s="15" t="s">
        <v>2113</v>
      </c>
      <c r="D129" s="15" t="s">
        <v>2135</v>
      </c>
      <c r="E129" s="15" t="s">
        <v>2144</v>
      </c>
      <c r="F129" s="15" t="s">
        <v>2138</v>
      </c>
      <c r="G129" s="15" t="s">
        <v>2149</v>
      </c>
      <c r="H129" s="15">
        <v>3137</v>
      </c>
      <c r="I129" s="15">
        <v>588.74</v>
      </c>
    </row>
    <row r="130" spans="1:9">
      <c r="A130" s="13">
        <v>45644</v>
      </c>
      <c r="B130" s="91">
        <f t="shared" si="3"/>
        <v>2024</v>
      </c>
      <c r="C130" s="15" t="s">
        <v>104</v>
      </c>
      <c r="D130" s="15" t="s">
        <v>2153</v>
      </c>
      <c r="E130" s="15" t="s">
        <v>2136</v>
      </c>
      <c r="F130" s="15" t="s">
        <v>2138</v>
      </c>
      <c r="G130" s="15" t="s">
        <v>2139</v>
      </c>
      <c r="H130" s="15">
        <v>1221</v>
      </c>
      <c r="I130" s="15">
        <v>160.36000000000001</v>
      </c>
    </row>
    <row r="131" spans="1:9">
      <c r="A131" s="13">
        <v>45202</v>
      </c>
      <c r="B131" s="91">
        <f t="shared" ref="B131:B194" si="4">YEAR(A131)</f>
        <v>2023</v>
      </c>
      <c r="C131" s="15" t="s">
        <v>2141</v>
      </c>
      <c r="D131" s="15" t="s">
        <v>2128</v>
      </c>
      <c r="E131" s="15" t="s">
        <v>2143</v>
      </c>
      <c r="F131" s="15" t="s">
        <v>2116</v>
      </c>
      <c r="G131" s="15" t="s">
        <v>2154</v>
      </c>
      <c r="H131" s="15">
        <v>5317</v>
      </c>
      <c r="I131" s="15">
        <v>733.57</v>
      </c>
    </row>
    <row r="132" spans="1:9">
      <c r="A132" s="13">
        <v>45475</v>
      </c>
      <c r="B132" s="91">
        <f t="shared" si="4"/>
        <v>2024</v>
      </c>
      <c r="C132" s="15" t="s">
        <v>2141</v>
      </c>
      <c r="D132" s="15" t="s">
        <v>2128</v>
      </c>
      <c r="E132" s="15" t="s">
        <v>2144</v>
      </c>
      <c r="F132" s="15" t="s">
        <v>2120</v>
      </c>
      <c r="G132" s="15" t="s">
        <v>2121</v>
      </c>
      <c r="H132" s="15">
        <v>4455</v>
      </c>
      <c r="I132" s="15">
        <v>510</v>
      </c>
    </row>
    <row r="133" spans="1:9">
      <c r="A133" s="13">
        <v>45138</v>
      </c>
      <c r="B133" s="91">
        <f t="shared" si="4"/>
        <v>2023</v>
      </c>
      <c r="C133" s="15" t="s">
        <v>2141</v>
      </c>
      <c r="D133" s="15" t="s">
        <v>2114</v>
      </c>
      <c r="E133" s="15" t="s">
        <v>2129</v>
      </c>
      <c r="F133" s="15" t="s">
        <v>2120</v>
      </c>
      <c r="G133" s="15" t="s">
        <v>2132</v>
      </c>
      <c r="H133" s="15">
        <v>2210</v>
      </c>
      <c r="I133" s="15">
        <v>488.61</v>
      </c>
    </row>
    <row r="134" spans="1:9">
      <c r="A134" s="13">
        <v>45194</v>
      </c>
      <c r="B134" s="91">
        <f t="shared" si="4"/>
        <v>2023</v>
      </c>
      <c r="C134" s="15" t="s">
        <v>104</v>
      </c>
      <c r="D134" s="15" t="s">
        <v>2126</v>
      </c>
      <c r="E134" s="15" t="s">
        <v>2143</v>
      </c>
      <c r="F134" s="15" t="s">
        <v>2120</v>
      </c>
      <c r="G134" s="15" t="s">
        <v>2121</v>
      </c>
      <c r="H134" s="15">
        <v>8905</v>
      </c>
      <c r="I134" s="15">
        <v>2007.38</v>
      </c>
    </row>
    <row r="135" spans="1:9">
      <c r="A135" s="13">
        <v>44864</v>
      </c>
      <c r="B135" s="91">
        <f t="shared" si="4"/>
        <v>2022</v>
      </c>
      <c r="C135" s="15" t="s">
        <v>104</v>
      </c>
      <c r="D135" s="15" t="s">
        <v>2118</v>
      </c>
      <c r="E135" s="15" t="s">
        <v>2134</v>
      </c>
      <c r="F135" s="15" t="s">
        <v>2120</v>
      </c>
      <c r="G135" s="15" t="s">
        <v>2133</v>
      </c>
      <c r="H135" s="15">
        <v>4311</v>
      </c>
      <c r="I135" s="15">
        <v>1048.76</v>
      </c>
    </row>
    <row r="136" spans="1:9">
      <c r="A136" s="13">
        <v>45193</v>
      </c>
      <c r="B136" s="91">
        <f t="shared" si="4"/>
        <v>2023</v>
      </c>
      <c r="C136" s="15" t="s">
        <v>104</v>
      </c>
      <c r="D136" s="15" t="s">
        <v>2128</v>
      </c>
      <c r="E136" s="15" t="s">
        <v>2134</v>
      </c>
      <c r="F136" s="15" t="s">
        <v>2124</v>
      </c>
      <c r="G136" s="15" t="s">
        <v>2130</v>
      </c>
      <c r="H136" s="15">
        <v>8286</v>
      </c>
      <c r="I136" s="15">
        <v>1449.02</v>
      </c>
    </row>
    <row r="137" spans="1:9">
      <c r="A137" s="13">
        <v>45008</v>
      </c>
      <c r="B137" s="91">
        <f t="shared" si="4"/>
        <v>2023</v>
      </c>
      <c r="C137" s="15" t="s">
        <v>107</v>
      </c>
      <c r="D137" s="15" t="s">
        <v>2126</v>
      </c>
      <c r="E137" s="15" t="s">
        <v>2123</v>
      </c>
      <c r="F137" s="15" t="s">
        <v>2120</v>
      </c>
      <c r="G137" s="15" t="s">
        <v>2132</v>
      </c>
      <c r="H137" s="15">
        <v>3389</v>
      </c>
      <c r="I137" s="15">
        <v>970.02</v>
      </c>
    </row>
    <row r="138" spans="1:9">
      <c r="A138" s="13">
        <v>45552</v>
      </c>
      <c r="B138" s="91">
        <f t="shared" si="4"/>
        <v>2024</v>
      </c>
      <c r="C138" s="15" t="s">
        <v>2113</v>
      </c>
      <c r="D138" s="15" t="s">
        <v>2148</v>
      </c>
      <c r="E138" s="15" t="s">
        <v>2136</v>
      </c>
      <c r="F138" s="15" t="s">
        <v>2120</v>
      </c>
      <c r="G138" s="15" t="s">
        <v>2132</v>
      </c>
      <c r="H138" s="15">
        <v>3628</v>
      </c>
      <c r="I138" s="15">
        <v>451.81</v>
      </c>
    </row>
    <row r="139" spans="1:9">
      <c r="A139" s="13">
        <v>44568</v>
      </c>
      <c r="B139" s="91">
        <f t="shared" si="4"/>
        <v>2022</v>
      </c>
      <c r="C139" s="15" t="s">
        <v>104</v>
      </c>
      <c r="D139" s="15" t="s">
        <v>2148</v>
      </c>
      <c r="E139" s="15" t="s">
        <v>2129</v>
      </c>
      <c r="F139" s="15" t="s">
        <v>2138</v>
      </c>
      <c r="G139" s="15" t="s">
        <v>2149</v>
      </c>
      <c r="H139" s="15">
        <v>2703</v>
      </c>
      <c r="I139" s="15">
        <v>632.75</v>
      </c>
    </row>
    <row r="140" spans="1:9">
      <c r="A140" s="13">
        <v>44956</v>
      </c>
      <c r="B140" s="91">
        <f t="shared" si="4"/>
        <v>2023</v>
      </c>
      <c r="C140" s="15" t="s">
        <v>2141</v>
      </c>
      <c r="D140" s="15" t="s">
        <v>2148</v>
      </c>
      <c r="E140" s="15" t="s">
        <v>2145</v>
      </c>
      <c r="F140" s="15" t="s">
        <v>2138</v>
      </c>
      <c r="G140" s="15" t="s">
        <v>2139</v>
      </c>
      <c r="H140" s="15">
        <v>9206</v>
      </c>
      <c r="I140" s="15">
        <v>1117.49</v>
      </c>
    </row>
    <row r="141" spans="1:9">
      <c r="A141" s="13">
        <v>45147</v>
      </c>
      <c r="B141" s="91">
        <f t="shared" si="4"/>
        <v>2023</v>
      </c>
      <c r="C141" s="15" t="s">
        <v>2113</v>
      </c>
      <c r="D141" s="15" t="s">
        <v>2142</v>
      </c>
      <c r="E141" s="15" t="s">
        <v>2115</v>
      </c>
      <c r="F141" s="15" t="s">
        <v>2120</v>
      </c>
      <c r="G141" s="15" t="s">
        <v>2132</v>
      </c>
      <c r="H141" s="15">
        <v>7515</v>
      </c>
      <c r="I141" s="15">
        <v>1593.07</v>
      </c>
    </row>
    <row r="142" spans="1:9">
      <c r="A142" s="13">
        <v>45051</v>
      </c>
      <c r="B142" s="91">
        <f t="shared" si="4"/>
        <v>2023</v>
      </c>
      <c r="C142" s="15" t="s">
        <v>107</v>
      </c>
      <c r="D142" s="15" t="s">
        <v>2128</v>
      </c>
      <c r="E142" s="15" t="s">
        <v>2119</v>
      </c>
      <c r="F142" s="15" t="s">
        <v>2120</v>
      </c>
      <c r="G142" s="15" t="s">
        <v>2121</v>
      </c>
      <c r="H142" s="15">
        <v>6755</v>
      </c>
      <c r="I142" s="15">
        <v>1766.41</v>
      </c>
    </row>
    <row r="143" spans="1:9">
      <c r="A143" s="13">
        <v>45471</v>
      </c>
      <c r="B143" s="91">
        <f t="shared" si="4"/>
        <v>2024</v>
      </c>
      <c r="C143" s="15" t="s">
        <v>104</v>
      </c>
      <c r="D143" s="15" t="s">
        <v>2142</v>
      </c>
      <c r="E143" s="15" t="s">
        <v>2134</v>
      </c>
      <c r="F143" s="15" t="s">
        <v>2124</v>
      </c>
      <c r="G143" s="15" t="s">
        <v>2140</v>
      </c>
      <c r="H143" s="15">
        <v>6915</v>
      </c>
      <c r="I143" s="15">
        <v>1500.91</v>
      </c>
    </row>
    <row r="144" spans="1:9">
      <c r="A144" s="13">
        <v>44839</v>
      </c>
      <c r="B144" s="91">
        <f t="shared" si="4"/>
        <v>2022</v>
      </c>
      <c r="C144" s="15" t="s">
        <v>2113</v>
      </c>
      <c r="D144" s="15" t="s">
        <v>2114</v>
      </c>
      <c r="E144" s="15" t="s">
        <v>2144</v>
      </c>
      <c r="F144" s="15" t="s">
        <v>2138</v>
      </c>
      <c r="G144" s="15" t="s">
        <v>2146</v>
      </c>
      <c r="H144" s="15">
        <v>7136</v>
      </c>
      <c r="I144" s="15">
        <v>1687.34</v>
      </c>
    </row>
    <row r="145" spans="1:9">
      <c r="A145" s="13">
        <v>45251</v>
      </c>
      <c r="B145" s="91">
        <f t="shared" si="4"/>
        <v>2023</v>
      </c>
      <c r="C145" s="15" t="s">
        <v>2113</v>
      </c>
      <c r="D145" s="15" t="s">
        <v>2153</v>
      </c>
      <c r="E145" s="15" t="s">
        <v>2151</v>
      </c>
      <c r="F145" s="15" t="s">
        <v>2124</v>
      </c>
      <c r="G145" s="15" t="s">
        <v>2130</v>
      </c>
      <c r="H145" s="15">
        <v>5102</v>
      </c>
      <c r="I145" s="15">
        <v>617.02</v>
      </c>
    </row>
    <row r="146" spans="1:9">
      <c r="A146" s="13">
        <v>45239</v>
      </c>
      <c r="B146" s="91">
        <f t="shared" si="4"/>
        <v>2023</v>
      </c>
      <c r="C146" s="15" t="s">
        <v>104</v>
      </c>
      <c r="D146" s="15" t="s">
        <v>2128</v>
      </c>
      <c r="E146" s="15" t="s">
        <v>2151</v>
      </c>
      <c r="F146" s="15" t="s">
        <v>2120</v>
      </c>
      <c r="G146" s="15" t="s">
        <v>2133</v>
      </c>
      <c r="H146" s="15">
        <v>6705</v>
      </c>
      <c r="I146" s="15">
        <v>1325.91</v>
      </c>
    </row>
    <row r="147" spans="1:9">
      <c r="A147" s="13">
        <v>45628</v>
      </c>
      <c r="B147" s="91">
        <f t="shared" si="4"/>
        <v>2024</v>
      </c>
      <c r="C147" s="15" t="s">
        <v>2113</v>
      </c>
      <c r="D147" s="15" t="s">
        <v>2114</v>
      </c>
      <c r="E147" s="15" t="s">
        <v>2123</v>
      </c>
      <c r="F147" s="15" t="s">
        <v>2116</v>
      </c>
      <c r="G147" s="15" t="s">
        <v>2154</v>
      </c>
      <c r="H147" s="15">
        <v>2235</v>
      </c>
      <c r="I147" s="15">
        <v>403.22</v>
      </c>
    </row>
    <row r="148" spans="1:9">
      <c r="A148" s="13">
        <v>45152</v>
      </c>
      <c r="B148" s="91">
        <f t="shared" si="4"/>
        <v>2023</v>
      </c>
      <c r="C148" s="15" t="s">
        <v>107</v>
      </c>
      <c r="D148" s="15" t="s">
        <v>2131</v>
      </c>
      <c r="E148" s="15" t="s">
        <v>2115</v>
      </c>
      <c r="F148" s="15" t="s">
        <v>2116</v>
      </c>
      <c r="G148" s="15" t="s">
        <v>2127</v>
      </c>
      <c r="H148" s="15">
        <v>4476</v>
      </c>
      <c r="I148" s="15">
        <v>899.17</v>
      </c>
    </row>
    <row r="149" spans="1:9">
      <c r="A149" s="13">
        <v>44771</v>
      </c>
      <c r="B149" s="91">
        <f t="shared" si="4"/>
        <v>2022</v>
      </c>
      <c r="C149" s="15" t="s">
        <v>107</v>
      </c>
      <c r="D149" s="15" t="s">
        <v>2114</v>
      </c>
      <c r="E149" s="15" t="s">
        <v>2144</v>
      </c>
      <c r="F149" s="15" t="s">
        <v>2124</v>
      </c>
      <c r="G149" s="15" t="s">
        <v>2125</v>
      </c>
      <c r="H149" s="15">
        <v>1844</v>
      </c>
      <c r="I149" s="15">
        <v>192.19</v>
      </c>
    </row>
    <row r="150" spans="1:9">
      <c r="A150" s="13">
        <v>44912</v>
      </c>
      <c r="B150" s="91">
        <f t="shared" si="4"/>
        <v>2022</v>
      </c>
      <c r="C150" s="15" t="s">
        <v>2113</v>
      </c>
      <c r="D150" s="15" t="s">
        <v>2118</v>
      </c>
      <c r="E150" s="15" t="s">
        <v>2143</v>
      </c>
      <c r="F150" s="15" t="s">
        <v>2124</v>
      </c>
      <c r="G150" s="15" t="s">
        <v>2130</v>
      </c>
      <c r="H150" s="15">
        <v>1746</v>
      </c>
      <c r="I150" s="15">
        <v>341.93</v>
      </c>
    </row>
    <row r="151" spans="1:9">
      <c r="A151" s="13">
        <v>45328</v>
      </c>
      <c r="B151" s="91">
        <f t="shared" si="4"/>
        <v>2024</v>
      </c>
      <c r="C151" s="15" t="s">
        <v>104</v>
      </c>
      <c r="D151" s="15" t="s">
        <v>2126</v>
      </c>
      <c r="E151" s="15" t="s">
        <v>2115</v>
      </c>
      <c r="F151" s="15" t="s">
        <v>2116</v>
      </c>
      <c r="G151" s="15" t="s">
        <v>2117</v>
      </c>
      <c r="H151" s="15">
        <v>4162</v>
      </c>
      <c r="I151" s="15">
        <v>1159.43</v>
      </c>
    </row>
    <row r="152" spans="1:9">
      <c r="A152" s="13">
        <v>44638</v>
      </c>
      <c r="B152" s="91">
        <f t="shared" si="4"/>
        <v>2022</v>
      </c>
      <c r="C152" s="15" t="s">
        <v>2113</v>
      </c>
      <c r="D152" s="15" t="s">
        <v>2118</v>
      </c>
      <c r="E152" s="15" t="s">
        <v>2115</v>
      </c>
      <c r="F152" s="15" t="s">
        <v>2124</v>
      </c>
      <c r="G152" s="15" t="s">
        <v>2130</v>
      </c>
      <c r="H152" s="15">
        <v>3535</v>
      </c>
      <c r="I152" s="15">
        <v>560.62</v>
      </c>
    </row>
    <row r="153" spans="1:9">
      <c r="A153" s="13">
        <v>44671</v>
      </c>
      <c r="B153" s="91">
        <f t="shared" si="4"/>
        <v>2022</v>
      </c>
      <c r="C153" s="15" t="s">
        <v>2141</v>
      </c>
      <c r="D153" s="15" t="s">
        <v>2142</v>
      </c>
      <c r="E153" s="15" t="s">
        <v>2134</v>
      </c>
      <c r="F153" s="15" t="s">
        <v>2124</v>
      </c>
      <c r="G153" s="15" t="s">
        <v>2130</v>
      </c>
      <c r="H153" s="15">
        <v>1292</v>
      </c>
      <c r="I153" s="15">
        <v>161.05000000000001</v>
      </c>
    </row>
    <row r="154" spans="1:9">
      <c r="A154" s="13">
        <v>45525</v>
      </c>
      <c r="B154" s="91">
        <f t="shared" si="4"/>
        <v>2024</v>
      </c>
      <c r="C154" s="15" t="s">
        <v>104</v>
      </c>
      <c r="D154" s="15" t="s">
        <v>2131</v>
      </c>
      <c r="E154" s="15" t="s">
        <v>2143</v>
      </c>
      <c r="F154" s="15" t="s">
        <v>2138</v>
      </c>
      <c r="G154" s="15" t="s">
        <v>2149</v>
      </c>
      <c r="H154" s="15">
        <v>1054</v>
      </c>
      <c r="I154" s="15">
        <v>199.7</v>
      </c>
    </row>
    <row r="155" spans="1:9">
      <c r="A155" s="13">
        <v>44630</v>
      </c>
      <c r="B155" s="91">
        <f t="shared" si="4"/>
        <v>2022</v>
      </c>
      <c r="C155" s="15" t="s">
        <v>104</v>
      </c>
      <c r="D155" s="15" t="s">
        <v>2118</v>
      </c>
      <c r="E155" s="15" t="s">
        <v>2143</v>
      </c>
      <c r="F155" s="15" t="s">
        <v>2138</v>
      </c>
      <c r="G155" s="15" t="s">
        <v>2149</v>
      </c>
      <c r="H155" s="15">
        <v>6829</v>
      </c>
      <c r="I155" s="15">
        <v>1848.97</v>
      </c>
    </row>
    <row r="156" spans="1:9">
      <c r="A156" s="13">
        <v>45253</v>
      </c>
      <c r="B156" s="91">
        <f t="shared" si="4"/>
        <v>2023</v>
      </c>
      <c r="C156" s="15" t="s">
        <v>104</v>
      </c>
      <c r="D156" s="15" t="s">
        <v>2148</v>
      </c>
      <c r="E156" s="15" t="s">
        <v>2134</v>
      </c>
      <c r="F156" s="15" t="s">
        <v>2120</v>
      </c>
      <c r="G156" s="15" t="s">
        <v>2132</v>
      </c>
      <c r="H156" s="15">
        <v>9169</v>
      </c>
      <c r="I156" s="15">
        <v>1984.27</v>
      </c>
    </row>
    <row r="157" spans="1:9">
      <c r="A157" s="13">
        <v>45011</v>
      </c>
      <c r="B157" s="91">
        <f t="shared" si="4"/>
        <v>2023</v>
      </c>
      <c r="C157" s="15" t="s">
        <v>2141</v>
      </c>
      <c r="D157" s="15" t="s">
        <v>2118</v>
      </c>
      <c r="E157" s="15" t="s">
        <v>2134</v>
      </c>
      <c r="F157" s="15" t="s">
        <v>2120</v>
      </c>
      <c r="G157" s="15" t="s">
        <v>2121</v>
      </c>
      <c r="H157" s="15">
        <v>3194</v>
      </c>
      <c r="I157" s="15">
        <v>877.2</v>
      </c>
    </row>
    <row r="158" spans="1:9">
      <c r="A158" s="13">
        <v>45075</v>
      </c>
      <c r="B158" s="91">
        <f t="shared" si="4"/>
        <v>2023</v>
      </c>
      <c r="C158" s="15" t="s">
        <v>2141</v>
      </c>
      <c r="D158" s="15" t="s">
        <v>2148</v>
      </c>
      <c r="E158" s="15" t="s">
        <v>2134</v>
      </c>
      <c r="F158" s="15" t="s">
        <v>2138</v>
      </c>
      <c r="G158" s="15" t="s">
        <v>2139</v>
      </c>
      <c r="H158" s="15">
        <v>3583</v>
      </c>
      <c r="I158" s="15">
        <v>624.1</v>
      </c>
    </row>
    <row r="159" spans="1:9">
      <c r="A159" s="13">
        <v>44742</v>
      </c>
      <c r="B159" s="91">
        <f t="shared" si="4"/>
        <v>2022</v>
      </c>
      <c r="C159" s="15" t="s">
        <v>104</v>
      </c>
      <c r="D159" s="15" t="s">
        <v>2114</v>
      </c>
      <c r="E159" s="15" t="s">
        <v>2136</v>
      </c>
      <c r="F159" s="15" t="s">
        <v>2124</v>
      </c>
      <c r="G159" s="15" t="s">
        <v>2130</v>
      </c>
      <c r="H159" s="15">
        <v>8432</v>
      </c>
      <c r="I159" s="15">
        <v>1887.76</v>
      </c>
    </row>
    <row r="160" spans="1:9">
      <c r="A160" s="13">
        <v>45478</v>
      </c>
      <c r="B160" s="91">
        <f t="shared" si="4"/>
        <v>2024</v>
      </c>
      <c r="C160" s="15" t="s">
        <v>107</v>
      </c>
      <c r="D160" s="15" t="s">
        <v>2118</v>
      </c>
      <c r="E160" s="15" t="s">
        <v>2129</v>
      </c>
      <c r="F160" s="15" t="s">
        <v>2124</v>
      </c>
      <c r="G160" s="15" t="s">
        <v>2125</v>
      </c>
      <c r="H160" s="15">
        <v>5162</v>
      </c>
      <c r="I160" s="15">
        <v>754.97</v>
      </c>
    </row>
    <row r="161" spans="1:9">
      <c r="A161" s="13">
        <v>45050</v>
      </c>
      <c r="B161" s="91">
        <f t="shared" si="4"/>
        <v>2023</v>
      </c>
      <c r="C161" s="15" t="s">
        <v>2141</v>
      </c>
      <c r="D161" s="15" t="s">
        <v>2142</v>
      </c>
      <c r="E161" s="15" t="s">
        <v>2145</v>
      </c>
      <c r="F161" s="15" t="s">
        <v>2124</v>
      </c>
      <c r="G161" s="15" t="s">
        <v>2130</v>
      </c>
      <c r="H161" s="15">
        <v>2499</v>
      </c>
      <c r="I161" s="15">
        <v>539.87</v>
      </c>
    </row>
    <row r="162" spans="1:9">
      <c r="A162" s="13">
        <v>44822</v>
      </c>
      <c r="B162" s="91">
        <f t="shared" si="4"/>
        <v>2022</v>
      </c>
      <c r="C162" s="15" t="s">
        <v>104</v>
      </c>
      <c r="D162" s="15" t="s">
        <v>2114</v>
      </c>
      <c r="E162" s="15" t="s">
        <v>2123</v>
      </c>
      <c r="F162" s="15" t="s">
        <v>2138</v>
      </c>
      <c r="G162" s="15" t="s">
        <v>2139</v>
      </c>
      <c r="H162" s="15">
        <v>3231</v>
      </c>
      <c r="I162" s="15">
        <v>870.87</v>
      </c>
    </row>
    <row r="163" spans="1:9">
      <c r="A163" s="13">
        <v>45639</v>
      </c>
      <c r="B163" s="91">
        <f t="shared" si="4"/>
        <v>2024</v>
      </c>
      <c r="C163" s="15" t="s">
        <v>107</v>
      </c>
      <c r="D163" s="15" t="s">
        <v>2128</v>
      </c>
      <c r="E163" s="15" t="s">
        <v>2144</v>
      </c>
      <c r="F163" s="15" t="s">
        <v>2120</v>
      </c>
      <c r="G163" s="15" t="s">
        <v>2132</v>
      </c>
      <c r="H163" s="15">
        <v>3922</v>
      </c>
      <c r="I163" s="15">
        <v>846.6</v>
      </c>
    </row>
    <row r="164" spans="1:9">
      <c r="A164" s="13">
        <v>45007</v>
      </c>
      <c r="B164" s="91">
        <f t="shared" si="4"/>
        <v>2023</v>
      </c>
      <c r="C164" s="15" t="s">
        <v>104</v>
      </c>
      <c r="D164" s="15" t="s">
        <v>2118</v>
      </c>
      <c r="E164" s="15" t="s">
        <v>2145</v>
      </c>
      <c r="F164" s="15" t="s">
        <v>2116</v>
      </c>
      <c r="G164" s="15" t="s">
        <v>2154</v>
      </c>
      <c r="H164" s="15">
        <v>8758</v>
      </c>
      <c r="I164" s="15">
        <v>1068.48</v>
      </c>
    </row>
    <row r="165" spans="1:9">
      <c r="A165" s="13">
        <v>45535</v>
      </c>
      <c r="B165" s="91">
        <f t="shared" si="4"/>
        <v>2024</v>
      </c>
      <c r="C165" s="15" t="s">
        <v>107</v>
      </c>
      <c r="D165" s="15" t="s">
        <v>2118</v>
      </c>
      <c r="E165" s="15" t="s">
        <v>2145</v>
      </c>
      <c r="F165" s="15" t="s">
        <v>2124</v>
      </c>
      <c r="G165" s="15" t="s">
        <v>2140</v>
      </c>
      <c r="H165" s="15">
        <v>2952</v>
      </c>
      <c r="I165" s="15">
        <v>773.26</v>
      </c>
    </row>
    <row r="166" spans="1:9">
      <c r="A166" s="13">
        <v>45225</v>
      </c>
      <c r="B166" s="91">
        <f t="shared" si="4"/>
        <v>2023</v>
      </c>
      <c r="C166" s="15" t="s">
        <v>107</v>
      </c>
      <c r="D166" s="15" t="s">
        <v>2135</v>
      </c>
      <c r="E166" s="15" t="s">
        <v>2151</v>
      </c>
      <c r="F166" s="15" t="s">
        <v>2116</v>
      </c>
      <c r="G166" s="15" t="s">
        <v>2117</v>
      </c>
      <c r="H166" s="15">
        <v>5827</v>
      </c>
      <c r="I166" s="15">
        <v>1586.36</v>
      </c>
    </row>
    <row r="167" spans="1:9">
      <c r="A167" s="13">
        <v>45459</v>
      </c>
      <c r="B167" s="91">
        <f t="shared" si="4"/>
        <v>2024</v>
      </c>
      <c r="C167" s="15" t="s">
        <v>2113</v>
      </c>
      <c r="D167" s="15" t="s">
        <v>2135</v>
      </c>
      <c r="E167" s="15" t="s">
        <v>2145</v>
      </c>
      <c r="F167" s="15" t="s">
        <v>2138</v>
      </c>
      <c r="G167" s="15" t="s">
        <v>2146</v>
      </c>
      <c r="H167" s="15">
        <v>4091</v>
      </c>
      <c r="I167" s="15">
        <v>978.99</v>
      </c>
    </row>
    <row r="168" spans="1:9">
      <c r="A168" s="13">
        <v>45303</v>
      </c>
      <c r="B168" s="91">
        <f t="shared" si="4"/>
        <v>2024</v>
      </c>
      <c r="C168" s="15" t="s">
        <v>2113</v>
      </c>
      <c r="D168" s="15" t="s">
        <v>2148</v>
      </c>
      <c r="E168" s="15" t="s">
        <v>2144</v>
      </c>
      <c r="F168" s="15" t="s">
        <v>2124</v>
      </c>
      <c r="G168" s="15" t="s">
        <v>2130</v>
      </c>
      <c r="H168" s="15">
        <v>5467</v>
      </c>
      <c r="I168" s="15">
        <v>900.3</v>
      </c>
    </row>
    <row r="169" spans="1:9">
      <c r="A169" s="13">
        <v>44883</v>
      </c>
      <c r="B169" s="91">
        <f t="shared" si="4"/>
        <v>2022</v>
      </c>
      <c r="C169" s="15" t="s">
        <v>104</v>
      </c>
      <c r="D169" s="15" t="s">
        <v>2153</v>
      </c>
      <c r="E169" s="15" t="s">
        <v>2143</v>
      </c>
      <c r="F169" s="15" t="s">
        <v>2138</v>
      </c>
      <c r="G169" s="15" t="s">
        <v>2139</v>
      </c>
      <c r="H169" s="15">
        <v>1621</v>
      </c>
      <c r="I169" s="15">
        <v>416.22</v>
      </c>
    </row>
    <row r="170" spans="1:9">
      <c r="A170" s="13">
        <v>44924</v>
      </c>
      <c r="B170" s="91">
        <f t="shared" si="4"/>
        <v>2022</v>
      </c>
      <c r="C170" s="15" t="s">
        <v>104</v>
      </c>
      <c r="D170" s="15" t="s">
        <v>2142</v>
      </c>
      <c r="E170" s="15" t="s">
        <v>2123</v>
      </c>
      <c r="F170" s="15" t="s">
        <v>2124</v>
      </c>
      <c r="G170" s="15" t="s">
        <v>2125</v>
      </c>
      <c r="H170" s="15">
        <v>9298</v>
      </c>
      <c r="I170" s="15">
        <v>2384.15</v>
      </c>
    </row>
    <row r="171" spans="1:9">
      <c r="A171" s="13">
        <v>45551</v>
      </c>
      <c r="B171" s="91">
        <f t="shared" si="4"/>
        <v>2024</v>
      </c>
      <c r="C171" s="15" t="s">
        <v>2141</v>
      </c>
      <c r="D171" s="15" t="s">
        <v>2118</v>
      </c>
      <c r="E171" s="15" t="s">
        <v>2144</v>
      </c>
      <c r="F171" s="15" t="s">
        <v>2138</v>
      </c>
      <c r="G171" s="15" t="s">
        <v>2149</v>
      </c>
      <c r="H171" s="15">
        <v>3236</v>
      </c>
      <c r="I171" s="15">
        <v>870.32</v>
      </c>
    </row>
    <row r="172" spans="1:9">
      <c r="A172" s="13">
        <v>44563</v>
      </c>
      <c r="B172" s="91">
        <f t="shared" si="4"/>
        <v>2022</v>
      </c>
      <c r="C172" s="15" t="s">
        <v>104</v>
      </c>
      <c r="D172" s="15" t="s">
        <v>2152</v>
      </c>
      <c r="E172" s="15" t="s">
        <v>2123</v>
      </c>
      <c r="F172" s="15" t="s">
        <v>2116</v>
      </c>
      <c r="G172" s="15" t="s">
        <v>2127</v>
      </c>
      <c r="H172" s="15">
        <v>2832</v>
      </c>
      <c r="I172" s="15">
        <v>767.98</v>
      </c>
    </row>
    <row r="173" spans="1:9">
      <c r="A173" s="13">
        <v>45414</v>
      </c>
      <c r="B173" s="91">
        <f t="shared" si="4"/>
        <v>2024</v>
      </c>
      <c r="C173" s="15" t="s">
        <v>107</v>
      </c>
      <c r="D173" s="15" t="s">
        <v>2148</v>
      </c>
      <c r="E173" s="15" t="s">
        <v>2136</v>
      </c>
      <c r="F173" s="15" t="s">
        <v>2124</v>
      </c>
      <c r="G173" s="15" t="s">
        <v>2140</v>
      </c>
      <c r="H173" s="15">
        <v>7253</v>
      </c>
      <c r="I173" s="15">
        <v>1456.54</v>
      </c>
    </row>
    <row r="174" spans="1:9">
      <c r="A174" s="13">
        <v>45609</v>
      </c>
      <c r="B174" s="91">
        <f t="shared" si="4"/>
        <v>2024</v>
      </c>
      <c r="C174" s="15" t="s">
        <v>2113</v>
      </c>
      <c r="D174" s="15" t="s">
        <v>2142</v>
      </c>
      <c r="E174" s="15" t="s">
        <v>2151</v>
      </c>
      <c r="F174" s="15" t="s">
        <v>2116</v>
      </c>
      <c r="G174" s="15" t="s">
        <v>2154</v>
      </c>
      <c r="H174" s="15">
        <v>1557</v>
      </c>
      <c r="I174" s="15">
        <v>361.99</v>
      </c>
    </row>
    <row r="175" spans="1:9">
      <c r="A175" s="13">
        <v>45103</v>
      </c>
      <c r="B175" s="91">
        <f t="shared" si="4"/>
        <v>2023</v>
      </c>
      <c r="C175" s="15" t="s">
        <v>104</v>
      </c>
      <c r="D175" s="15" t="s">
        <v>2142</v>
      </c>
      <c r="E175" s="15" t="s">
        <v>2134</v>
      </c>
      <c r="F175" s="15" t="s">
        <v>2124</v>
      </c>
      <c r="G175" s="15" t="s">
        <v>2125</v>
      </c>
      <c r="H175" s="15">
        <v>7557</v>
      </c>
      <c r="I175" s="15">
        <v>1692.52</v>
      </c>
    </row>
    <row r="176" spans="1:9">
      <c r="A176" s="13">
        <v>44615</v>
      </c>
      <c r="B176" s="91">
        <f t="shared" si="4"/>
        <v>2022</v>
      </c>
      <c r="C176" s="15" t="s">
        <v>2141</v>
      </c>
      <c r="D176" s="15" t="s">
        <v>2152</v>
      </c>
      <c r="E176" s="15" t="s">
        <v>2134</v>
      </c>
      <c r="F176" s="15" t="s">
        <v>2138</v>
      </c>
      <c r="G176" s="15" t="s">
        <v>2139</v>
      </c>
      <c r="H176" s="15">
        <v>4567</v>
      </c>
      <c r="I176" s="15">
        <v>1128.79</v>
      </c>
    </row>
    <row r="177" spans="1:9">
      <c r="A177" s="13">
        <v>45130</v>
      </c>
      <c r="B177" s="91">
        <f t="shared" si="4"/>
        <v>2023</v>
      </c>
      <c r="C177" s="15" t="s">
        <v>104</v>
      </c>
      <c r="D177" s="15" t="s">
        <v>2135</v>
      </c>
      <c r="E177" s="15" t="s">
        <v>2143</v>
      </c>
      <c r="F177" s="15" t="s">
        <v>2116</v>
      </c>
      <c r="G177" s="15" t="s">
        <v>2127</v>
      </c>
      <c r="H177" s="15">
        <v>2594</v>
      </c>
      <c r="I177" s="15">
        <v>299.51</v>
      </c>
    </row>
    <row r="178" spans="1:9">
      <c r="A178" s="13">
        <v>44898</v>
      </c>
      <c r="B178" s="91">
        <f t="shared" si="4"/>
        <v>2022</v>
      </c>
      <c r="C178" s="15" t="s">
        <v>2113</v>
      </c>
      <c r="D178" s="15" t="s">
        <v>2131</v>
      </c>
      <c r="E178" s="15" t="s">
        <v>2129</v>
      </c>
      <c r="F178" s="15" t="s">
        <v>2120</v>
      </c>
      <c r="G178" s="15" t="s">
        <v>2133</v>
      </c>
      <c r="H178" s="15">
        <v>8134</v>
      </c>
      <c r="I178" s="15">
        <v>856.31</v>
      </c>
    </row>
    <row r="179" spans="1:9">
      <c r="A179" s="13">
        <v>45185</v>
      </c>
      <c r="B179" s="91">
        <f t="shared" si="4"/>
        <v>2023</v>
      </c>
      <c r="C179" s="15" t="s">
        <v>2113</v>
      </c>
      <c r="D179" s="15" t="s">
        <v>2118</v>
      </c>
      <c r="E179" s="15" t="s">
        <v>2115</v>
      </c>
      <c r="F179" s="15" t="s">
        <v>2120</v>
      </c>
      <c r="G179" s="15" t="s">
        <v>2132</v>
      </c>
      <c r="H179" s="15">
        <v>5369</v>
      </c>
      <c r="I179" s="15">
        <v>1311.52</v>
      </c>
    </row>
    <row r="180" spans="1:9">
      <c r="A180" s="13">
        <v>45450</v>
      </c>
      <c r="B180" s="91">
        <f t="shared" si="4"/>
        <v>2024</v>
      </c>
      <c r="C180" s="15" t="s">
        <v>107</v>
      </c>
      <c r="D180" s="15" t="s">
        <v>2142</v>
      </c>
      <c r="E180" s="15" t="s">
        <v>2119</v>
      </c>
      <c r="F180" s="15" t="s">
        <v>2120</v>
      </c>
      <c r="G180" s="15" t="s">
        <v>2133</v>
      </c>
      <c r="H180" s="15">
        <v>6029</v>
      </c>
      <c r="I180" s="15">
        <v>1685.64</v>
      </c>
    </row>
    <row r="181" spans="1:9">
      <c r="A181" s="13">
        <v>45016</v>
      </c>
      <c r="B181" s="91">
        <f t="shared" si="4"/>
        <v>2023</v>
      </c>
      <c r="C181" s="15" t="s">
        <v>2113</v>
      </c>
      <c r="D181" s="15" t="s">
        <v>2131</v>
      </c>
      <c r="E181" s="15" t="s">
        <v>2136</v>
      </c>
      <c r="F181" s="15" t="s">
        <v>2116</v>
      </c>
      <c r="G181" s="15" t="s">
        <v>2127</v>
      </c>
      <c r="H181" s="15">
        <v>2248</v>
      </c>
      <c r="I181" s="15">
        <v>296.23</v>
      </c>
    </row>
    <row r="182" spans="1:9">
      <c r="A182" s="13">
        <v>44623</v>
      </c>
      <c r="B182" s="91">
        <f t="shared" si="4"/>
        <v>2022</v>
      </c>
      <c r="C182" s="15" t="s">
        <v>2141</v>
      </c>
      <c r="D182" s="15" t="s">
        <v>2131</v>
      </c>
      <c r="E182" s="15" t="s">
        <v>2134</v>
      </c>
      <c r="F182" s="15" t="s">
        <v>2120</v>
      </c>
      <c r="G182" s="15" t="s">
        <v>2133</v>
      </c>
      <c r="H182" s="15">
        <v>2378</v>
      </c>
      <c r="I182" s="15">
        <v>256.58999999999997</v>
      </c>
    </row>
    <row r="183" spans="1:9">
      <c r="A183" s="13">
        <v>45654</v>
      </c>
      <c r="B183" s="91">
        <f t="shared" si="4"/>
        <v>2024</v>
      </c>
      <c r="C183" s="15" t="s">
        <v>2113</v>
      </c>
      <c r="D183" s="15" t="s">
        <v>2142</v>
      </c>
      <c r="E183" s="15" t="s">
        <v>2129</v>
      </c>
      <c r="F183" s="15" t="s">
        <v>2124</v>
      </c>
      <c r="G183" s="15" t="s">
        <v>2140</v>
      </c>
      <c r="H183" s="15">
        <v>2148</v>
      </c>
      <c r="I183" s="15">
        <v>364.82</v>
      </c>
    </row>
    <row r="184" spans="1:9">
      <c r="A184" s="13">
        <v>44952</v>
      </c>
      <c r="B184" s="91">
        <f t="shared" si="4"/>
        <v>2023</v>
      </c>
      <c r="C184" s="15" t="s">
        <v>104</v>
      </c>
      <c r="D184" s="15" t="s">
        <v>2114</v>
      </c>
      <c r="E184" s="15" t="s">
        <v>2144</v>
      </c>
      <c r="F184" s="15" t="s">
        <v>2120</v>
      </c>
      <c r="G184" s="15" t="s">
        <v>2133</v>
      </c>
      <c r="H184" s="15">
        <v>5425</v>
      </c>
      <c r="I184" s="15">
        <v>1459.56</v>
      </c>
    </row>
    <row r="185" spans="1:9">
      <c r="A185" s="13">
        <v>45093</v>
      </c>
      <c r="B185" s="91">
        <f t="shared" si="4"/>
        <v>2023</v>
      </c>
      <c r="C185" s="15" t="s">
        <v>2113</v>
      </c>
      <c r="D185" s="15" t="s">
        <v>2135</v>
      </c>
      <c r="E185" s="15" t="s">
        <v>2129</v>
      </c>
      <c r="F185" s="15" t="s">
        <v>2120</v>
      </c>
      <c r="G185" s="15" t="s">
        <v>2132</v>
      </c>
      <c r="H185" s="15">
        <v>8847</v>
      </c>
      <c r="I185" s="15">
        <v>1075.1500000000001</v>
      </c>
    </row>
    <row r="186" spans="1:9">
      <c r="A186" s="13">
        <v>45324</v>
      </c>
      <c r="B186" s="91">
        <f t="shared" si="4"/>
        <v>2024</v>
      </c>
      <c r="C186" s="15" t="s">
        <v>2141</v>
      </c>
      <c r="D186" s="15" t="s">
        <v>2153</v>
      </c>
      <c r="E186" s="15" t="s">
        <v>2151</v>
      </c>
      <c r="F186" s="15" t="s">
        <v>2124</v>
      </c>
      <c r="G186" s="15" t="s">
        <v>2130</v>
      </c>
      <c r="H186" s="15">
        <v>9677</v>
      </c>
      <c r="I186" s="15">
        <v>1074.6600000000001</v>
      </c>
    </row>
    <row r="187" spans="1:9">
      <c r="A187" s="13">
        <v>44672</v>
      </c>
      <c r="B187" s="91">
        <f t="shared" si="4"/>
        <v>2022</v>
      </c>
      <c r="C187" s="15" t="s">
        <v>107</v>
      </c>
      <c r="D187" s="15" t="s">
        <v>2118</v>
      </c>
      <c r="E187" s="15" t="s">
        <v>2145</v>
      </c>
      <c r="F187" s="15" t="s">
        <v>2120</v>
      </c>
      <c r="G187" s="15" t="s">
        <v>2133</v>
      </c>
      <c r="H187" s="15">
        <v>1220</v>
      </c>
      <c r="I187" s="15">
        <v>134.34</v>
      </c>
    </row>
    <row r="188" spans="1:9">
      <c r="A188" s="13">
        <v>45585</v>
      </c>
      <c r="B188" s="91">
        <f t="shared" si="4"/>
        <v>2024</v>
      </c>
      <c r="C188" s="15" t="s">
        <v>2141</v>
      </c>
      <c r="D188" s="15" t="s">
        <v>2118</v>
      </c>
      <c r="E188" s="15" t="s">
        <v>2119</v>
      </c>
      <c r="F188" s="15" t="s">
        <v>2116</v>
      </c>
      <c r="G188" s="15" t="s">
        <v>2127</v>
      </c>
      <c r="H188" s="15">
        <v>6389</v>
      </c>
      <c r="I188" s="15">
        <v>1008.18</v>
      </c>
    </row>
    <row r="189" spans="1:9">
      <c r="A189" s="13">
        <v>45457</v>
      </c>
      <c r="B189" s="91">
        <f t="shared" si="4"/>
        <v>2024</v>
      </c>
      <c r="C189" s="15" t="s">
        <v>107</v>
      </c>
      <c r="D189" s="15" t="s">
        <v>2118</v>
      </c>
      <c r="E189" s="15" t="s">
        <v>2129</v>
      </c>
      <c r="F189" s="15" t="s">
        <v>2138</v>
      </c>
      <c r="G189" s="15" t="s">
        <v>2149</v>
      </c>
      <c r="H189" s="15">
        <v>4378</v>
      </c>
      <c r="I189" s="15">
        <v>933.64</v>
      </c>
    </row>
    <row r="190" spans="1:9">
      <c r="A190" s="13">
        <v>44637</v>
      </c>
      <c r="B190" s="91">
        <f t="shared" si="4"/>
        <v>2022</v>
      </c>
      <c r="C190" s="15" t="s">
        <v>2113</v>
      </c>
      <c r="D190" s="15" t="s">
        <v>2131</v>
      </c>
      <c r="E190" s="15" t="s">
        <v>2134</v>
      </c>
      <c r="F190" s="15" t="s">
        <v>2120</v>
      </c>
      <c r="G190" s="15" t="s">
        <v>2121</v>
      </c>
      <c r="H190" s="15">
        <v>5498</v>
      </c>
      <c r="I190" s="15">
        <v>815.04</v>
      </c>
    </row>
    <row r="191" spans="1:9">
      <c r="A191" s="13">
        <v>44807</v>
      </c>
      <c r="B191" s="91">
        <f t="shared" si="4"/>
        <v>2022</v>
      </c>
      <c r="C191" s="15" t="s">
        <v>107</v>
      </c>
      <c r="D191" s="15" t="s">
        <v>2114</v>
      </c>
      <c r="E191" s="15" t="s">
        <v>2123</v>
      </c>
      <c r="F191" s="15" t="s">
        <v>2124</v>
      </c>
      <c r="G191" s="15" t="s">
        <v>2130</v>
      </c>
      <c r="H191" s="15">
        <v>4432</v>
      </c>
      <c r="I191" s="15">
        <v>996.49</v>
      </c>
    </row>
    <row r="192" spans="1:9">
      <c r="A192" s="13">
        <v>45647</v>
      </c>
      <c r="B192" s="91">
        <f t="shared" si="4"/>
        <v>2024</v>
      </c>
      <c r="C192" s="15" t="s">
        <v>107</v>
      </c>
      <c r="D192" s="15" t="s">
        <v>2131</v>
      </c>
      <c r="E192" s="15" t="s">
        <v>2134</v>
      </c>
      <c r="F192" s="15" t="s">
        <v>2116</v>
      </c>
      <c r="G192" s="15" t="s">
        <v>2117</v>
      </c>
      <c r="H192" s="15">
        <v>5603</v>
      </c>
      <c r="I192" s="15">
        <v>944.79</v>
      </c>
    </row>
    <row r="193" spans="1:9">
      <c r="A193" s="13">
        <v>45602</v>
      </c>
      <c r="B193" s="91">
        <f t="shared" si="4"/>
        <v>2024</v>
      </c>
      <c r="C193" s="15" t="s">
        <v>107</v>
      </c>
      <c r="D193" s="15" t="s">
        <v>2135</v>
      </c>
      <c r="E193" s="15" t="s">
        <v>2136</v>
      </c>
      <c r="F193" s="15" t="s">
        <v>2138</v>
      </c>
      <c r="G193" s="15" t="s">
        <v>2149</v>
      </c>
      <c r="H193" s="15">
        <v>3010</v>
      </c>
      <c r="I193" s="15">
        <v>777.87</v>
      </c>
    </row>
    <row r="194" spans="1:9">
      <c r="A194" s="13">
        <v>44595</v>
      </c>
      <c r="B194" s="91">
        <f t="shared" si="4"/>
        <v>2022</v>
      </c>
      <c r="C194" s="15" t="s">
        <v>2141</v>
      </c>
      <c r="D194" s="15" t="s">
        <v>2153</v>
      </c>
      <c r="E194" s="15" t="s">
        <v>2129</v>
      </c>
      <c r="F194" s="15" t="s">
        <v>2138</v>
      </c>
      <c r="G194" s="15" t="s">
        <v>2146</v>
      </c>
      <c r="H194" s="15">
        <v>5355</v>
      </c>
      <c r="I194" s="15">
        <v>643.76</v>
      </c>
    </row>
    <row r="195" spans="1:9">
      <c r="A195" s="13">
        <v>45002</v>
      </c>
      <c r="B195" s="91">
        <f t="shared" ref="B195:B258" si="5">YEAR(A195)</f>
        <v>2023</v>
      </c>
      <c r="C195" s="15" t="s">
        <v>2113</v>
      </c>
      <c r="D195" s="15" t="s">
        <v>2126</v>
      </c>
      <c r="E195" s="15" t="s">
        <v>2119</v>
      </c>
      <c r="F195" s="15" t="s">
        <v>2124</v>
      </c>
      <c r="G195" s="15" t="s">
        <v>2140</v>
      </c>
      <c r="H195" s="15">
        <v>9263</v>
      </c>
      <c r="I195" s="15">
        <v>1901.49</v>
      </c>
    </row>
    <row r="196" spans="1:9">
      <c r="A196" s="13">
        <v>44649</v>
      </c>
      <c r="B196" s="91">
        <f t="shared" si="5"/>
        <v>2022</v>
      </c>
      <c r="C196" s="15" t="s">
        <v>2141</v>
      </c>
      <c r="D196" s="15" t="s">
        <v>2131</v>
      </c>
      <c r="E196" s="15" t="s">
        <v>2136</v>
      </c>
      <c r="F196" s="15" t="s">
        <v>2138</v>
      </c>
      <c r="G196" s="15" t="s">
        <v>2149</v>
      </c>
      <c r="H196" s="15">
        <v>8588</v>
      </c>
      <c r="I196" s="15">
        <v>2451.79</v>
      </c>
    </row>
    <row r="197" spans="1:9">
      <c r="A197" s="13">
        <v>45608</v>
      </c>
      <c r="B197" s="91">
        <f t="shared" si="5"/>
        <v>2024</v>
      </c>
      <c r="C197" s="15" t="s">
        <v>2141</v>
      </c>
      <c r="D197" s="15" t="s">
        <v>2126</v>
      </c>
      <c r="E197" s="15" t="s">
        <v>2119</v>
      </c>
      <c r="F197" s="15" t="s">
        <v>2116</v>
      </c>
      <c r="G197" s="15" t="s">
        <v>2117</v>
      </c>
      <c r="H197" s="15">
        <v>2308</v>
      </c>
      <c r="I197" s="15">
        <v>625.25</v>
      </c>
    </row>
    <row r="198" spans="1:9">
      <c r="A198" s="13">
        <v>44719</v>
      </c>
      <c r="B198" s="91">
        <f t="shared" si="5"/>
        <v>2022</v>
      </c>
      <c r="C198" s="15" t="s">
        <v>2141</v>
      </c>
      <c r="D198" s="15" t="s">
        <v>2128</v>
      </c>
      <c r="E198" s="15" t="s">
        <v>2123</v>
      </c>
      <c r="F198" s="15" t="s">
        <v>2116</v>
      </c>
      <c r="G198" s="15" t="s">
        <v>2154</v>
      </c>
      <c r="H198" s="15">
        <v>2916</v>
      </c>
      <c r="I198" s="15">
        <v>805.56</v>
      </c>
    </row>
    <row r="199" spans="1:9">
      <c r="A199" s="13">
        <v>44923</v>
      </c>
      <c r="B199" s="91">
        <f t="shared" si="5"/>
        <v>2022</v>
      </c>
      <c r="C199" s="15" t="s">
        <v>2141</v>
      </c>
      <c r="D199" s="15" t="s">
        <v>2148</v>
      </c>
      <c r="E199" s="15" t="s">
        <v>2136</v>
      </c>
      <c r="F199" s="15" t="s">
        <v>2120</v>
      </c>
      <c r="G199" s="15" t="s">
        <v>2132</v>
      </c>
      <c r="H199" s="15">
        <v>6519</v>
      </c>
      <c r="I199" s="15">
        <v>1590.35</v>
      </c>
    </row>
    <row r="200" spans="1:9">
      <c r="A200" s="13">
        <v>45485</v>
      </c>
      <c r="B200" s="91">
        <f t="shared" si="5"/>
        <v>2024</v>
      </c>
      <c r="C200" s="15" t="s">
        <v>107</v>
      </c>
      <c r="D200" s="15" t="s">
        <v>2152</v>
      </c>
      <c r="E200" s="15" t="s">
        <v>2143</v>
      </c>
      <c r="F200" s="15" t="s">
        <v>2138</v>
      </c>
      <c r="G200" s="15" t="s">
        <v>2139</v>
      </c>
      <c r="H200" s="15">
        <v>6103</v>
      </c>
      <c r="I200" s="15">
        <v>1583.84</v>
      </c>
    </row>
    <row r="201" spans="1:9">
      <c r="A201" s="13">
        <v>45071</v>
      </c>
      <c r="B201" s="91">
        <f t="shared" si="5"/>
        <v>2023</v>
      </c>
      <c r="C201" s="15" t="s">
        <v>104</v>
      </c>
      <c r="D201" s="15" t="s">
        <v>2153</v>
      </c>
      <c r="E201" s="15" t="s">
        <v>2123</v>
      </c>
      <c r="F201" s="15" t="s">
        <v>2116</v>
      </c>
      <c r="G201" s="15" t="s">
        <v>2117</v>
      </c>
      <c r="H201" s="15">
        <v>4288</v>
      </c>
      <c r="I201" s="15">
        <v>586.91</v>
      </c>
    </row>
    <row r="202" spans="1:9">
      <c r="A202" s="13">
        <v>45032</v>
      </c>
      <c r="B202" s="91">
        <f t="shared" si="5"/>
        <v>2023</v>
      </c>
      <c r="C202" s="15" t="s">
        <v>104</v>
      </c>
      <c r="D202" s="15" t="s">
        <v>2142</v>
      </c>
      <c r="E202" s="15" t="s">
        <v>2123</v>
      </c>
      <c r="F202" s="15" t="s">
        <v>2124</v>
      </c>
      <c r="G202" s="15" t="s">
        <v>2130</v>
      </c>
      <c r="H202" s="15">
        <v>8033</v>
      </c>
      <c r="I202" s="15">
        <v>1279.78</v>
      </c>
    </row>
    <row r="203" spans="1:9">
      <c r="A203" s="13">
        <v>45041</v>
      </c>
      <c r="B203" s="91">
        <f t="shared" si="5"/>
        <v>2023</v>
      </c>
      <c r="C203" s="15" t="s">
        <v>104</v>
      </c>
      <c r="D203" s="15" t="s">
        <v>2152</v>
      </c>
      <c r="E203" s="15" t="s">
        <v>2151</v>
      </c>
      <c r="F203" s="15" t="s">
        <v>2116</v>
      </c>
      <c r="G203" s="15" t="s">
        <v>2127</v>
      </c>
      <c r="H203" s="15">
        <v>3297</v>
      </c>
      <c r="I203" s="15">
        <v>735.85</v>
      </c>
    </row>
    <row r="204" spans="1:9">
      <c r="A204" s="13">
        <v>45090</v>
      </c>
      <c r="B204" s="91">
        <f t="shared" si="5"/>
        <v>2023</v>
      </c>
      <c r="C204" s="15" t="s">
        <v>104</v>
      </c>
      <c r="D204" s="15" t="s">
        <v>2135</v>
      </c>
      <c r="E204" s="15" t="s">
        <v>2143</v>
      </c>
      <c r="F204" s="15" t="s">
        <v>2120</v>
      </c>
      <c r="G204" s="15" t="s">
        <v>2133</v>
      </c>
      <c r="H204" s="15">
        <v>4300</v>
      </c>
      <c r="I204" s="15">
        <v>827.27</v>
      </c>
    </row>
    <row r="205" spans="1:9">
      <c r="A205" s="13">
        <v>44745</v>
      </c>
      <c r="B205" s="91">
        <f t="shared" si="5"/>
        <v>2022</v>
      </c>
      <c r="C205" s="15" t="s">
        <v>2113</v>
      </c>
      <c r="D205" s="15" t="s">
        <v>2148</v>
      </c>
      <c r="E205" s="15" t="s">
        <v>2134</v>
      </c>
      <c r="F205" s="15" t="s">
        <v>2138</v>
      </c>
      <c r="G205" s="15" t="s">
        <v>2146</v>
      </c>
      <c r="H205" s="15">
        <v>3083</v>
      </c>
      <c r="I205" s="15">
        <v>393.52</v>
      </c>
    </row>
    <row r="206" spans="1:9">
      <c r="A206" s="13">
        <v>45201</v>
      </c>
      <c r="B206" s="91">
        <f t="shared" si="5"/>
        <v>2023</v>
      </c>
      <c r="C206" s="15" t="s">
        <v>104</v>
      </c>
      <c r="D206" s="15" t="s">
        <v>2131</v>
      </c>
      <c r="E206" s="15" t="s">
        <v>2129</v>
      </c>
      <c r="F206" s="15" t="s">
        <v>2116</v>
      </c>
      <c r="G206" s="15" t="s">
        <v>2154</v>
      </c>
      <c r="H206" s="15">
        <v>2050</v>
      </c>
      <c r="I206" s="15">
        <v>279.99</v>
      </c>
    </row>
    <row r="207" spans="1:9">
      <c r="A207" s="13">
        <v>45392</v>
      </c>
      <c r="B207" s="91">
        <f t="shared" si="5"/>
        <v>2024</v>
      </c>
      <c r="C207" s="15" t="s">
        <v>2141</v>
      </c>
      <c r="D207" s="15" t="s">
        <v>2135</v>
      </c>
      <c r="E207" s="15" t="s">
        <v>2151</v>
      </c>
      <c r="F207" s="15" t="s">
        <v>2116</v>
      </c>
      <c r="G207" s="15" t="s">
        <v>2127</v>
      </c>
      <c r="H207" s="15">
        <v>1859</v>
      </c>
      <c r="I207" s="15">
        <v>449.59</v>
      </c>
    </row>
    <row r="208" spans="1:9">
      <c r="A208" s="13">
        <v>45066</v>
      </c>
      <c r="B208" s="91">
        <f t="shared" si="5"/>
        <v>2023</v>
      </c>
      <c r="C208" s="15" t="s">
        <v>107</v>
      </c>
      <c r="D208" s="15" t="s">
        <v>2128</v>
      </c>
      <c r="E208" s="15" t="s">
        <v>2119</v>
      </c>
      <c r="F208" s="15" t="s">
        <v>2138</v>
      </c>
      <c r="G208" s="15" t="s">
        <v>2139</v>
      </c>
      <c r="H208" s="15">
        <v>2220</v>
      </c>
      <c r="I208" s="15">
        <v>309</v>
      </c>
    </row>
    <row r="209" spans="1:9">
      <c r="A209" s="13">
        <v>45078</v>
      </c>
      <c r="B209" s="91">
        <f t="shared" si="5"/>
        <v>2023</v>
      </c>
      <c r="C209" s="15" t="s">
        <v>2113</v>
      </c>
      <c r="D209" s="15" t="s">
        <v>2135</v>
      </c>
      <c r="E209" s="15" t="s">
        <v>2119</v>
      </c>
      <c r="F209" s="15" t="s">
        <v>2116</v>
      </c>
      <c r="G209" s="15" t="s">
        <v>2117</v>
      </c>
      <c r="H209" s="15">
        <v>9562</v>
      </c>
      <c r="I209" s="15">
        <v>1040.53</v>
      </c>
    </row>
    <row r="210" spans="1:9">
      <c r="A210" s="13">
        <v>45228</v>
      </c>
      <c r="B210" s="91">
        <f t="shared" si="5"/>
        <v>2023</v>
      </c>
      <c r="C210" s="15" t="s">
        <v>2113</v>
      </c>
      <c r="D210" s="15" t="s">
        <v>2128</v>
      </c>
      <c r="E210" s="15" t="s">
        <v>2136</v>
      </c>
      <c r="F210" s="15" t="s">
        <v>2124</v>
      </c>
      <c r="G210" s="15" t="s">
        <v>2125</v>
      </c>
      <c r="H210" s="15">
        <v>6896</v>
      </c>
      <c r="I210" s="15">
        <v>1853.3</v>
      </c>
    </row>
    <row r="211" spans="1:9">
      <c r="A211" s="13">
        <v>44864</v>
      </c>
      <c r="B211" s="91">
        <f t="shared" si="5"/>
        <v>2022</v>
      </c>
      <c r="C211" s="15" t="s">
        <v>2113</v>
      </c>
      <c r="D211" s="15" t="s">
        <v>2153</v>
      </c>
      <c r="E211" s="15" t="s">
        <v>2123</v>
      </c>
      <c r="F211" s="15" t="s">
        <v>2138</v>
      </c>
      <c r="G211" s="15" t="s">
        <v>2139</v>
      </c>
      <c r="H211" s="15">
        <v>1776</v>
      </c>
      <c r="I211" s="15">
        <v>497.78</v>
      </c>
    </row>
    <row r="212" spans="1:9">
      <c r="A212" s="13">
        <v>44819</v>
      </c>
      <c r="B212" s="91">
        <f t="shared" si="5"/>
        <v>2022</v>
      </c>
      <c r="C212" s="15" t="s">
        <v>104</v>
      </c>
      <c r="D212" s="15" t="s">
        <v>2153</v>
      </c>
      <c r="E212" s="15" t="s">
        <v>2143</v>
      </c>
      <c r="F212" s="15" t="s">
        <v>2116</v>
      </c>
      <c r="G212" s="15" t="s">
        <v>2127</v>
      </c>
      <c r="H212" s="15">
        <v>3154</v>
      </c>
      <c r="I212" s="15">
        <v>812.44</v>
      </c>
    </row>
    <row r="213" spans="1:9">
      <c r="A213" s="13">
        <v>44902</v>
      </c>
      <c r="B213" s="91">
        <f t="shared" si="5"/>
        <v>2022</v>
      </c>
      <c r="C213" s="15" t="s">
        <v>2113</v>
      </c>
      <c r="D213" s="15" t="s">
        <v>2118</v>
      </c>
      <c r="E213" s="15" t="s">
        <v>2119</v>
      </c>
      <c r="F213" s="15" t="s">
        <v>2138</v>
      </c>
      <c r="G213" s="15" t="s">
        <v>2149</v>
      </c>
      <c r="H213" s="15">
        <v>2568</v>
      </c>
      <c r="I213" s="15">
        <v>730.66</v>
      </c>
    </row>
    <row r="214" spans="1:9">
      <c r="A214" s="13">
        <v>45375</v>
      </c>
      <c r="B214" s="91">
        <f t="shared" si="5"/>
        <v>2024</v>
      </c>
      <c r="C214" s="15" t="s">
        <v>104</v>
      </c>
      <c r="D214" s="15" t="s">
        <v>2118</v>
      </c>
      <c r="E214" s="15" t="s">
        <v>2123</v>
      </c>
      <c r="F214" s="15" t="s">
        <v>2138</v>
      </c>
      <c r="G214" s="15" t="s">
        <v>2139</v>
      </c>
      <c r="H214" s="15">
        <v>2197</v>
      </c>
      <c r="I214" s="15">
        <v>529.35</v>
      </c>
    </row>
    <row r="215" spans="1:9">
      <c r="A215" s="13">
        <v>45086</v>
      </c>
      <c r="B215" s="91">
        <f t="shared" si="5"/>
        <v>2023</v>
      </c>
      <c r="C215" s="15" t="s">
        <v>107</v>
      </c>
      <c r="D215" s="15" t="s">
        <v>2152</v>
      </c>
      <c r="E215" s="15" t="s">
        <v>2115</v>
      </c>
      <c r="F215" s="15" t="s">
        <v>2138</v>
      </c>
      <c r="G215" s="15" t="s">
        <v>2146</v>
      </c>
      <c r="H215" s="15">
        <v>1750</v>
      </c>
      <c r="I215" s="15">
        <v>182.69</v>
      </c>
    </row>
    <row r="216" spans="1:9">
      <c r="A216" s="13">
        <v>44959</v>
      </c>
      <c r="B216" s="91">
        <f t="shared" si="5"/>
        <v>2023</v>
      </c>
      <c r="C216" s="15" t="s">
        <v>2141</v>
      </c>
      <c r="D216" s="15" t="s">
        <v>2142</v>
      </c>
      <c r="E216" s="15" t="s">
        <v>2134</v>
      </c>
      <c r="F216" s="15" t="s">
        <v>2116</v>
      </c>
      <c r="G216" s="15" t="s">
        <v>2154</v>
      </c>
      <c r="H216" s="15">
        <v>6578</v>
      </c>
      <c r="I216" s="15">
        <v>1699.28</v>
      </c>
    </row>
    <row r="217" spans="1:9">
      <c r="A217" s="13">
        <v>45526</v>
      </c>
      <c r="B217" s="91">
        <f t="shared" si="5"/>
        <v>2024</v>
      </c>
      <c r="C217" s="15" t="s">
        <v>2113</v>
      </c>
      <c r="D217" s="15" t="s">
        <v>2118</v>
      </c>
      <c r="E217" s="15" t="s">
        <v>2151</v>
      </c>
      <c r="F217" s="15" t="s">
        <v>2116</v>
      </c>
      <c r="G217" s="15" t="s">
        <v>2127</v>
      </c>
      <c r="H217" s="15">
        <v>6902</v>
      </c>
      <c r="I217" s="15">
        <v>1555.95</v>
      </c>
    </row>
    <row r="218" spans="1:9">
      <c r="A218" s="13">
        <v>45655</v>
      </c>
      <c r="B218" s="91">
        <f t="shared" si="5"/>
        <v>2024</v>
      </c>
      <c r="C218" s="15" t="s">
        <v>104</v>
      </c>
      <c r="D218" s="15" t="s">
        <v>2118</v>
      </c>
      <c r="E218" s="15" t="s">
        <v>2119</v>
      </c>
      <c r="F218" s="15" t="s">
        <v>2116</v>
      </c>
      <c r="G218" s="15" t="s">
        <v>2117</v>
      </c>
      <c r="H218" s="15">
        <v>9348</v>
      </c>
      <c r="I218" s="15">
        <v>2028.65</v>
      </c>
    </row>
    <row r="219" spans="1:9">
      <c r="A219" s="13">
        <v>45100</v>
      </c>
      <c r="B219" s="91">
        <f t="shared" si="5"/>
        <v>2023</v>
      </c>
      <c r="C219" s="15" t="s">
        <v>2113</v>
      </c>
      <c r="D219" s="15" t="s">
        <v>2152</v>
      </c>
      <c r="E219" s="15" t="s">
        <v>2151</v>
      </c>
      <c r="F219" s="15" t="s">
        <v>2120</v>
      </c>
      <c r="G219" s="15" t="s">
        <v>2121</v>
      </c>
      <c r="H219" s="15">
        <v>8621</v>
      </c>
      <c r="I219" s="15">
        <v>1622.83</v>
      </c>
    </row>
    <row r="220" spans="1:9">
      <c r="A220" s="13">
        <v>45209</v>
      </c>
      <c r="B220" s="91">
        <f t="shared" si="5"/>
        <v>2023</v>
      </c>
      <c r="C220" s="15" t="s">
        <v>107</v>
      </c>
      <c r="D220" s="15" t="s">
        <v>2135</v>
      </c>
      <c r="E220" s="15" t="s">
        <v>2115</v>
      </c>
      <c r="F220" s="15" t="s">
        <v>2120</v>
      </c>
      <c r="G220" s="15" t="s">
        <v>2133</v>
      </c>
      <c r="H220" s="15">
        <v>4576</v>
      </c>
      <c r="I220" s="15">
        <v>925.06</v>
      </c>
    </row>
    <row r="221" spans="1:9">
      <c r="A221" s="13">
        <v>45203</v>
      </c>
      <c r="B221" s="91">
        <f t="shared" si="5"/>
        <v>2023</v>
      </c>
      <c r="C221" s="15" t="s">
        <v>2113</v>
      </c>
      <c r="D221" s="15" t="s">
        <v>2153</v>
      </c>
      <c r="E221" s="15" t="s">
        <v>2129</v>
      </c>
      <c r="F221" s="15" t="s">
        <v>2116</v>
      </c>
      <c r="G221" s="15" t="s">
        <v>2117</v>
      </c>
      <c r="H221" s="15">
        <v>5929</v>
      </c>
      <c r="I221" s="15">
        <v>802.53</v>
      </c>
    </row>
    <row r="222" spans="1:9">
      <c r="A222" s="13">
        <v>44626</v>
      </c>
      <c r="B222" s="91">
        <f t="shared" si="5"/>
        <v>2022</v>
      </c>
      <c r="C222" s="15" t="s">
        <v>2113</v>
      </c>
      <c r="D222" s="15" t="s">
        <v>2152</v>
      </c>
      <c r="E222" s="15" t="s">
        <v>2115</v>
      </c>
      <c r="F222" s="15" t="s">
        <v>2138</v>
      </c>
      <c r="G222" s="15" t="s">
        <v>2139</v>
      </c>
      <c r="H222" s="15">
        <v>2996</v>
      </c>
      <c r="I222" s="15">
        <v>846.23</v>
      </c>
    </row>
    <row r="223" spans="1:9">
      <c r="A223" s="13">
        <v>45343</v>
      </c>
      <c r="B223" s="91">
        <f t="shared" si="5"/>
        <v>2024</v>
      </c>
      <c r="C223" s="15" t="s">
        <v>104</v>
      </c>
      <c r="D223" s="15" t="s">
        <v>2131</v>
      </c>
      <c r="E223" s="15" t="s">
        <v>2115</v>
      </c>
      <c r="F223" s="15" t="s">
        <v>2138</v>
      </c>
      <c r="G223" s="15" t="s">
        <v>2146</v>
      </c>
      <c r="H223" s="15">
        <v>9338</v>
      </c>
      <c r="I223" s="15">
        <v>2402.1999999999998</v>
      </c>
    </row>
    <row r="224" spans="1:9">
      <c r="A224" s="13">
        <v>45641</v>
      </c>
      <c r="B224" s="91">
        <f t="shared" si="5"/>
        <v>2024</v>
      </c>
      <c r="C224" s="15" t="s">
        <v>104</v>
      </c>
      <c r="D224" s="15" t="s">
        <v>2135</v>
      </c>
      <c r="E224" s="15" t="s">
        <v>2143</v>
      </c>
      <c r="F224" s="15" t="s">
        <v>2120</v>
      </c>
      <c r="G224" s="15" t="s">
        <v>2132</v>
      </c>
      <c r="H224" s="15">
        <v>1213</v>
      </c>
      <c r="I224" s="15">
        <v>191.61</v>
      </c>
    </row>
    <row r="225" spans="1:9">
      <c r="A225" s="13">
        <v>45377</v>
      </c>
      <c r="B225" s="91">
        <f t="shared" si="5"/>
        <v>2024</v>
      </c>
      <c r="C225" s="15" t="s">
        <v>2113</v>
      </c>
      <c r="D225" s="15" t="s">
        <v>2142</v>
      </c>
      <c r="E225" s="15" t="s">
        <v>2115</v>
      </c>
      <c r="F225" s="15" t="s">
        <v>2124</v>
      </c>
      <c r="G225" s="15" t="s">
        <v>2140</v>
      </c>
      <c r="H225" s="15">
        <v>9626</v>
      </c>
      <c r="I225" s="15">
        <v>2453.1799999999998</v>
      </c>
    </row>
    <row r="226" spans="1:9">
      <c r="A226" s="13">
        <v>44693</v>
      </c>
      <c r="B226" s="91">
        <f t="shared" si="5"/>
        <v>2022</v>
      </c>
      <c r="C226" s="15" t="s">
        <v>2141</v>
      </c>
      <c r="D226" s="15" t="s">
        <v>2152</v>
      </c>
      <c r="E226" s="15" t="s">
        <v>2115</v>
      </c>
      <c r="F226" s="15" t="s">
        <v>2116</v>
      </c>
      <c r="G226" s="15" t="s">
        <v>2117</v>
      </c>
      <c r="H226" s="15">
        <v>6184</v>
      </c>
      <c r="I226" s="15">
        <v>988.34</v>
      </c>
    </row>
    <row r="227" spans="1:9">
      <c r="A227" s="13">
        <v>45305</v>
      </c>
      <c r="B227" s="91">
        <f t="shared" si="5"/>
        <v>2024</v>
      </c>
      <c r="C227" s="15" t="s">
        <v>2113</v>
      </c>
      <c r="D227" s="15" t="s">
        <v>2142</v>
      </c>
      <c r="E227" s="15" t="s">
        <v>2123</v>
      </c>
      <c r="F227" s="15" t="s">
        <v>2116</v>
      </c>
      <c r="G227" s="15" t="s">
        <v>2154</v>
      </c>
      <c r="H227" s="15">
        <v>8384</v>
      </c>
      <c r="I227" s="15">
        <v>1854.12</v>
      </c>
    </row>
    <row r="228" spans="1:9">
      <c r="A228" s="13">
        <v>45492</v>
      </c>
      <c r="B228" s="91">
        <f t="shared" si="5"/>
        <v>2024</v>
      </c>
      <c r="C228" s="15" t="s">
        <v>2141</v>
      </c>
      <c r="D228" s="15" t="s">
        <v>2118</v>
      </c>
      <c r="E228" s="15" t="s">
        <v>2129</v>
      </c>
      <c r="F228" s="15" t="s">
        <v>2120</v>
      </c>
      <c r="G228" s="15" t="s">
        <v>2132</v>
      </c>
      <c r="H228" s="15">
        <v>7553</v>
      </c>
      <c r="I228" s="15">
        <v>1878.83</v>
      </c>
    </row>
    <row r="229" spans="1:9">
      <c r="A229" s="13">
        <v>44650</v>
      </c>
      <c r="B229" s="91">
        <f t="shared" si="5"/>
        <v>2022</v>
      </c>
      <c r="C229" s="15" t="s">
        <v>2113</v>
      </c>
      <c r="D229" s="15" t="s">
        <v>2128</v>
      </c>
      <c r="E229" s="15" t="s">
        <v>2119</v>
      </c>
      <c r="F229" s="15" t="s">
        <v>2138</v>
      </c>
      <c r="G229" s="15" t="s">
        <v>2149</v>
      </c>
      <c r="H229" s="15">
        <v>5740</v>
      </c>
      <c r="I229" s="15">
        <v>767.07</v>
      </c>
    </row>
    <row r="230" spans="1:9">
      <c r="A230" s="13">
        <v>44831</v>
      </c>
      <c r="B230" s="91">
        <f t="shared" si="5"/>
        <v>2022</v>
      </c>
      <c r="C230" s="15" t="s">
        <v>104</v>
      </c>
      <c r="D230" s="15" t="s">
        <v>2142</v>
      </c>
      <c r="E230" s="15" t="s">
        <v>2145</v>
      </c>
      <c r="F230" s="15" t="s">
        <v>2116</v>
      </c>
      <c r="G230" s="15" t="s">
        <v>2117</v>
      </c>
      <c r="H230" s="15">
        <v>1859</v>
      </c>
      <c r="I230" s="15">
        <v>343.06</v>
      </c>
    </row>
    <row r="231" spans="1:9">
      <c r="A231" s="13">
        <v>44934</v>
      </c>
      <c r="B231" s="91">
        <f t="shared" si="5"/>
        <v>2023</v>
      </c>
      <c r="C231" s="15" t="s">
        <v>2141</v>
      </c>
      <c r="D231" s="15" t="s">
        <v>2126</v>
      </c>
      <c r="E231" s="15" t="s">
        <v>2134</v>
      </c>
      <c r="F231" s="15" t="s">
        <v>2124</v>
      </c>
      <c r="G231" s="15" t="s">
        <v>2130</v>
      </c>
      <c r="H231" s="15">
        <v>6278</v>
      </c>
      <c r="I231" s="15">
        <v>1826.43</v>
      </c>
    </row>
    <row r="232" spans="1:9">
      <c r="A232" s="13">
        <v>44837</v>
      </c>
      <c r="B232" s="91">
        <f t="shared" si="5"/>
        <v>2022</v>
      </c>
      <c r="C232" s="15" t="s">
        <v>2141</v>
      </c>
      <c r="D232" s="15" t="s">
        <v>2152</v>
      </c>
      <c r="E232" s="15" t="s">
        <v>2144</v>
      </c>
      <c r="F232" s="15" t="s">
        <v>2138</v>
      </c>
      <c r="G232" s="15" t="s">
        <v>2139</v>
      </c>
      <c r="H232" s="15">
        <v>7015</v>
      </c>
      <c r="I232" s="15">
        <v>935.73</v>
      </c>
    </row>
    <row r="233" spans="1:9">
      <c r="A233" s="13">
        <v>45395</v>
      </c>
      <c r="B233" s="91">
        <f t="shared" si="5"/>
        <v>2024</v>
      </c>
      <c r="C233" s="15" t="s">
        <v>104</v>
      </c>
      <c r="D233" s="15" t="s">
        <v>2153</v>
      </c>
      <c r="E233" s="15" t="s">
        <v>2144</v>
      </c>
      <c r="F233" s="15" t="s">
        <v>2120</v>
      </c>
      <c r="G233" s="15" t="s">
        <v>2133</v>
      </c>
      <c r="H233" s="15">
        <v>2933</v>
      </c>
      <c r="I233" s="15">
        <v>321.58999999999997</v>
      </c>
    </row>
    <row r="234" spans="1:9">
      <c r="A234" s="13">
        <v>45582</v>
      </c>
      <c r="B234" s="91">
        <f t="shared" si="5"/>
        <v>2024</v>
      </c>
      <c r="C234" s="15" t="s">
        <v>104</v>
      </c>
      <c r="D234" s="15" t="s">
        <v>2131</v>
      </c>
      <c r="E234" s="15" t="s">
        <v>2144</v>
      </c>
      <c r="F234" s="15" t="s">
        <v>2124</v>
      </c>
      <c r="G234" s="15" t="s">
        <v>2125</v>
      </c>
      <c r="H234" s="15">
        <v>2086</v>
      </c>
      <c r="I234" s="15">
        <v>312.39</v>
      </c>
    </row>
    <row r="235" spans="1:9">
      <c r="A235" s="13">
        <v>45273</v>
      </c>
      <c r="B235" s="91">
        <f t="shared" si="5"/>
        <v>2023</v>
      </c>
      <c r="C235" s="15" t="s">
        <v>104</v>
      </c>
      <c r="D235" s="15" t="s">
        <v>2118</v>
      </c>
      <c r="E235" s="15" t="s">
        <v>2145</v>
      </c>
      <c r="F235" s="15" t="s">
        <v>2120</v>
      </c>
      <c r="G235" s="15" t="s">
        <v>2132</v>
      </c>
      <c r="H235" s="15">
        <v>2804</v>
      </c>
      <c r="I235" s="15">
        <v>712.68</v>
      </c>
    </row>
    <row r="236" spans="1:9">
      <c r="A236" s="13">
        <v>45051</v>
      </c>
      <c r="B236" s="91">
        <f t="shared" si="5"/>
        <v>2023</v>
      </c>
      <c r="C236" s="15" t="s">
        <v>2141</v>
      </c>
      <c r="D236" s="15" t="s">
        <v>2114</v>
      </c>
      <c r="E236" s="15" t="s">
        <v>2136</v>
      </c>
      <c r="F236" s="15" t="s">
        <v>2116</v>
      </c>
      <c r="G236" s="15" t="s">
        <v>2127</v>
      </c>
      <c r="H236" s="15">
        <v>2412</v>
      </c>
      <c r="I236" s="15">
        <v>660.84</v>
      </c>
    </row>
    <row r="237" spans="1:9">
      <c r="A237" s="13">
        <v>45025</v>
      </c>
      <c r="B237" s="91">
        <f t="shared" si="5"/>
        <v>2023</v>
      </c>
      <c r="C237" s="15" t="s">
        <v>2141</v>
      </c>
      <c r="D237" s="15" t="s">
        <v>2131</v>
      </c>
      <c r="E237" s="15" t="s">
        <v>2136</v>
      </c>
      <c r="F237" s="15" t="s">
        <v>2124</v>
      </c>
      <c r="G237" s="15" t="s">
        <v>2125</v>
      </c>
      <c r="H237" s="15">
        <v>8285</v>
      </c>
      <c r="I237" s="15">
        <v>2020.34</v>
      </c>
    </row>
    <row r="238" spans="1:9">
      <c r="A238" s="13">
        <v>44584</v>
      </c>
      <c r="B238" s="91">
        <f t="shared" si="5"/>
        <v>2022</v>
      </c>
      <c r="C238" s="15" t="s">
        <v>104</v>
      </c>
      <c r="D238" s="15" t="s">
        <v>2152</v>
      </c>
      <c r="E238" s="15" t="s">
        <v>2151</v>
      </c>
      <c r="F238" s="15" t="s">
        <v>2124</v>
      </c>
      <c r="G238" s="15" t="s">
        <v>2125</v>
      </c>
      <c r="H238" s="15">
        <v>4237</v>
      </c>
      <c r="I238" s="15">
        <v>758.92</v>
      </c>
    </row>
    <row r="239" spans="1:9">
      <c r="A239" s="13">
        <v>45391</v>
      </c>
      <c r="B239" s="91">
        <f t="shared" si="5"/>
        <v>2024</v>
      </c>
      <c r="C239" s="15" t="s">
        <v>104</v>
      </c>
      <c r="D239" s="15" t="s">
        <v>2142</v>
      </c>
      <c r="E239" s="15" t="s">
        <v>2115</v>
      </c>
      <c r="F239" s="15" t="s">
        <v>2138</v>
      </c>
      <c r="G239" s="15" t="s">
        <v>2149</v>
      </c>
      <c r="H239" s="15">
        <v>9719</v>
      </c>
      <c r="I239" s="15">
        <v>1066.77</v>
      </c>
    </row>
    <row r="240" spans="1:9">
      <c r="A240" s="13">
        <v>45620</v>
      </c>
      <c r="B240" s="91">
        <f t="shared" si="5"/>
        <v>2024</v>
      </c>
      <c r="C240" s="15" t="s">
        <v>104</v>
      </c>
      <c r="D240" s="15" t="s">
        <v>2135</v>
      </c>
      <c r="E240" s="15" t="s">
        <v>2115</v>
      </c>
      <c r="F240" s="15" t="s">
        <v>2116</v>
      </c>
      <c r="G240" s="15" t="s">
        <v>2154</v>
      </c>
      <c r="H240" s="15">
        <v>6177</v>
      </c>
      <c r="I240" s="15">
        <v>1179.83</v>
      </c>
    </row>
    <row r="241" spans="1:9">
      <c r="A241" s="13">
        <v>44850</v>
      </c>
      <c r="B241" s="91">
        <f t="shared" si="5"/>
        <v>2022</v>
      </c>
      <c r="C241" s="15" t="s">
        <v>104</v>
      </c>
      <c r="D241" s="15" t="s">
        <v>2148</v>
      </c>
      <c r="E241" s="15" t="s">
        <v>2145</v>
      </c>
      <c r="F241" s="15" t="s">
        <v>2138</v>
      </c>
      <c r="G241" s="15" t="s">
        <v>2146</v>
      </c>
      <c r="H241" s="15">
        <v>2926</v>
      </c>
      <c r="I241" s="15">
        <v>712.81</v>
      </c>
    </row>
    <row r="242" spans="1:9">
      <c r="A242" s="13">
        <v>44716</v>
      </c>
      <c r="B242" s="91">
        <f t="shared" si="5"/>
        <v>2022</v>
      </c>
      <c r="C242" s="15" t="s">
        <v>107</v>
      </c>
      <c r="D242" s="15" t="s">
        <v>2153</v>
      </c>
      <c r="E242" s="15" t="s">
        <v>2136</v>
      </c>
      <c r="F242" s="15" t="s">
        <v>2124</v>
      </c>
      <c r="G242" s="15" t="s">
        <v>2130</v>
      </c>
      <c r="H242" s="15">
        <v>9225</v>
      </c>
      <c r="I242" s="15">
        <v>1610.23</v>
      </c>
    </row>
    <row r="243" spans="1:9">
      <c r="A243" s="13">
        <v>44638</v>
      </c>
      <c r="B243" s="91">
        <f t="shared" si="5"/>
        <v>2022</v>
      </c>
      <c r="C243" s="15" t="s">
        <v>2113</v>
      </c>
      <c r="D243" s="15" t="s">
        <v>2135</v>
      </c>
      <c r="E243" s="15" t="s">
        <v>2144</v>
      </c>
      <c r="F243" s="15" t="s">
        <v>2116</v>
      </c>
      <c r="G243" s="15" t="s">
        <v>2117</v>
      </c>
      <c r="H243" s="15">
        <v>8647</v>
      </c>
      <c r="I243" s="15">
        <v>2005.35</v>
      </c>
    </row>
    <row r="244" spans="1:9">
      <c r="A244" s="13">
        <v>44859</v>
      </c>
      <c r="B244" s="91">
        <f t="shared" si="5"/>
        <v>2022</v>
      </c>
      <c r="C244" s="15" t="s">
        <v>2141</v>
      </c>
      <c r="D244" s="15" t="s">
        <v>2131</v>
      </c>
      <c r="E244" s="15" t="s">
        <v>2145</v>
      </c>
      <c r="F244" s="15" t="s">
        <v>2120</v>
      </c>
      <c r="G244" s="15" t="s">
        <v>2132</v>
      </c>
      <c r="H244" s="15">
        <v>5293</v>
      </c>
      <c r="I244" s="15">
        <v>900.47</v>
      </c>
    </row>
    <row r="245" spans="1:9">
      <c r="A245" s="13">
        <v>45216</v>
      </c>
      <c r="B245" s="91">
        <f t="shared" si="5"/>
        <v>2023</v>
      </c>
      <c r="C245" s="15" t="s">
        <v>107</v>
      </c>
      <c r="D245" s="15" t="s">
        <v>2148</v>
      </c>
      <c r="E245" s="15" t="s">
        <v>2115</v>
      </c>
      <c r="F245" s="15" t="s">
        <v>2120</v>
      </c>
      <c r="G245" s="15" t="s">
        <v>2121</v>
      </c>
      <c r="H245" s="15">
        <v>3620</v>
      </c>
      <c r="I245" s="15">
        <v>562.21</v>
      </c>
    </row>
    <row r="246" spans="1:9">
      <c r="A246" s="13">
        <v>45447</v>
      </c>
      <c r="B246" s="91">
        <f t="shared" si="5"/>
        <v>2024</v>
      </c>
      <c r="C246" s="15" t="s">
        <v>107</v>
      </c>
      <c r="D246" s="15" t="s">
        <v>2114</v>
      </c>
      <c r="E246" s="15" t="s">
        <v>2129</v>
      </c>
      <c r="F246" s="15" t="s">
        <v>2138</v>
      </c>
      <c r="G246" s="15" t="s">
        <v>2149</v>
      </c>
      <c r="H246" s="15">
        <v>7525</v>
      </c>
      <c r="I246" s="15">
        <v>2255.75</v>
      </c>
    </row>
    <row r="247" spans="1:9">
      <c r="A247" s="13">
        <v>45141</v>
      </c>
      <c r="B247" s="91">
        <f t="shared" si="5"/>
        <v>2023</v>
      </c>
      <c r="C247" s="15" t="s">
        <v>107</v>
      </c>
      <c r="D247" s="15" t="s">
        <v>2135</v>
      </c>
      <c r="E247" s="15" t="s">
        <v>2134</v>
      </c>
      <c r="F247" s="15" t="s">
        <v>2138</v>
      </c>
      <c r="G247" s="15" t="s">
        <v>2146</v>
      </c>
      <c r="H247" s="15">
        <v>8351</v>
      </c>
      <c r="I247" s="15">
        <v>986.92</v>
      </c>
    </row>
    <row r="248" spans="1:9">
      <c r="A248" s="13">
        <v>45646</v>
      </c>
      <c r="B248" s="91">
        <f t="shared" si="5"/>
        <v>2024</v>
      </c>
      <c r="C248" s="15" t="s">
        <v>2141</v>
      </c>
      <c r="D248" s="15" t="s">
        <v>2153</v>
      </c>
      <c r="E248" s="15" t="s">
        <v>2136</v>
      </c>
      <c r="F248" s="15" t="s">
        <v>2120</v>
      </c>
      <c r="G248" s="15" t="s">
        <v>2132</v>
      </c>
      <c r="H248" s="15">
        <v>2677</v>
      </c>
      <c r="I248" s="15">
        <v>672.62</v>
      </c>
    </row>
    <row r="249" spans="1:9">
      <c r="A249" s="13">
        <v>45157</v>
      </c>
      <c r="B249" s="91">
        <f t="shared" si="5"/>
        <v>2023</v>
      </c>
      <c r="C249" s="15" t="s">
        <v>2113</v>
      </c>
      <c r="D249" s="15" t="s">
        <v>2135</v>
      </c>
      <c r="E249" s="15" t="s">
        <v>2119</v>
      </c>
      <c r="F249" s="15" t="s">
        <v>2120</v>
      </c>
      <c r="G249" s="15" t="s">
        <v>2132</v>
      </c>
      <c r="H249" s="15">
        <v>2566</v>
      </c>
      <c r="I249" s="15">
        <v>427.85</v>
      </c>
    </row>
    <row r="250" spans="1:9">
      <c r="A250" s="13">
        <v>45085</v>
      </c>
      <c r="B250" s="91">
        <f t="shared" si="5"/>
        <v>2023</v>
      </c>
      <c r="C250" s="15" t="s">
        <v>107</v>
      </c>
      <c r="D250" s="15" t="s">
        <v>2152</v>
      </c>
      <c r="E250" s="15" t="s">
        <v>2136</v>
      </c>
      <c r="F250" s="15" t="s">
        <v>2120</v>
      </c>
      <c r="G250" s="15" t="s">
        <v>2132</v>
      </c>
      <c r="H250" s="15">
        <v>9474</v>
      </c>
      <c r="I250" s="15">
        <v>1861.55</v>
      </c>
    </row>
    <row r="251" spans="1:9">
      <c r="A251" s="13">
        <v>45127</v>
      </c>
      <c r="B251" s="91">
        <f t="shared" si="5"/>
        <v>2023</v>
      </c>
      <c r="C251" s="15" t="s">
        <v>2113</v>
      </c>
      <c r="D251" s="15" t="s">
        <v>2118</v>
      </c>
      <c r="E251" s="15" t="s">
        <v>2129</v>
      </c>
      <c r="F251" s="15" t="s">
        <v>2124</v>
      </c>
      <c r="G251" s="15" t="s">
        <v>2125</v>
      </c>
      <c r="H251" s="15">
        <v>6451</v>
      </c>
      <c r="I251" s="15">
        <v>1853.42</v>
      </c>
    </row>
    <row r="252" spans="1:9">
      <c r="A252" s="13">
        <v>45147</v>
      </c>
      <c r="B252" s="91">
        <f t="shared" si="5"/>
        <v>2023</v>
      </c>
      <c r="C252" s="15" t="s">
        <v>2113</v>
      </c>
      <c r="D252" s="15" t="s">
        <v>2148</v>
      </c>
      <c r="E252" s="15" t="s">
        <v>2143</v>
      </c>
      <c r="F252" s="15" t="s">
        <v>2116</v>
      </c>
      <c r="G252" s="15" t="s">
        <v>2154</v>
      </c>
      <c r="H252" s="15">
        <v>1641</v>
      </c>
      <c r="I252" s="15">
        <v>465.54</v>
      </c>
    </row>
    <row r="253" spans="1:9">
      <c r="A253" s="13">
        <v>45165</v>
      </c>
      <c r="B253" s="91">
        <f t="shared" si="5"/>
        <v>2023</v>
      </c>
      <c r="C253" s="15" t="s">
        <v>107</v>
      </c>
      <c r="D253" s="15" t="s">
        <v>2131</v>
      </c>
      <c r="E253" s="15" t="s">
        <v>2143</v>
      </c>
      <c r="F253" s="15" t="s">
        <v>2138</v>
      </c>
      <c r="G253" s="15" t="s">
        <v>2149</v>
      </c>
      <c r="H253" s="15">
        <v>1386</v>
      </c>
      <c r="I253" s="15">
        <v>217.53</v>
      </c>
    </row>
    <row r="254" spans="1:9">
      <c r="A254" s="13">
        <v>45113</v>
      </c>
      <c r="B254" s="91">
        <f t="shared" si="5"/>
        <v>2023</v>
      </c>
      <c r="C254" s="15" t="s">
        <v>104</v>
      </c>
      <c r="D254" s="15" t="s">
        <v>2142</v>
      </c>
      <c r="E254" s="15" t="s">
        <v>2123</v>
      </c>
      <c r="F254" s="15" t="s">
        <v>2116</v>
      </c>
      <c r="G254" s="15" t="s">
        <v>2154</v>
      </c>
      <c r="H254" s="15">
        <v>9980</v>
      </c>
      <c r="I254" s="15">
        <v>1735.09</v>
      </c>
    </row>
    <row r="255" spans="1:9">
      <c r="A255" s="13">
        <v>45269</v>
      </c>
      <c r="B255" s="91">
        <f t="shared" si="5"/>
        <v>2023</v>
      </c>
      <c r="C255" s="15" t="s">
        <v>2113</v>
      </c>
      <c r="D255" s="15" t="s">
        <v>2131</v>
      </c>
      <c r="E255" s="15" t="s">
        <v>2129</v>
      </c>
      <c r="F255" s="15" t="s">
        <v>2138</v>
      </c>
      <c r="G255" s="15" t="s">
        <v>2139</v>
      </c>
      <c r="H255" s="15">
        <v>5028</v>
      </c>
      <c r="I255" s="15">
        <v>548.22</v>
      </c>
    </row>
    <row r="256" spans="1:9">
      <c r="A256" s="13">
        <v>44690</v>
      </c>
      <c r="B256" s="91">
        <f t="shared" si="5"/>
        <v>2022</v>
      </c>
      <c r="C256" s="15" t="s">
        <v>107</v>
      </c>
      <c r="D256" s="15" t="s">
        <v>2148</v>
      </c>
      <c r="E256" s="15" t="s">
        <v>2136</v>
      </c>
      <c r="F256" s="15" t="s">
        <v>2120</v>
      </c>
      <c r="G256" s="15" t="s">
        <v>2132</v>
      </c>
      <c r="H256" s="15">
        <v>4157</v>
      </c>
      <c r="I256" s="15">
        <v>1152.07</v>
      </c>
    </row>
    <row r="257" spans="1:9">
      <c r="A257" s="13">
        <v>44725</v>
      </c>
      <c r="B257" s="91">
        <f t="shared" si="5"/>
        <v>2022</v>
      </c>
      <c r="C257" s="15" t="s">
        <v>2113</v>
      </c>
      <c r="D257" s="15" t="s">
        <v>2114</v>
      </c>
      <c r="E257" s="15" t="s">
        <v>2136</v>
      </c>
      <c r="F257" s="15" t="s">
        <v>2120</v>
      </c>
      <c r="G257" s="15" t="s">
        <v>2133</v>
      </c>
      <c r="H257" s="15">
        <v>1187</v>
      </c>
      <c r="I257" s="15">
        <v>233.97</v>
      </c>
    </row>
    <row r="258" spans="1:9">
      <c r="A258" s="13">
        <v>45522</v>
      </c>
      <c r="B258" s="91">
        <f t="shared" si="5"/>
        <v>2024</v>
      </c>
      <c r="C258" s="15" t="s">
        <v>104</v>
      </c>
      <c r="D258" s="15" t="s">
        <v>2118</v>
      </c>
      <c r="E258" s="15" t="s">
        <v>2151</v>
      </c>
      <c r="F258" s="15" t="s">
        <v>2124</v>
      </c>
      <c r="G258" s="15" t="s">
        <v>2125</v>
      </c>
      <c r="H258" s="15">
        <v>3759</v>
      </c>
      <c r="I258" s="15">
        <v>505.3</v>
      </c>
    </row>
    <row r="259" spans="1:9">
      <c r="A259" s="13">
        <v>44622</v>
      </c>
      <c r="B259" s="91">
        <f t="shared" ref="B259:B322" si="6">YEAR(A259)</f>
        <v>2022</v>
      </c>
      <c r="C259" s="15" t="s">
        <v>2141</v>
      </c>
      <c r="D259" s="15" t="s">
        <v>2152</v>
      </c>
      <c r="E259" s="15" t="s">
        <v>2145</v>
      </c>
      <c r="F259" s="15" t="s">
        <v>2138</v>
      </c>
      <c r="G259" s="15" t="s">
        <v>2149</v>
      </c>
      <c r="H259" s="15">
        <v>3804</v>
      </c>
      <c r="I259" s="15">
        <v>1111.4000000000001</v>
      </c>
    </row>
    <row r="260" spans="1:9">
      <c r="A260" s="13">
        <v>45069</v>
      </c>
      <c r="B260" s="91">
        <f t="shared" si="6"/>
        <v>2023</v>
      </c>
      <c r="C260" s="15" t="s">
        <v>107</v>
      </c>
      <c r="D260" s="15" t="s">
        <v>2148</v>
      </c>
      <c r="E260" s="15" t="s">
        <v>2129</v>
      </c>
      <c r="F260" s="15" t="s">
        <v>2120</v>
      </c>
      <c r="G260" s="15" t="s">
        <v>2133</v>
      </c>
      <c r="H260" s="15">
        <v>2766</v>
      </c>
      <c r="I260" s="15">
        <v>699.26</v>
      </c>
    </row>
    <row r="261" spans="1:9">
      <c r="A261" s="13">
        <v>44982</v>
      </c>
      <c r="B261" s="91">
        <f t="shared" si="6"/>
        <v>2023</v>
      </c>
      <c r="C261" s="15" t="s">
        <v>104</v>
      </c>
      <c r="D261" s="15" t="s">
        <v>2148</v>
      </c>
      <c r="E261" s="15" t="s">
        <v>2119</v>
      </c>
      <c r="F261" s="15" t="s">
        <v>2138</v>
      </c>
      <c r="G261" s="15" t="s">
        <v>2139</v>
      </c>
      <c r="H261" s="15">
        <v>5989</v>
      </c>
      <c r="I261" s="15">
        <v>829.27</v>
      </c>
    </row>
    <row r="262" spans="1:9">
      <c r="A262" s="13">
        <v>44867</v>
      </c>
      <c r="B262" s="91">
        <f t="shared" si="6"/>
        <v>2022</v>
      </c>
      <c r="C262" s="15" t="s">
        <v>107</v>
      </c>
      <c r="D262" s="15" t="s">
        <v>2126</v>
      </c>
      <c r="E262" s="15" t="s">
        <v>2119</v>
      </c>
      <c r="F262" s="15" t="s">
        <v>2138</v>
      </c>
      <c r="G262" s="15" t="s">
        <v>2149</v>
      </c>
      <c r="H262" s="15">
        <v>1089</v>
      </c>
      <c r="I262" s="15">
        <v>202.33</v>
      </c>
    </row>
    <row r="263" spans="1:9">
      <c r="A263" s="13">
        <v>44675</v>
      </c>
      <c r="B263" s="91">
        <f t="shared" si="6"/>
        <v>2022</v>
      </c>
      <c r="C263" s="15" t="s">
        <v>2141</v>
      </c>
      <c r="D263" s="15" t="s">
        <v>2148</v>
      </c>
      <c r="E263" s="15" t="s">
        <v>2144</v>
      </c>
      <c r="F263" s="15" t="s">
        <v>2120</v>
      </c>
      <c r="G263" s="15" t="s">
        <v>2132</v>
      </c>
      <c r="H263" s="15">
        <v>5306</v>
      </c>
      <c r="I263" s="15">
        <v>608.94000000000005</v>
      </c>
    </row>
    <row r="264" spans="1:9">
      <c r="A264" s="13">
        <v>44814</v>
      </c>
      <c r="B264" s="91">
        <f t="shared" si="6"/>
        <v>2022</v>
      </c>
      <c r="C264" s="15" t="s">
        <v>2141</v>
      </c>
      <c r="D264" s="15" t="s">
        <v>2118</v>
      </c>
      <c r="E264" s="15" t="s">
        <v>2143</v>
      </c>
      <c r="F264" s="15" t="s">
        <v>2116</v>
      </c>
      <c r="G264" s="15" t="s">
        <v>2117</v>
      </c>
      <c r="H264" s="15">
        <v>7255</v>
      </c>
      <c r="I264" s="15">
        <v>1320.72</v>
      </c>
    </row>
    <row r="265" spans="1:9">
      <c r="A265" s="13">
        <v>45082</v>
      </c>
      <c r="B265" s="91">
        <f t="shared" si="6"/>
        <v>2023</v>
      </c>
      <c r="C265" s="15" t="s">
        <v>104</v>
      </c>
      <c r="D265" s="15" t="s">
        <v>2152</v>
      </c>
      <c r="E265" s="15" t="s">
        <v>2151</v>
      </c>
      <c r="F265" s="15" t="s">
        <v>2138</v>
      </c>
      <c r="G265" s="15" t="s">
        <v>2146</v>
      </c>
      <c r="H265" s="15">
        <v>7511</v>
      </c>
      <c r="I265" s="15">
        <v>882.96</v>
      </c>
    </row>
    <row r="266" spans="1:9">
      <c r="A266" s="13">
        <v>44772</v>
      </c>
      <c r="B266" s="91">
        <f t="shared" si="6"/>
        <v>2022</v>
      </c>
      <c r="C266" s="15" t="s">
        <v>2141</v>
      </c>
      <c r="D266" s="15" t="s">
        <v>2118</v>
      </c>
      <c r="E266" s="15" t="s">
        <v>2134</v>
      </c>
      <c r="F266" s="15" t="s">
        <v>2124</v>
      </c>
      <c r="G266" s="15" t="s">
        <v>2140</v>
      </c>
      <c r="H266" s="15">
        <v>1157</v>
      </c>
      <c r="I266" s="15">
        <v>130.25</v>
      </c>
    </row>
    <row r="267" spans="1:9">
      <c r="A267" s="13">
        <v>44741</v>
      </c>
      <c r="B267" s="91">
        <f t="shared" si="6"/>
        <v>2022</v>
      </c>
      <c r="C267" s="15" t="s">
        <v>2113</v>
      </c>
      <c r="D267" s="15" t="s">
        <v>2152</v>
      </c>
      <c r="E267" s="15" t="s">
        <v>2129</v>
      </c>
      <c r="F267" s="15" t="s">
        <v>2124</v>
      </c>
      <c r="G267" s="15" t="s">
        <v>2140</v>
      </c>
      <c r="H267" s="15">
        <v>7217</v>
      </c>
      <c r="I267" s="15">
        <v>1677.47</v>
      </c>
    </row>
    <row r="268" spans="1:9">
      <c r="A268" s="13">
        <v>45339</v>
      </c>
      <c r="B268" s="91">
        <f t="shared" si="6"/>
        <v>2024</v>
      </c>
      <c r="C268" s="15" t="s">
        <v>107</v>
      </c>
      <c r="D268" s="15" t="s">
        <v>2153</v>
      </c>
      <c r="E268" s="15" t="s">
        <v>2143</v>
      </c>
      <c r="F268" s="15" t="s">
        <v>2124</v>
      </c>
      <c r="G268" s="15" t="s">
        <v>2130</v>
      </c>
      <c r="H268" s="15">
        <v>2382</v>
      </c>
      <c r="I268" s="15">
        <v>389.87</v>
      </c>
    </row>
    <row r="269" spans="1:9">
      <c r="A269" s="13">
        <v>45570</v>
      </c>
      <c r="B269" s="91">
        <f t="shared" si="6"/>
        <v>2024</v>
      </c>
      <c r="C269" s="15" t="s">
        <v>104</v>
      </c>
      <c r="D269" s="15" t="s">
        <v>2148</v>
      </c>
      <c r="E269" s="15" t="s">
        <v>2115</v>
      </c>
      <c r="F269" s="15" t="s">
        <v>2138</v>
      </c>
      <c r="G269" s="15" t="s">
        <v>2149</v>
      </c>
      <c r="H269" s="15">
        <v>3853</v>
      </c>
      <c r="I269" s="15">
        <v>1005.5</v>
      </c>
    </row>
    <row r="270" spans="1:9">
      <c r="A270" s="13">
        <v>45158</v>
      </c>
      <c r="B270" s="91">
        <f t="shared" si="6"/>
        <v>2023</v>
      </c>
      <c r="C270" s="15" t="s">
        <v>104</v>
      </c>
      <c r="D270" s="15" t="s">
        <v>2114</v>
      </c>
      <c r="E270" s="15" t="s">
        <v>2129</v>
      </c>
      <c r="F270" s="15" t="s">
        <v>2124</v>
      </c>
      <c r="G270" s="15" t="s">
        <v>2130</v>
      </c>
      <c r="H270" s="15">
        <v>4385</v>
      </c>
      <c r="I270" s="15">
        <v>1236.3399999999999</v>
      </c>
    </row>
    <row r="271" spans="1:9">
      <c r="A271" s="13">
        <v>45047</v>
      </c>
      <c r="B271" s="91">
        <f t="shared" si="6"/>
        <v>2023</v>
      </c>
      <c r="C271" s="15" t="s">
        <v>2141</v>
      </c>
      <c r="D271" s="15" t="s">
        <v>2142</v>
      </c>
      <c r="E271" s="15" t="s">
        <v>2143</v>
      </c>
      <c r="F271" s="15" t="s">
        <v>2138</v>
      </c>
      <c r="G271" s="15" t="s">
        <v>2139</v>
      </c>
      <c r="H271" s="15">
        <v>4228</v>
      </c>
      <c r="I271" s="15">
        <v>514.32000000000005</v>
      </c>
    </row>
    <row r="272" spans="1:9">
      <c r="A272" s="13">
        <v>45203</v>
      </c>
      <c r="B272" s="91">
        <f t="shared" si="6"/>
        <v>2023</v>
      </c>
      <c r="C272" s="15" t="s">
        <v>2113</v>
      </c>
      <c r="D272" s="15" t="s">
        <v>2118</v>
      </c>
      <c r="E272" s="15" t="s">
        <v>2123</v>
      </c>
      <c r="F272" s="15" t="s">
        <v>2116</v>
      </c>
      <c r="G272" s="15" t="s">
        <v>2154</v>
      </c>
      <c r="H272" s="15">
        <v>9339</v>
      </c>
      <c r="I272" s="15">
        <v>2230.06</v>
      </c>
    </row>
    <row r="273" spans="1:9">
      <c r="A273" s="13">
        <v>45015</v>
      </c>
      <c r="B273" s="91">
        <f t="shared" si="6"/>
        <v>2023</v>
      </c>
      <c r="C273" s="15" t="s">
        <v>2141</v>
      </c>
      <c r="D273" s="15" t="s">
        <v>2114</v>
      </c>
      <c r="E273" s="15" t="s">
        <v>2123</v>
      </c>
      <c r="F273" s="15" t="s">
        <v>2120</v>
      </c>
      <c r="G273" s="15" t="s">
        <v>2132</v>
      </c>
      <c r="H273" s="15">
        <v>4239</v>
      </c>
      <c r="I273" s="15">
        <v>977.89</v>
      </c>
    </row>
    <row r="274" spans="1:9">
      <c r="A274" s="13">
        <v>44744</v>
      </c>
      <c r="B274" s="91">
        <f t="shared" si="6"/>
        <v>2022</v>
      </c>
      <c r="C274" s="15" t="s">
        <v>107</v>
      </c>
      <c r="D274" s="15" t="s">
        <v>2118</v>
      </c>
      <c r="E274" s="15" t="s">
        <v>2144</v>
      </c>
      <c r="F274" s="15" t="s">
        <v>2138</v>
      </c>
      <c r="G274" s="15" t="s">
        <v>2139</v>
      </c>
      <c r="H274" s="15">
        <v>1071</v>
      </c>
      <c r="I274" s="15">
        <v>262.06</v>
      </c>
    </row>
    <row r="275" spans="1:9">
      <c r="A275" s="13">
        <v>44589</v>
      </c>
      <c r="B275" s="91">
        <f t="shared" si="6"/>
        <v>2022</v>
      </c>
      <c r="C275" s="15" t="s">
        <v>2113</v>
      </c>
      <c r="D275" s="15" t="s">
        <v>2153</v>
      </c>
      <c r="E275" s="15" t="s">
        <v>2136</v>
      </c>
      <c r="F275" s="15" t="s">
        <v>2116</v>
      </c>
      <c r="G275" s="15" t="s">
        <v>2127</v>
      </c>
      <c r="H275" s="15">
        <v>7314</v>
      </c>
      <c r="I275" s="15">
        <v>2137.09</v>
      </c>
    </row>
    <row r="276" spans="1:9">
      <c r="A276" s="13">
        <v>45244</v>
      </c>
      <c r="B276" s="91">
        <f t="shared" si="6"/>
        <v>2023</v>
      </c>
      <c r="C276" s="15" t="s">
        <v>107</v>
      </c>
      <c r="D276" s="15" t="s">
        <v>2118</v>
      </c>
      <c r="E276" s="15" t="s">
        <v>2145</v>
      </c>
      <c r="F276" s="15" t="s">
        <v>2124</v>
      </c>
      <c r="G276" s="15" t="s">
        <v>2130</v>
      </c>
      <c r="H276" s="15">
        <v>8420</v>
      </c>
      <c r="I276" s="15">
        <v>2009.34</v>
      </c>
    </row>
    <row r="277" spans="1:9">
      <c r="A277" s="13">
        <v>44716</v>
      </c>
      <c r="B277" s="91">
        <f t="shared" si="6"/>
        <v>2022</v>
      </c>
      <c r="C277" s="15" t="s">
        <v>2113</v>
      </c>
      <c r="D277" s="15" t="s">
        <v>2131</v>
      </c>
      <c r="E277" s="15" t="s">
        <v>2119</v>
      </c>
      <c r="F277" s="15" t="s">
        <v>2124</v>
      </c>
      <c r="G277" s="15" t="s">
        <v>2140</v>
      </c>
      <c r="H277" s="15">
        <v>9582</v>
      </c>
      <c r="I277" s="15">
        <v>1840.55</v>
      </c>
    </row>
    <row r="278" spans="1:9">
      <c r="A278" s="13">
        <v>44918</v>
      </c>
      <c r="B278" s="91">
        <f t="shared" si="6"/>
        <v>2022</v>
      </c>
      <c r="C278" s="15" t="s">
        <v>104</v>
      </c>
      <c r="D278" s="15" t="s">
        <v>2128</v>
      </c>
      <c r="E278" s="15" t="s">
        <v>2151</v>
      </c>
      <c r="F278" s="15" t="s">
        <v>2124</v>
      </c>
      <c r="G278" s="15" t="s">
        <v>2125</v>
      </c>
      <c r="H278" s="15">
        <v>6480</v>
      </c>
      <c r="I278" s="15">
        <v>1236.28</v>
      </c>
    </row>
    <row r="279" spans="1:9">
      <c r="A279" s="13">
        <v>44839</v>
      </c>
      <c r="B279" s="91">
        <f t="shared" si="6"/>
        <v>2022</v>
      </c>
      <c r="C279" s="15" t="s">
        <v>104</v>
      </c>
      <c r="D279" s="15" t="s">
        <v>2131</v>
      </c>
      <c r="E279" s="15" t="s">
        <v>2145</v>
      </c>
      <c r="F279" s="15" t="s">
        <v>2116</v>
      </c>
      <c r="G279" s="15" t="s">
        <v>2117</v>
      </c>
      <c r="H279" s="15">
        <v>2767</v>
      </c>
      <c r="I279" s="15">
        <v>756.62</v>
      </c>
    </row>
    <row r="280" spans="1:9">
      <c r="A280" s="13">
        <v>44898</v>
      </c>
      <c r="B280" s="91">
        <f t="shared" si="6"/>
        <v>2022</v>
      </c>
      <c r="C280" s="15" t="s">
        <v>2113</v>
      </c>
      <c r="D280" s="15" t="s">
        <v>2128</v>
      </c>
      <c r="E280" s="15" t="s">
        <v>2134</v>
      </c>
      <c r="F280" s="15" t="s">
        <v>2120</v>
      </c>
      <c r="G280" s="15" t="s">
        <v>2133</v>
      </c>
      <c r="H280" s="15">
        <v>5603</v>
      </c>
      <c r="I280" s="15">
        <v>1622.88</v>
      </c>
    </row>
    <row r="281" spans="1:9">
      <c r="A281" s="13">
        <v>44709</v>
      </c>
      <c r="B281" s="91">
        <f t="shared" si="6"/>
        <v>2022</v>
      </c>
      <c r="C281" s="15" t="s">
        <v>104</v>
      </c>
      <c r="D281" s="15" t="s">
        <v>2114</v>
      </c>
      <c r="E281" s="15" t="s">
        <v>2145</v>
      </c>
      <c r="F281" s="15" t="s">
        <v>2120</v>
      </c>
      <c r="G281" s="15" t="s">
        <v>2132</v>
      </c>
      <c r="H281" s="15">
        <v>9323</v>
      </c>
      <c r="I281" s="15">
        <v>2064.64</v>
      </c>
    </row>
    <row r="282" spans="1:9">
      <c r="A282" s="13">
        <v>44919</v>
      </c>
      <c r="B282" s="91">
        <f t="shared" si="6"/>
        <v>2022</v>
      </c>
      <c r="C282" s="15" t="s">
        <v>104</v>
      </c>
      <c r="D282" s="15" t="s">
        <v>2114</v>
      </c>
      <c r="E282" s="15" t="s">
        <v>2119</v>
      </c>
      <c r="F282" s="15" t="s">
        <v>2124</v>
      </c>
      <c r="G282" s="15" t="s">
        <v>2130</v>
      </c>
      <c r="H282" s="15">
        <v>5185</v>
      </c>
      <c r="I282" s="15">
        <v>988.08</v>
      </c>
    </row>
    <row r="283" spans="1:9">
      <c r="A283" s="13">
        <v>45137</v>
      </c>
      <c r="B283" s="91">
        <f t="shared" si="6"/>
        <v>2023</v>
      </c>
      <c r="C283" s="15" t="s">
        <v>2141</v>
      </c>
      <c r="D283" s="15" t="s">
        <v>2135</v>
      </c>
      <c r="E283" s="15" t="s">
        <v>2136</v>
      </c>
      <c r="F283" s="15" t="s">
        <v>2138</v>
      </c>
      <c r="G283" s="15" t="s">
        <v>2149</v>
      </c>
      <c r="H283" s="15">
        <v>5003</v>
      </c>
      <c r="I283" s="15">
        <v>1081.46</v>
      </c>
    </row>
    <row r="284" spans="1:9">
      <c r="A284" s="13">
        <v>44628</v>
      </c>
      <c r="B284" s="91">
        <f t="shared" si="6"/>
        <v>2022</v>
      </c>
      <c r="C284" s="15" t="s">
        <v>104</v>
      </c>
      <c r="D284" s="15" t="s">
        <v>2153</v>
      </c>
      <c r="E284" s="15" t="s">
        <v>2144</v>
      </c>
      <c r="F284" s="15" t="s">
        <v>2116</v>
      </c>
      <c r="G284" s="15" t="s">
        <v>2154</v>
      </c>
      <c r="H284" s="15">
        <v>9439</v>
      </c>
      <c r="I284" s="15">
        <v>2057.2199999999998</v>
      </c>
    </row>
    <row r="285" spans="1:9">
      <c r="A285" s="13">
        <v>45652</v>
      </c>
      <c r="B285" s="91">
        <f t="shared" si="6"/>
        <v>2024</v>
      </c>
      <c r="C285" s="15" t="s">
        <v>2141</v>
      </c>
      <c r="D285" s="15" t="s">
        <v>2142</v>
      </c>
      <c r="E285" s="15" t="s">
        <v>2136</v>
      </c>
      <c r="F285" s="15" t="s">
        <v>2120</v>
      </c>
      <c r="G285" s="15" t="s">
        <v>2132</v>
      </c>
      <c r="H285" s="15">
        <v>9882</v>
      </c>
      <c r="I285" s="15">
        <v>2084.7800000000002</v>
      </c>
    </row>
    <row r="286" spans="1:9">
      <c r="A286" s="13">
        <v>45586</v>
      </c>
      <c r="B286" s="91">
        <f t="shared" si="6"/>
        <v>2024</v>
      </c>
      <c r="C286" s="15" t="s">
        <v>104</v>
      </c>
      <c r="D286" s="15" t="s">
        <v>2114</v>
      </c>
      <c r="E286" s="15" t="s">
        <v>2143</v>
      </c>
      <c r="F286" s="15" t="s">
        <v>2120</v>
      </c>
      <c r="G286" s="15" t="s">
        <v>2121</v>
      </c>
      <c r="H286" s="15">
        <v>3421</v>
      </c>
      <c r="I286" s="15">
        <v>489.38</v>
      </c>
    </row>
    <row r="287" spans="1:9">
      <c r="A287" s="13">
        <v>45419</v>
      </c>
      <c r="B287" s="91">
        <f t="shared" si="6"/>
        <v>2024</v>
      </c>
      <c r="C287" s="15" t="s">
        <v>2113</v>
      </c>
      <c r="D287" s="15" t="s">
        <v>2126</v>
      </c>
      <c r="E287" s="15" t="s">
        <v>2151</v>
      </c>
      <c r="F287" s="15" t="s">
        <v>2116</v>
      </c>
      <c r="G287" s="15" t="s">
        <v>2154</v>
      </c>
      <c r="H287" s="15">
        <v>8587</v>
      </c>
      <c r="I287" s="15">
        <v>1855.7</v>
      </c>
    </row>
    <row r="288" spans="1:9">
      <c r="A288" s="13">
        <v>44878</v>
      </c>
      <c r="B288" s="91">
        <f t="shared" si="6"/>
        <v>2022</v>
      </c>
      <c r="C288" s="15" t="s">
        <v>104</v>
      </c>
      <c r="D288" s="15" t="s">
        <v>2131</v>
      </c>
      <c r="E288" s="15" t="s">
        <v>2115</v>
      </c>
      <c r="F288" s="15" t="s">
        <v>2138</v>
      </c>
      <c r="G288" s="15" t="s">
        <v>2146</v>
      </c>
      <c r="H288" s="15">
        <v>3102</v>
      </c>
      <c r="I288" s="15">
        <v>511.59</v>
      </c>
    </row>
    <row r="289" spans="1:9">
      <c r="A289" s="13">
        <v>44891</v>
      </c>
      <c r="B289" s="91">
        <f t="shared" si="6"/>
        <v>2022</v>
      </c>
      <c r="C289" s="15" t="s">
        <v>2141</v>
      </c>
      <c r="D289" s="15" t="s">
        <v>2126</v>
      </c>
      <c r="E289" s="15" t="s">
        <v>2144</v>
      </c>
      <c r="F289" s="15" t="s">
        <v>2116</v>
      </c>
      <c r="G289" s="15" t="s">
        <v>2127</v>
      </c>
      <c r="H289" s="15">
        <v>2615</v>
      </c>
      <c r="I289" s="15">
        <v>611.12</v>
      </c>
    </row>
    <row r="290" spans="1:9">
      <c r="A290" s="13">
        <v>45513</v>
      </c>
      <c r="B290" s="91">
        <f t="shared" si="6"/>
        <v>2024</v>
      </c>
      <c r="C290" s="15" t="s">
        <v>107</v>
      </c>
      <c r="D290" s="15" t="s">
        <v>2114</v>
      </c>
      <c r="E290" s="15" t="s">
        <v>2151</v>
      </c>
      <c r="F290" s="15" t="s">
        <v>2138</v>
      </c>
      <c r="G290" s="15" t="s">
        <v>2139</v>
      </c>
      <c r="H290" s="15">
        <v>3641</v>
      </c>
      <c r="I290" s="15">
        <v>832.53</v>
      </c>
    </row>
    <row r="291" spans="1:9">
      <c r="A291" s="13">
        <v>44883</v>
      </c>
      <c r="B291" s="91">
        <f t="shared" si="6"/>
        <v>2022</v>
      </c>
      <c r="C291" s="15" t="s">
        <v>2113</v>
      </c>
      <c r="D291" s="15" t="s">
        <v>2153</v>
      </c>
      <c r="E291" s="15" t="s">
        <v>2151</v>
      </c>
      <c r="F291" s="15" t="s">
        <v>2116</v>
      </c>
      <c r="G291" s="15" t="s">
        <v>2154</v>
      </c>
      <c r="H291" s="15">
        <v>1668</v>
      </c>
      <c r="I291" s="15">
        <v>388.18</v>
      </c>
    </row>
    <row r="292" spans="1:9">
      <c r="A292" s="13">
        <v>44721</v>
      </c>
      <c r="B292" s="91">
        <f t="shared" si="6"/>
        <v>2022</v>
      </c>
      <c r="C292" s="15" t="s">
        <v>2141</v>
      </c>
      <c r="D292" s="15" t="s">
        <v>2148</v>
      </c>
      <c r="E292" s="15" t="s">
        <v>2151</v>
      </c>
      <c r="F292" s="15" t="s">
        <v>2138</v>
      </c>
      <c r="G292" s="15" t="s">
        <v>2139</v>
      </c>
      <c r="H292" s="15">
        <v>5464</v>
      </c>
      <c r="I292" s="15">
        <v>667.47</v>
      </c>
    </row>
    <row r="293" spans="1:9">
      <c r="A293" s="13">
        <v>45030</v>
      </c>
      <c r="B293" s="91">
        <f t="shared" si="6"/>
        <v>2023</v>
      </c>
      <c r="C293" s="15" t="s">
        <v>107</v>
      </c>
      <c r="D293" s="15" t="s">
        <v>2148</v>
      </c>
      <c r="E293" s="15" t="s">
        <v>2143</v>
      </c>
      <c r="F293" s="15" t="s">
        <v>2120</v>
      </c>
      <c r="G293" s="15" t="s">
        <v>2121</v>
      </c>
      <c r="H293" s="15">
        <v>3654</v>
      </c>
      <c r="I293" s="15">
        <v>814.29</v>
      </c>
    </row>
    <row r="294" spans="1:9">
      <c r="A294" s="13">
        <v>44688</v>
      </c>
      <c r="B294" s="91">
        <f t="shared" si="6"/>
        <v>2022</v>
      </c>
      <c r="C294" s="15" t="s">
        <v>107</v>
      </c>
      <c r="D294" s="15" t="s">
        <v>2148</v>
      </c>
      <c r="E294" s="15" t="s">
        <v>2143</v>
      </c>
      <c r="F294" s="15" t="s">
        <v>2124</v>
      </c>
      <c r="G294" s="15" t="s">
        <v>2140</v>
      </c>
      <c r="H294" s="15">
        <v>2655</v>
      </c>
      <c r="I294" s="15">
        <v>471.88</v>
      </c>
    </row>
    <row r="295" spans="1:9">
      <c r="A295" s="13">
        <v>44830</v>
      </c>
      <c r="B295" s="91">
        <f t="shared" si="6"/>
        <v>2022</v>
      </c>
      <c r="C295" s="15" t="s">
        <v>2113</v>
      </c>
      <c r="D295" s="15" t="s">
        <v>2148</v>
      </c>
      <c r="E295" s="15" t="s">
        <v>2143</v>
      </c>
      <c r="F295" s="15" t="s">
        <v>2120</v>
      </c>
      <c r="G295" s="15" t="s">
        <v>2121</v>
      </c>
      <c r="H295" s="15">
        <v>9494</v>
      </c>
      <c r="I295" s="15">
        <v>1027.02</v>
      </c>
    </row>
    <row r="296" spans="1:9">
      <c r="A296" s="13">
        <v>45255</v>
      </c>
      <c r="B296" s="91">
        <f t="shared" si="6"/>
        <v>2023</v>
      </c>
      <c r="C296" s="15" t="s">
        <v>2141</v>
      </c>
      <c r="D296" s="15" t="s">
        <v>2126</v>
      </c>
      <c r="E296" s="15" t="s">
        <v>2145</v>
      </c>
      <c r="F296" s="15" t="s">
        <v>2124</v>
      </c>
      <c r="G296" s="15" t="s">
        <v>2130</v>
      </c>
      <c r="H296" s="15">
        <v>7141</v>
      </c>
      <c r="I296" s="15">
        <v>2096.1999999999998</v>
      </c>
    </row>
    <row r="297" spans="1:9">
      <c r="A297" s="13">
        <v>45102</v>
      </c>
      <c r="B297" s="91">
        <f t="shared" si="6"/>
        <v>2023</v>
      </c>
      <c r="C297" s="15" t="s">
        <v>2113</v>
      </c>
      <c r="D297" s="15" t="s">
        <v>2153</v>
      </c>
      <c r="E297" s="15" t="s">
        <v>2151</v>
      </c>
      <c r="F297" s="15" t="s">
        <v>2116</v>
      </c>
      <c r="G297" s="15" t="s">
        <v>2154</v>
      </c>
      <c r="H297" s="15">
        <v>1648</v>
      </c>
      <c r="I297" s="15">
        <v>225.53</v>
      </c>
    </row>
    <row r="298" spans="1:9">
      <c r="A298" s="13">
        <v>45407</v>
      </c>
      <c r="B298" s="91">
        <f t="shared" si="6"/>
        <v>2024</v>
      </c>
      <c r="C298" s="15" t="s">
        <v>107</v>
      </c>
      <c r="D298" s="15" t="s">
        <v>2142</v>
      </c>
      <c r="E298" s="15" t="s">
        <v>2136</v>
      </c>
      <c r="F298" s="15" t="s">
        <v>2124</v>
      </c>
      <c r="G298" s="15" t="s">
        <v>2125</v>
      </c>
      <c r="H298" s="15">
        <v>5048</v>
      </c>
      <c r="I298" s="15">
        <v>1277.05</v>
      </c>
    </row>
    <row r="299" spans="1:9">
      <c r="A299" s="13">
        <v>45108</v>
      </c>
      <c r="B299" s="91">
        <f t="shared" si="6"/>
        <v>2023</v>
      </c>
      <c r="C299" s="15" t="s">
        <v>107</v>
      </c>
      <c r="D299" s="15" t="s">
        <v>2152</v>
      </c>
      <c r="E299" s="15" t="s">
        <v>2115</v>
      </c>
      <c r="F299" s="15" t="s">
        <v>2116</v>
      </c>
      <c r="G299" s="15" t="s">
        <v>2127</v>
      </c>
      <c r="H299" s="15">
        <v>1613</v>
      </c>
      <c r="I299" s="15">
        <v>220.43</v>
      </c>
    </row>
    <row r="300" spans="1:9">
      <c r="A300" s="13">
        <v>45345</v>
      </c>
      <c r="B300" s="91">
        <f t="shared" si="6"/>
        <v>2024</v>
      </c>
      <c r="C300" s="15" t="s">
        <v>104</v>
      </c>
      <c r="D300" s="15" t="s">
        <v>2142</v>
      </c>
      <c r="E300" s="15" t="s">
        <v>2123</v>
      </c>
      <c r="F300" s="15" t="s">
        <v>2120</v>
      </c>
      <c r="G300" s="15" t="s">
        <v>2121</v>
      </c>
      <c r="H300" s="15">
        <v>2748</v>
      </c>
      <c r="I300" s="15">
        <v>775.29</v>
      </c>
    </row>
    <row r="301" spans="1:9">
      <c r="A301" s="13">
        <v>45040</v>
      </c>
      <c r="B301" s="91">
        <f t="shared" si="6"/>
        <v>2023</v>
      </c>
      <c r="C301" s="15" t="s">
        <v>104</v>
      </c>
      <c r="D301" s="15" t="s">
        <v>2152</v>
      </c>
      <c r="E301" s="15" t="s">
        <v>2151</v>
      </c>
      <c r="F301" s="15" t="s">
        <v>2116</v>
      </c>
      <c r="G301" s="15" t="s">
        <v>2127</v>
      </c>
      <c r="H301" s="15">
        <v>7846</v>
      </c>
      <c r="I301" s="15">
        <v>2342.58</v>
      </c>
    </row>
    <row r="302" spans="1:9">
      <c r="A302" s="13">
        <v>45319</v>
      </c>
      <c r="B302" s="91">
        <f t="shared" si="6"/>
        <v>2024</v>
      </c>
      <c r="C302" s="15" t="s">
        <v>2141</v>
      </c>
      <c r="D302" s="15" t="s">
        <v>2126</v>
      </c>
      <c r="E302" s="15" t="s">
        <v>2151</v>
      </c>
      <c r="F302" s="15" t="s">
        <v>2120</v>
      </c>
      <c r="G302" s="15" t="s">
        <v>2133</v>
      </c>
      <c r="H302" s="15">
        <v>2581</v>
      </c>
      <c r="I302" s="15">
        <v>674.44</v>
      </c>
    </row>
    <row r="303" spans="1:9">
      <c r="A303" s="13">
        <v>45590</v>
      </c>
      <c r="B303" s="91">
        <f t="shared" si="6"/>
        <v>2024</v>
      </c>
      <c r="C303" s="15" t="s">
        <v>2113</v>
      </c>
      <c r="D303" s="15" t="s">
        <v>2153</v>
      </c>
      <c r="E303" s="15" t="s">
        <v>2119</v>
      </c>
      <c r="F303" s="15" t="s">
        <v>2116</v>
      </c>
      <c r="G303" s="15" t="s">
        <v>2127</v>
      </c>
      <c r="H303" s="15">
        <v>6984</v>
      </c>
      <c r="I303" s="15">
        <v>1386.77</v>
      </c>
    </row>
    <row r="304" spans="1:9">
      <c r="A304" s="13">
        <v>45516</v>
      </c>
      <c r="B304" s="91">
        <f t="shared" si="6"/>
        <v>2024</v>
      </c>
      <c r="C304" s="15" t="s">
        <v>104</v>
      </c>
      <c r="D304" s="15" t="s">
        <v>2128</v>
      </c>
      <c r="E304" s="15" t="s">
        <v>2119</v>
      </c>
      <c r="F304" s="15" t="s">
        <v>2124</v>
      </c>
      <c r="G304" s="15" t="s">
        <v>2140</v>
      </c>
      <c r="H304" s="15">
        <v>5810</v>
      </c>
      <c r="I304" s="15">
        <v>1680.64</v>
      </c>
    </row>
    <row r="305" spans="1:9">
      <c r="A305" s="13">
        <v>45203</v>
      </c>
      <c r="B305" s="91">
        <f t="shared" si="6"/>
        <v>2023</v>
      </c>
      <c r="C305" s="15" t="s">
        <v>2141</v>
      </c>
      <c r="D305" s="15" t="s">
        <v>2153</v>
      </c>
      <c r="E305" s="15" t="s">
        <v>2129</v>
      </c>
      <c r="F305" s="15" t="s">
        <v>2116</v>
      </c>
      <c r="G305" s="15" t="s">
        <v>2127</v>
      </c>
      <c r="H305" s="15">
        <v>8398</v>
      </c>
      <c r="I305" s="15">
        <v>1430.12</v>
      </c>
    </row>
    <row r="306" spans="1:9">
      <c r="A306" s="13">
        <v>44801</v>
      </c>
      <c r="B306" s="91">
        <f t="shared" si="6"/>
        <v>2022</v>
      </c>
      <c r="C306" s="15" t="s">
        <v>2141</v>
      </c>
      <c r="D306" s="15" t="s">
        <v>2153</v>
      </c>
      <c r="E306" s="15" t="s">
        <v>2136</v>
      </c>
      <c r="F306" s="15" t="s">
        <v>2116</v>
      </c>
      <c r="G306" s="15" t="s">
        <v>2127</v>
      </c>
      <c r="H306" s="15">
        <v>7702</v>
      </c>
      <c r="I306" s="15">
        <v>1547.78</v>
      </c>
    </row>
    <row r="307" spans="1:9">
      <c r="A307" s="13">
        <v>45061</v>
      </c>
      <c r="B307" s="91">
        <f t="shared" si="6"/>
        <v>2023</v>
      </c>
      <c r="C307" s="15" t="s">
        <v>2113</v>
      </c>
      <c r="D307" s="15" t="s">
        <v>2128</v>
      </c>
      <c r="E307" s="15" t="s">
        <v>2134</v>
      </c>
      <c r="F307" s="15" t="s">
        <v>2138</v>
      </c>
      <c r="G307" s="15" t="s">
        <v>2139</v>
      </c>
      <c r="H307" s="15">
        <v>5875</v>
      </c>
      <c r="I307" s="15">
        <v>1362.78</v>
      </c>
    </row>
    <row r="308" spans="1:9">
      <c r="A308" s="13">
        <v>44931</v>
      </c>
      <c r="B308" s="91">
        <f t="shared" si="6"/>
        <v>2023</v>
      </c>
      <c r="C308" s="15" t="s">
        <v>2113</v>
      </c>
      <c r="D308" s="15" t="s">
        <v>2153</v>
      </c>
      <c r="E308" s="15" t="s">
        <v>2143</v>
      </c>
      <c r="F308" s="15" t="s">
        <v>2120</v>
      </c>
      <c r="G308" s="15" t="s">
        <v>2121</v>
      </c>
      <c r="H308" s="15">
        <v>2474</v>
      </c>
      <c r="I308" s="15">
        <v>633.55999999999995</v>
      </c>
    </row>
    <row r="309" spans="1:9">
      <c r="A309" s="13">
        <v>44695</v>
      </c>
      <c r="B309" s="91">
        <f t="shared" si="6"/>
        <v>2022</v>
      </c>
      <c r="C309" s="15" t="s">
        <v>107</v>
      </c>
      <c r="D309" s="15" t="s">
        <v>2128</v>
      </c>
      <c r="E309" s="15" t="s">
        <v>2145</v>
      </c>
      <c r="F309" s="15" t="s">
        <v>2124</v>
      </c>
      <c r="G309" s="15" t="s">
        <v>2125</v>
      </c>
      <c r="H309" s="15">
        <v>5673</v>
      </c>
      <c r="I309" s="15">
        <v>623.46</v>
      </c>
    </row>
    <row r="310" spans="1:9">
      <c r="A310" s="13">
        <v>45564</v>
      </c>
      <c r="B310" s="91">
        <f t="shared" si="6"/>
        <v>2024</v>
      </c>
      <c r="C310" s="15" t="s">
        <v>2113</v>
      </c>
      <c r="D310" s="15" t="s">
        <v>2142</v>
      </c>
      <c r="E310" s="15" t="s">
        <v>2123</v>
      </c>
      <c r="F310" s="15" t="s">
        <v>2116</v>
      </c>
      <c r="G310" s="15" t="s">
        <v>2127</v>
      </c>
      <c r="H310" s="15">
        <v>6645</v>
      </c>
      <c r="I310" s="15">
        <v>1708.08</v>
      </c>
    </row>
    <row r="311" spans="1:9">
      <c r="A311" s="13">
        <v>44948</v>
      </c>
      <c r="B311" s="91">
        <f t="shared" si="6"/>
        <v>2023</v>
      </c>
      <c r="C311" s="15" t="s">
        <v>107</v>
      </c>
      <c r="D311" s="15" t="s">
        <v>2131</v>
      </c>
      <c r="E311" s="15" t="s">
        <v>2136</v>
      </c>
      <c r="F311" s="15" t="s">
        <v>2138</v>
      </c>
      <c r="G311" s="15" t="s">
        <v>2149</v>
      </c>
      <c r="H311" s="15">
        <v>3047</v>
      </c>
      <c r="I311" s="15">
        <v>880.53</v>
      </c>
    </row>
    <row r="312" spans="1:9">
      <c r="A312" s="13">
        <v>45284</v>
      </c>
      <c r="B312" s="91">
        <f t="shared" si="6"/>
        <v>2023</v>
      </c>
      <c r="C312" s="15" t="s">
        <v>104</v>
      </c>
      <c r="D312" s="15" t="s">
        <v>2148</v>
      </c>
      <c r="E312" s="15" t="s">
        <v>2151</v>
      </c>
      <c r="F312" s="15" t="s">
        <v>2124</v>
      </c>
      <c r="G312" s="15" t="s">
        <v>2125</v>
      </c>
      <c r="H312" s="15">
        <v>1740</v>
      </c>
      <c r="I312" s="15">
        <v>488.87</v>
      </c>
    </row>
    <row r="313" spans="1:9">
      <c r="A313" s="13">
        <v>44928</v>
      </c>
      <c r="B313" s="91">
        <f t="shared" si="6"/>
        <v>2023</v>
      </c>
      <c r="C313" s="15" t="s">
        <v>104</v>
      </c>
      <c r="D313" s="15" t="s">
        <v>2153</v>
      </c>
      <c r="E313" s="15" t="s">
        <v>2129</v>
      </c>
      <c r="F313" s="15" t="s">
        <v>2116</v>
      </c>
      <c r="G313" s="15" t="s">
        <v>2117</v>
      </c>
      <c r="H313" s="15">
        <v>9649</v>
      </c>
      <c r="I313" s="15">
        <v>1655.01</v>
      </c>
    </row>
    <row r="314" spans="1:9">
      <c r="A314" s="13">
        <v>44665</v>
      </c>
      <c r="B314" s="91">
        <f t="shared" si="6"/>
        <v>2022</v>
      </c>
      <c r="C314" s="15" t="s">
        <v>2141</v>
      </c>
      <c r="D314" s="15" t="s">
        <v>2126</v>
      </c>
      <c r="E314" s="15" t="s">
        <v>2134</v>
      </c>
      <c r="F314" s="15" t="s">
        <v>2138</v>
      </c>
      <c r="G314" s="15" t="s">
        <v>2149</v>
      </c>
      <c r="H314" s="15">
        <v>8773</v>
      </c>
      <c r="I314" s="15">
        <v>2339.14</v>
      </c>
    </row>
    <row r="315" spans="1:9">
      <c r="A315" s="13">
        <v>44955</v>
      </c>
      <c r="B315" s="91">
        <f t="shared" si="6"/>
        <v>2023</v>
      </c>
      <c r="C315" s="15" t="s">
        <v>107</v>
      </c>
      <c r="D315" s="15" t="s">
        <v>2118</v>
      </c>
      <c r="E315" s="15" t="s">
        <v>2119</v>
      </c>
      <c r="F315" s="15" t="s">
        <v>2116</v>
      </c>
      <c r="G315" s="15" t="s">
        <v>2117</v>
      </c>
      <c r="H315" s="15">
        <v>4173</v>
      </c>
      <c r="I315" s="15">
        <v>1033.52</v>
      </c>
    </row>
    <row r="316" spans="1:9">
      <c r="A316" s="13">
        <v>44905</v>
      </c>
      <c r="B316" s="91">
        <f t="shared" si="6"/>
        <v>2022</v>
      </c>
      <c r="C316" s="15" t="s">
        <v>107</v>
      </c>
      <c r="D316" s="15" t="s">
        <v>2118</v>
      </c>
      <c r="E316" s="15" t="s">
        <v>2136</v>
      </c>
      <c r="F316" s="15" t="s">
        <v>2116</v>
      </c>
      <c r="G316" s="15" t="s">
        <v>2117</v>
      </c>
      <c r="H316" s="15">
        <v>1750</v>
      </c>
      <c r="I316" s="15">
        <v>514.26</v>
      </c>
    </row>
    <row r="317" spans="1:9">
      <c r="A317" s="13">
        <v>44997</v>
      </c>
      <c r="B317" s="91">
        <f t="shared" si="6"/>
        <v>2023</v>
      </c>
      <c r="C317" s="15" t="s">
        <v>107</v>
      </c>
      <c r="D317" s="15" t="s">
        <v>2128</v>
      </c>
      <c r="E317" s="15" t="s">
        <v>2151</v>
      </c>
      <c r="F317" s="15" t="s">
        <v>2116</v>
      </c>
      <c r="G317" s="15" t="s">
        <v>2154</v>
      </c>
      <c r="H317" s="15">
        <v>4233</v>
      </c>
      <c r="I317" s="15">
        <v>1156.21</v>
      </c>
    </row>
    <row r="318" spans="1:9">
      <c r="A318" s="13">
        <v>44851</v>
      </c>
      <c r="B318" s="91">
        <f t="shared" si="6"/>
        <v>2022</v>
      </c>
      <c r="C318" s="15" t="s">
        <v>104</v>
      </c>
      <c r="D318" s="15" t="s">
        <v>2135</v>
      </c>
      <c r="E318" s="15" t="s">
        <v>2115</v>
      </c>
      <c r="F318" s="15" t="s">
        <v>2116</v>
      </c>
      <c r="G318" s="15" t="s">
        <v>2117</v>
      </c>
      <c r="H318" s="15">
        <v>5521</v>
      </c>
      <c r="I318" s="15">
        <v>627.08000000000004</v>
      </c>
    </row>
    <row r="319" spans="1:9">
      <c r="A319" s="13">
        <v>44708</v>
      </c>
      <c r="B319" s="91">
        <f t="shared" si="6"/>
        <v>2022</v>
      </c>
      <c r="C319" s="15" t="s">
        <v>104</v>
      </c>
      <c r="D319" s="15" t="s">
        <v>2135</v>
      </c>
      <c r="E319" s="15" t="s">
        <v>2136</v>
      </c>
      <c r="F319" s="15" t="s">
        <v>2124</v>
      </c>
      <c r="G319" s="15" t="s">
        <v>2125</v>
      </c>
      <c r="H319" s="15">
        <v>1718</v>
      </c>
      <c r="I319" s="15">
        <v>272.8</v>
      </c>
    </row>
    <row r="320" spans="1:9">
      <c r="A320" s="13">
        <v>44800</v>
      </c>
      <c r="B320" s="91">
        <f t="shared" si="6"/>
        <v>2022</v>
      </c>
      <c r="C320" s="15" t="s">
        <v>2141</v>
      </c>
      <c r="D320" s="15" t="s">
        <v>2131</v>
      </c>
      <c r="E320" s="15" t="s">
        <v>2115</v>
      </c>
      <c r="F320" s="15" t="s">
        <v>2138</v>
      </c>
      <c r="G320" s="15" t="s">
        <v>2146</v>
      </c>
      <c r="H320" s="15">
        <v>1451</v>
      </c>
      <c r="I320" s="15">
        <v>348.49</v>
      </c>
    </row>
    <row r="321" spans="1:9">
      <c r="A321" s="13">
        <v>44634</v>
      </c>
      <c r="B321" s="91">
        <f t="shared" si="6"/>
        <v>2022</v>
      </c>
      <c r="C321" s="15" t="s">
        <v>107</v>
      </c>
      <c r="D321" s="15" t="s">
        <v>2153</v>
      </c>
      <c r="E321" s="15" t="s">
        <v>2145</v>
      </c>
      <c r="F321" s="15" t="s">
        <v>2116</v>
      </c>
      <c r="G321" s="15" t="s">
        <v>2154</v>
      </c>
      <c r="H321" s="15">
        <v>9339</v>
      </c>
      <c r="I321" s="15">
        <v>1476.85</v>
      </c>
    </row>
    <row r="322" spans="1:9">
      <c r="A322" s="13">
        <v>45419</v>
      </c>
      <c r="B322" s="91">
        <f t="shared" si="6"/>
        <v>2024</v>
      </c>
      <c r="C322" s="15" t="s">
        <v>107</v>
      </c>
      <c r="D322" s="15" t="s">
        <v>2135</v>
      </c>
      <c r="E322" s="15" t="s">
        <v>2119</v>
      </c>
      <c r="F322" s="15" t="s">
        <v>2124</v>
      </c>
      <c r="G322" s="15" t="s">
        <v>2140</v>
      </c>
      <c r="H322" s="15">
        <v>8082</v>
      </c>
      <c r="I322" s="15">
        <v>915.55</v>
      </c>
    </row>
    <row r="323" spans="1:9">
      <c r="A323" s="13">
        <v>45552</v>
      </c>
      <c r="B323" s="91">
        <f t="shared" ref="B323:B386" si="7">YEAR(A323)</f>
        <v>2024</v>
      </c>
      <c r="C323" s="15" t="s">
        <v>2113</v>
      </c>
      <c r="D323" s="15" t="s">
        <v>2153</v>
      </c>
      <c r="E323" s="15" t="s">
        <v>2143</v>
      </c>
      <c r="F323" s="15" t="s">
        <v>2138</v>
      </c>
      <c r="G323" s="15" t="s">
        <v>2139</v>
      </c>
      <c r="H323" s="15">
        <v>9244</v>
      </c>
      <c r="I323" s="15">
        <v>1871.54</v>
      </c>
    </row>
    <row r="324" spans="1:9">
      <c r="A324" s="13">
        <v>45021</v>
      </c>
      <c r="B324" s="91">
        <f t="shared" si="7"/>
        <v>2023</v>
      </c>
      <c r="C324" s="15" t="s">
        <v>2141</v>
      </c>
      <c r="D324" s="15" t="s">
        <v>2135</v>
      </c>
      <c r="E324" s="15" t="s">
        <v>2151</v>
      </c>
      <c r="F324" s="15" t="s">
        <v>2124</v>
      </c>
      <c r="G324" s="15" t="s">
        <v>2125</v>
      </c>
      <c r="H324" s="15">
        <v>5169</v>
      </c>
      <c r="I324" s="15">
        <v>1473.63</v>
      </c>
    </row>
    <row r="325" spans="1:9">
      <c r="A325" s="13">
        <v>44872</v>
      </c>
      <c r="B325" s="91">
        <f t="shared" si="7"/>
        <v>2022</v>
      </c>
      <c r="C325" s="15" t="s">
        <v>104</v>
      </c>
      <c r="D325" s="15" t="s">
        <v>2118</v>
      </c>
      <c r="E325" s="15" t="s">
        <v>2145</v>
      </c>
      <c r="F325" s="15" t="s">
        <v>2138</v>
      </c>
      <c r="G325" s="15" t="s">
        <v>2146</v>
      </c>
      <c r="H325" s="15">
        <v>7163</v>
      </c>
      <c r="I325" s="15">
        <v>2080.81</v>
      </c>
    </row>
    <row r="326" spans="1:9">
      <c r="A326" s="13">
        <v>44737</v>
      </c>
      <c r="B326" s="91">
        <f t="shared" si="7"/>
        <v>2022</v>
      </c>
      <c r="C326" s="15" t="s">
        <v>2141</v>
      </c>
      <c r="D326" s="15" t="s">
        <v>2152</v>
      </c>
      <c r="E326" s="15" t="s">
        <v>2136</v>
      </c>
      <c r="F326" s="15" t="s">
        <v>2138</v>
      </c>
      <c r="G326" s="15" t="s">
        <v>2146</v>
      </c>
      <c r="H326" s="15">
        <v>4232</v>
      </c>
      <c r="I326" s="15">
        <v>975.57</v>
      </c>
    </row>
    <row r="327" spans="1:9">
      <c r="A327" s="13">
        <v>45329</v>
      </c>
      <c r="B327" s="91">
        <f t="shared" si="7"/>
        <v>2024</v>
      </c>
      <c r="C327" s="15" t="s">
        <v>107</v>
      </c>
      <c r="D327" s="15" t="s">
        <v>2126</v>
      </c>
      <c r="E327" s="15" t="s">
        <v>2151</v>
      </c>
      <c r="F327" s="15" t="s">
        <v>2116</v>
      </c>
      <c r="G327" s="15" t="s">
        <v>2117</v>
      </c>
      <c r="H327" s="15">
        <v>2717</v>
      </c>
      <c r="I327" s="15">
        <v>388.76</v>
      </c>
    </row>
    <row r="328" spans="1:9">
      <c r="A328" s="13">
        <v>45165</v>
      </c>
      <c r="B328" s="91">
        <f t="shared" si="7"/>
        <v>2023</v>
      </c>
      <c r="C328" s="15" t="s">
        <v>2141</v>
      </c>
      <c r="D328" s="15" t="s">
        <v>2135</v>
      </c>
      <c r="E328" s="15" t="s">
        <v>2123</v>
      </c>
      <c r="F328" s="15" t="s">
        <v>2116</v>
      </c>
      <c r="G328" s="15" t="s">
        <v>2127</v>
      </c>
      <c r="H328" s="15">
        <v>5049</v>
      </c>
      <c r="I328" s="15">
        <v>1149.95</v>
      </c>
    </row>
    <row r="329" spans="1:9">
      <c r="A329" s="13">
        <v>44866</v>
      </c>
      <c r="B329" s="91">
        <f t="shared" si="7"/>
        <v>2022</v>
      </c>
      <c r="C329" s="15" t="s">
        <v>107</v>
      </c>
      <c r="D329" s="15" t="s">
        <v>2152</v>
      </c>
      <c r="E329" s="15" t="s">
        <v>2151</v>
      </c>
      <c r="F329" s="15" t="s">
        <v>2138</v>
      </c>
      <c r="G329" s="15" t="s">
        <v>2146</v>
      </c>
      <c r="H329" s="15">
        <v>1787</v>
      </c>
      <c r="I329" s="15">
        <v>277.12</v>
      </c>
    </row>
    <row r="330" spans="1:9">
      <c r="A330" s="13">
        <v>44889</v>
      </c>
      <c r="B330" s="91">
        <f t="shared" si="7"/>
        <v>2022</v>
      </c>
      <c r="C330" s="15" t="s">
        <v>104</v>
      </c>
      <c r="D330" s="15" t="s">
        <v>2148</v>
      </c>
      <c r="E330" s="15" t="s">
        <v>2151</v>
      </c>
      <c r="F330" s="15" t="s">
        <v>2116</v>
      </c>
      <c r="G330" s="15" t="s">
        <v>2117</v>
      </c>
      <c r="H330" s="15">
        <v>9705</v>
      </c>
      <c r="I330" s="15">
        <v>2353.52</v>
      </c>
    </row>
    <row r="331" spans="1:9">
      <c r="A331" s="13">
        <v>45372</v>
      </c>
      <c r="B331" s="91">
        <f t="shared" si="7"/>
        <v>2024</v>
      </c>
      <c r="C331" s="15" t="s">
        <v>2141</v>
      </c>
      <c r="D331" s="15" t="s">
        <v>2131</v>
      </c>
      <c r="E331" s="15" t="s">
        <v>2145</v>
      </c>
      <c r="F331" s="15" t="s">
        <v>2120</v>
      </c>
      <c r="G331" s="15" t="s">
        <v>2133</v>
      </c>
      <c r="H331" s="15">
        <v>5590</v>
      </c>
      <c r="I331" s="15">
        <v>1578.21</v>
      </c>
    </row>
    <row r="332" spans="1:9">
      <c r="A332" s="13">
        <v>44801</v>
      </c>
      <c r="B332" s="91">
        <f t="shared" si="7"/>
        <v>2022</v>
      </c>
      <c r="C332" s="15" t="s">
        <v>104</v>
      </c>
      <c r="D332" s="15" t="s">
        <v>2118</v>
      </c>
      <c r="E332" s="15" t="s">
        <v>2144</v>
      </c>
      <c r="F332" s="15" t="s">
        <v>2138</v>
      </c>
      <c r="G332" s="15" t="s">
        <v>2139</v>
      </c>
      <c r="H332" s="15">
        <v>3844</v>
      </c>
      <c r="I332" s="15">
        <v>489.64</v>
      </c>
    </row>
    <row r="333" spans="1:9">
      <c r="A333" s="13">
        <v>44693</v>
      </c>
      <c r="B333" s="91">
        <f t="shared" si="7"/>
        <v>2022</v>
      </c>
      <c r="C333" s="15" t="s">
        <v>104</v>
      </c>
      <c r="D333" s="15" t="s">
        <v>2118</v>
      </c>
      <c r="E333" s="15" t="s">
        <v>2136</v>
      </c>
      <c r="F333" s="15" t="s">
        <v>2124</v>
      </c>
      <c r="G333" s="15" t="s">
        <v>2130</v>
      </c>
      <c r="H333" s="15">
        <v>4417</v>
      </c>
      <c r="I333" s="15">
        <v>969.7</v>
      </c>
    </row>
    <row r="334" spans="1:9">
      <c r="A334" s="13">
        <v>44684</v>
      </c>
      <c r="B334" s="91">
        <f t="shared" si="7"/>
        <v>2022</v>
      </c>
      <c r="C334" s="15" t="s">
        <v>2141</v>
      </c>
      <c r="D334" s="15" t="s">
        <v>2126</v>
      </c>
      <c r="E334" s="15" t="s">
        <v>2145</v>
      </c>
      <c r="F334" s="15" t="s">
        <v>2138</v>
      </c>
      <c r="G334" s="15" t="s">
        <v>2139</v>
      </c>
      <c r="H334" s="15">
        <v>6827</v>
      </c>
      <c r="I334" s="15">
        <v>1525.76</v>
      </c>
    </row>
    <row r="335" spans="1:9">
      <c r="A335" s="13">
        <v>45103</v>
      </c>
      <c r="B335" s="91">
        <f t="shared" si="7"/>
        <v>2023</v>
      </c>
      <c r="C335" s="15" t="s">
        <v>2113</v>
      </c>
      <c r="D335" s="15" t="s">
        <v>2128</v>
      </c>
      <c r="E335" s="15" t="s">
        <v>2129</v>
      </c>
      <c r="F335" s="15" t="s">
        <v>2124</v>
      </c>
      <c r="G335" s="15" t="s">
        <v>2130</v>
      </c>
      <c r="H335" s="15">
        <v>8344</v>
      </c>
      <c r="I335" s="15">
        <v>969.4</v>
      </c>
    </row>
    <row r="336" spans="1:9">
      <c r="A336" s="13">
        <v>45228</v>
      </c>
      <c r="B336" s="91">
        <f t="shared" si="7"/>
        <v>2023</v>
      </c>
      <c r="C336" s="15" t="s">
        <v>104</v>
      </c>
      <c r="D336" s="15" t="s">
        <v>2148</v>
      </c>
      <c r="E336" s="15" t="s">
        <v>2151</v>
      </c>
      <c r="F336" s="15" t="s">
        <v>2120</v>
      </c>
      <c r="G336" s="15" t="s">
        <v>2121</v>
      </c>
      <c r="H336" s="15">
        <v>9094</v>
      </c>
      <c r="I336" s="15">
        <v>1695.25</v>
      </c>
    </row>
    <row r="337" spans="1:9">
      <c r="A337" s="13">
        <v>45157</v>
      </c>
      <c r="B337" s="91">
        <f t="shared" si="7"/>
        <v>2023</v>
      </c>
      <c r="C337" s="15" t="s">
        <v>107</v>
      </c>
      <c r="D337" s="15" t="s">
        <v>2152</v>
      </c>
      <c r="E337" s="15" t="s">
        <v>2134</v>
      </c>
      <c r="F337" s="15" t="s">
        <v>2116</v>
      </c>
      <c r="G337" s="15" t="s">
        <v>2117</v>
      </c>
      <c r="H337" s="15">
        <v>3206</v>
      </c>
      <c r="I337" s="15">
        <v>731.64</v>
      </c>
    </row>
    <row r="338" spans="1:9">
      <c r="A338" s="13">
        <v>45204</v>
      </c>
      <c r="B338" s="91">
        <f t="shared" si="7"/>
        <v>2023</v>
      </c>
      <c r="C338" s="15" t="s">
        <v>107</v>
      </c>
      <c r="D338" s="15" t="s">
        <v>2131</v>
      </c>
      <c r="E338" s="15" t="s">
        <v>2144</v>
      </c>
      <c r="F338" s="15" t="s">
        <v>2138</v>
      </c>
      <c r="G338" s="15" t="s">
        <v>2146</v>
      </c>
      <c r="H338" s="15">
        <v>4927</v>
      </c>
      <c r="I338" s="15">
        <v>1412.81</v>
      </c>
    </row>
    <row r="339" spans="1:9">
      <c r="A339" s="13">
        <v>45032</v>
      </c>
      <c r="B339" s="91">
        <f t="shared" si="7"/>
        <v>2023</v>
      </c>
      <c r="C339" s="15" t="s">
        <v>104</v>
      </c>
      <c r="D339" s="15" t="s">
        <v>2153</v>
      </c>
      <c r="E339" s="15" t="s">
        <v>2151</v>
      </c>
      <c r="F339" s="15" t="s">
        <v>2138</v>
      </c>
      <c r="G339" s="15" t="s">
        <v>2149</v>
      </c>
      <c r="H339" s="15">
        <v>1414</v>
      </c>
      <c r="I339" s="15">
        <v>409.29</v>
      </c>
    </row>
    <row r="340" spans="1:9">
      <c r="A340" s="13">
        <v>45234</v>
      </c>
      <c r="B340" s="91">
        <f t="shared" si="7"/>
        <v>2023</v>
      </c>
      <c r="C340" s="15" t="s">
        <v>2141</v>
      </c>
      <c r="D340" s="15" t="s">
        <v>2118</v>
      </c>
      <c r="E340" s="15" t="s">
        <v>2143</v>
      </c>
      <c r="F340" s="15" t="s">
        <v>2138</v>
      </c>
      <c r="G340" s="15" t="s">
        <v>2139</v>
      </c>
      <c r="H340" s="15">
        <v>6998</v>
      </c>
      <c r="I340" s="15">
        <v>1863.19</v>
      </c>
    </row>
    <row r="341" spans="1:9">
      <c r="A341" s="13">
        <v>44685</v>
      </c>
      <c r="B341" s="91">
        <f t="shared" si="7"/>
        <v>2022</v>
      </c>
      <c r="C341" s="15" t="s">
        <v>107</v>
      </c>
      <c r="D341" s="15" t="s">
        <v>2114</v>
      </c>
      <c r="E341" s="15" t="s">
        <v>2129</v>
      </c>
      <c r="F341" s="15" t="s">
        <v>2124</v>
      </c>
      <c r="G341" s="15" t="s">
        <v>2130</v>
      </c>
      <c r="H341" s="15">
        <v>1543</v>
      </c>
      <c r="I341" s="15">
        <v>291.27999999999997</v>
      </c>
    </row>
    <row r="342" spans="1:9">
      <c r="A342" s="13">
        <v>45178</v>
      </c>
      <c r="B342" s="91">
        <f t="shared" si="7"/>
        <v>2023</v>
      </c>
      <c r="C342" s="15" t="s">
        <v>107</v>
      </c>
      <c r="D342" s="15" t="s">
        <v>2126</v>
      </c>
      <c r="E342" s="15" t="s">
        <v>2119</v>
      </c>
      <c r="F342" s="15" t="s">
        <v>2124</v>
      </c>
      <c r="G342" s="15" t="s">
        <v>2125</v>
      </c>
      <c r="H342" s="15">
        <v>8542</v>
      </c>
      <c r="I342" s="15">
        <v>1566.01</v>
      </c>
    </row>
    <row r="343" spans="1:9">
      <c r="A343" s="13">
        <v>45025</v>
      </c>
      <c r="B343" s="91">
        <f t="shared" si="7"/>
        <v>2023</v>
      </c>
      <c r="C343" s="15" t="s">
        <v>104</v>
      </c>
      <c r="D343" s="15" t="s">
        <v>2114</v>
      </c>
      <c r="E343" s="15" t="s">
        <v>2134</v>
      </c>
      <c r="F343" s="15" t="s">
        <v>2138</v>
      </c>
      <c r="G343" s="15" t="s">
        <v>2139</v>
      </c>
      <c r="H343" s="15">
        <v>6985</v>
      </c>
      <c r="I343" s="15">
        <v>2047.33</v>
      </c>
    </row>
    <row r="344" spans="1:9">
      <c r="A344" s="13">
        <v>45140</v>
      </c>
      <c r="B344" s="91">
        <f t="shared" si="7"/>
        <v>2023</v>
      </c>
      <c r="C344" s="15" t="s">
        <v>2141</v>
      </c>
      <c r="D344" s="15" t="s">
        <v>2152</v>
      </c>
      <c r="E344" s="15" t="s">
        <v>2145</v>
      </c>
      <c r="F344" s="15" t="s">
        <v>2116</v>
      </c>
      <c r="G344" s="15" t="s">
        <v>2154</v>
      </c>
      <c r="H344" s="15">
        <v>1953</v>
      </c>
      <c r="I344" s="15">
        <v>575.19000000000005</v>
      </c>
    </row>
    <row r="345" spans="1:9">
      <c r="A345" s="13">
        <v>44936</v>
      </c>
      <c r="B345" s="91">
        <f t="shared" si="7"/>
        <v>2023</v>
      </c>
      <c r="C345" s="15" t="s">
        <v>2141</v>
      </c>
      <c r="D345" s="15" t="s">
        <v>2128</v>
      </c>
      <c r="E345" s="15" t="s">
        <v>2151</v>
      </c>
      <c r="F345" s="15" t="s">
        <v>2138</v>
      </c>
      <c r="G345" s="15" t="s">
        <v>2149</v>
      </c>
      <c r="H345" s="15">
        <v>1801</v>
      </c>
      <c r="I345" s="15">
        <v>206</v>
      </c>
    </row>
    <row r="346" spans="1:9">
      <c r="A346" s="13">
        <v>44568</v>
      </c>
      <c r="B346" s="91">
        <f t="shared" si="7"/>
        <v>2022</v>
      </c>
      <c r="C346" s="15" t="s">
        <v>2141</v>
      </c>
      <c r="D346" s="15" t="s">
        <v>2128</v>
      </c>
      <c r="E346" s="15" t="s">
        <v>2144</v>
      </c>
      <c r="F346" s="15" t="s">
        <v>2116</v>
      </c>
      <c r="G346" s="15" t="s">
        <v>2154</v>
      </c>
      <c r="H346" s="15">
        <v>7745</v>
      </c>
      <c r="I346" s="15">
        <v>1682.69</v>
      </c>
    </row>
    <row r="347" spans="1:9">
      <c r="A347" s="13">
        <v>45429</v>
      </c>
      <c r="B347" s="91">
        <f t="shared" si="7"/>
        <v>2024</v>
      </c>
      <c r="C347" s="15" t="s">
        <v>2113</v>
      </c>
      <c r="D347" s="15" t="s">
        <v>2152</v>
      </c>
      <c r="E347" s="15" t="s">
        <v>2151</v>
      </c>
      <c r="F347" s="15" t="s">
        <v>2120</v>
      </c>
      <c r="G347" s="15" t="s">
        <v>2132</v>
      </c>
      <c r="H347" s="15">
        <v>2887</v>
      </c>
      <c r="I347" s="15">
        <v>585.88</v>
      </c>
    </row>
    <row r="348" spans="1:9">
      <c r="A348" s="13">
        <v>45238</v>
      </c>
      <c r="B348" s="91">
        <f t="shared" si="7"/>
        <v>2023</v>
      </c>
      <c r="C348" s="15" t="s">
        <v>2113</v>
      </c>
      <c r="D348" s="15" t="s">
        <v>2152</v>
      </c>
      <c r="E348" s="15" t="s">
        <v>2134</v>
      </c>
      <c r="F348" s="15" t="s">
        <v>2120</v>
      </c>
      <c r="G348" s="15" t="s">
        <v>2132</v>
      </c>
      <c r="H348" s="15">
        <v>3783</v>
      </c>
      <c r="I348" s="15">
        <v>807.66</v>
      </c>
    </row>
    <row r="349" spans="1:9">
      <c r="A349" s="13">
        <v>44697</v>
      </c>
      <c r="B349" s="91">
        <f t="shared" si="7"/>
        <v>2022</v>
      </c>
      <c r="C349" s="15" t="s">
        <v>2141</v>
      </c>
      <c r="D349" s="15" t="s">
        <v>2142</v>
      </c>
      <c r="E349" s="15" t="s">
        <v>2151</v>
      </c>
      <c r="F349" s="15" t="s">
        <v>2124</v>
      </c>
      <c r="G349" s="15" t="s">
        <v>2140</v>
      </c>
      <c r="H349" s="15">
        <v>5288</v>
      </c>
      <c r="I349" s="15">
        <v>1531.23</v>
      </c>
    </row>
    <row r="350" spans="1:9">
      <c r="A350" s="13">
        <v>45238</v>
      </c>
      <c r="B350" s="91">
        <f t="shared" si="7"/>
        <v>2023</v>
      </c>
      <c r="C350" s="15" t="s">
        <v>2141</v>
      </c>
      <c r="D350" s="15" t="s">
        <v>2148</v>
      </c>
      <c r="E350" s="15" t="s">
        <v>2143</v>
      </c>
      <c r="F350" s="15" t="s">
        <v>2124</v>
      </c>
      <c r="G350" s="15" t="s">
        <v>2130</v>
      </c>
      <c r="H350" s="15">
        <v>2844</v>
      </c>
      <c r="I350" s="15">
        <v>642.54</v>
      </c>
    </row>
    <row r="351" spans="1:9">
      <c r="A351" s="13">
        <v>44695</v>
      </c>
      <c r="B351" s="91">
        <f t="shared" si="7"/>
        <v>2022</v>
      </c>
      <c r="C351" s="15" t="s">
        <v>2113</v>
      </c>
      <c r="D351" s="15" t="s">
        <v>2148</v>
      </c>
      <c r="E351" s="15" t="s">
        <v>2151</v>
      </c>
      <c r="F351" s="15" t="s">
        <v>2138</v>
      </c>
      <c r="G351" s="15" t="s">
        <v>2149</v>
      </c>
      <c r="H351" s="15">
        <v>2594</v>
      </c>
      <c r="I351" s="15">
        <v>706.32</v>
      </c>
    </row>
    <row r="352" spans="1:9">
      <c r="A352" s="13">
        <v>45000</v>
      </c>
      <c r="B352" s="91">
        <f t="shared" si="7"/>
        <v>2023</v>
      </c>
      <c r="C352" s="15" t="s">
        <v>107</v>
      </c>
      <c r="D352" s="15" t="s">
        <v>2148</v>
      </c>
      <c r="E352" s="15" t="s">
        <v>2134</v>
      </c>
      <c r="F352" s="15" t="s">
        <v>2116</v>
      </c>
      <c r="G352" s="15" t="s">
        <v>2127</v>
      </c>
      <c r="H352" s="15">
        <v>6277</v>
      </c>
      <c r="I352" s="15">
        <v>1615.82</v>
      </c>
    </row>
    <row r="353" spans="1:9">
      <c r="A353" s="13">
        <v>44667</v>
      </c>
      <c r="B353" s="91">
        <f t="shared" si="7"/>
        <v>2022</v>
      </c>
      <c r="C353" s="15" t="s">
        <v>2141</v>
      </c>
      <c r="D353" s="15" t="s">
        <v>2148</v>
      </c>
      <c r="E353" s="15" t="s">
        <v>2151</v>
      </c>
      <c r="F353" s="15" t="s">
        <v>2138</v>
      </c>
      <c r="G353" s="15" t="s">
        <v>2139</v>
      </c>
      <c r="H353" s="15">
        <v>5173</v>
      </c>
      <c r="I353" s="15">
        <v>1384.42</v>
      </c>
    </row>
    <row r="354" spans="1:9">
      <c r="A354" s="13">
        <v>44589</v>
      </c>
      <c r="B354" s="91">
        <f t="shared" si="7"/>
        <v>2022</v>
      </c>
      <c r="C354" s="15" t="s">
        <v>104</v>
      </c>
      <c r="D354" s="15" t="s">
        <v>2152</v>
      </c>
      <c r="E354" s="15" t="s">
        <v>2134</v>
      </c>
      <c r="F354" s="15" t="s">
        <v>2124</v>
      </c>
      <c r="G354" s="15" t="s">
        <v>2140</v>
      </c>
      <c r="H354" s="15">
        <v>2620</v>
      </c>
      <c r="I354" s="15">
        <v>700.73</v>
      </c>
    </row>
    <row r="355" spans="1:9">
      <c r="A355" s="13">
        <v>45187</v>
      </c>
      <c r="B355" s="91">
        <f t="shared" si="7"/>
        <v>2023</v>
      </c>
      <c r="C355" s="15" t="s">
        <v>2113</v>
      </c>
      <c r="D355" s="15" t="s">
        <v>2148</v>
      </c>
      <c r="E355" s="15" t="s">
        <v>2129</v>
      </c>
      <c r="F355" s="15" t="s">
        <v>2120</v>
      </c>
      <c r="G355" s="15" t="s">
        <v>2121</v>
      </c>
      <c r="H355" s="15">
        <v>4467</v>
      </c>
      <c r="I355" s="15">
        <v>1336.16</v>
      </c>
    </row>
    <row r="356" spans="1:9">
      <c r="A356" s="13">
        <v>45296</v>
      </c>
      <c r="B356" s="91">
        <f t="shared" si="7"/>
        <v>2024</v>
      </c>
      <c r="C356" s="15" t="s">
        <v>2141</v>
      </c>
      <c r="D356" s="15" t="s">
        <v>2118</v>
      </c>
      <c r="E356" s="15" t="s">
        <v>2143</v>
      </c>
      <c r="F356" s="15" t="s">
        <v>2124</v>
      </c>
      <c r="G356" s="15" t="s">
        <v>2140</v>
      </c>
      <c r="H356" s="15">
        <v>2346</v>
      </c>
      <c r="I356" s="15">
        <v>525.91</v>
      </c>
    </row>
    <row r="357" spans="1:9">
      <c r="A357" s="13">
        <v>44605</v>
      </c>
      <c r="B357" s="91">
        <f t="shared" si="7"/>
        <v>2022</v>
      </c>
      <c r="C357" s="15" t="s">
        <v>104</v>
      </c>
      <c r="D357" s="15" t="s">
        <v>2142</v>
      </c>
      <c r="E357" s="15" t="s">
        <v>2143</v>
      </c>
      <c r="F357" s="15" t="s">
        <v>2116</v>
      </c>
      <c r="G357" s="15" t="s">
        <v>2154</v>
      </c>
      <c r="H357" s="15">
        <v>5883</v>
      </c>
      <c r="I357" s="15">
        <v>670.58</v>
      </c>
    </row>
    <row r="358" spans="1:9">
      <c r="A358" s="13">
        <v>45296</v>
      </c>
      <c r="B358" s="91">
        <f t="shared" si="7"/>
        <v>2024</v>
      </c>
      <c r="C358" s="15" t="s">
        <v>107</v>
      </c>
      <c r="D358" s="15" t="s">
        <v>2126</v>
      </c>
      <c r="E358" s="15" t="s">
        <v>2123</v>
      </c>
      <c r="F358" s="15" t="s">
        <v>2120</v>
      </c>
      <c r="G358" s="15" t="s">
        <v>2133</v>
      </c>
      <c r="H358" s="15">
        <v>4393</v>
      </c>
      <c r="I358" s="15">
        <v>624.75</v>
      </c>
    </row>
    <row r="359" spans="1:9">
      <c r="A359" s="13">
        <v>44824</v>
      </c>
      <c r="B359" s="91">
        <f t="shared" si="7"/>
        <v>2022</v>
      </c>
      <c r="C359" s="15" t="s">
        <v>2113</v>
      </c>
      <c r="D359" s="15" t="s">
        <v>2142</v>
      </c>
      <c r="E359" s="15" t="s">
        <v>2136</v>
      </c>
      <c r="F359" s="15" t="s">
        <v>2138</v>
      </c>
      <c r="G359" s="15" t="s">
        <v>2139</v>
      </c>
      <c r="H359" s="15">
        <v>8721</v>
      </c>
      <c r="I359" s="15">
        <v>2300.81</v>
      </c>
    </row>
    <row r="360" spans="1:9">
      <c r="A360" s="13">
        <v>45101</v>
      </c>
      <c r="B360" s="91">
        <f t="shared" si="7"/>
        <v>2023</v>
      </c>
      <c r="C360" s="15" t="s">
        <v>2113</v>
      </c>
      <c r="D360" s="15" t="s">
        <v>2152</v>
      </c>
      <c r="E360" s="15" t="s">
        <v>2134</v>
      </c>
      <c r="F360" s="15" t="s">
        <v>2138</v>
      </c>
      <c r="G360" s="15" t="s">
        <v>2146</v>
      </c>
      <c r="H360" s="15">
        <v>8394</v>
      </c>
      <c r="I360" s="15">
        <v>1265.17</v>
      </c>
    </row>
    <row r="361" spans="1:9">
      <c r="A361" s="13">
        <v>44567</v>
      </c>
      <c r="B361" s="91">
        <f t="shared" si="7"/>
        <v>2022</v>
      </c>
      <c r="C361" s="15" t="s">
        <v>2141</v>
      </c>
      <c r="D361" s="15" t="s">
        <v>2128</v>
      </c>
      <c r="E361" s="15" t="s">
        <v>2129</v>
      </c>
      <c r="F361" s="15" t="s">
        <v>2120</v>
      </c>
      <c r="G361" s="15" t="s">
        <v>2132</v>
      </c>
      <c r="H361" s="15">
        <v>1090</v>
      </c>
      <c r="I361" s="15">
        <v>154.91999999999999</v>
      </c>
    </row>
    <row r="362" spans="1:9">
      <c r="A362" s="13">
        <v>45410</v>
      </c>
      <c r="B362" s="91">
        <f t="shared" si="7"/>
        <v>2024</v>
      </c>
      <c r="C362" s="15" t="s">
        <v>107</v>
      </c>
      <c r="D362" s="15" t="s">
        <v>2131</v>
      </c>
      <c r="E362" s="15" t="s">
        <v>2145</v>
      </c>
      <c r="F362" s="15" t="s">
        <v>2120</v>
      </c>
      <c r="G362" s="15" t="s">
        <v>2133</v>
      </c>
      <c r="H362" s="15">
        <v>7695</v>
      </c>
      <c r="I362" s="15">
        <v>872.72</v>
      </c>
    </row>
    <row r="363" spans="1:9">
      <c r="A363" s="13">
        <v>45633</v>
      </c>
      <c r="B363" s="91">
        <f t="shared" si="7"/>
        <v>2024</v>
      </c>
      <c r="C363" s="15" t="s">
        <v>104</v>
      </c>
      <c r="D363" s="15" t="s">
        <v>2131</v>
      </c>
      <c r="E363" s="15" t="s">
        <v>2123</v>
      </c>
      <c r="F363" s="15" t="s">
        <v>2116</v>
      </c>
      <c r="G363" s="15" t="s">
        <v>2117</v>
      </c>
      <c r="H363" s="15">
        <v>4751</v>
      </c>
      <c r="I363" s="15">
        <v>1028.28</v>
      </c>
    </row>
    <row r="364" spans="1:9">
      <c r="A364" s="13">
        <v>45157</v>
      </c>
      <c r="B364" s="91">
        <f t="shared" si="7"/>
        <v>2023</v>
      </c>
      <c r="C364" s="15" t="s">
        <v>104</v>
      </c>
      <c r="D364" s="15" t="s">
        <v>2126</v>
      </c>
      <c r="E364" s="15" t="s">
        <v>2115</v>
      </c>
      <c r="F364" s="15" t="s">
        <v>2124</v>
      </c>
      <c r="G364" s="15" t="s">
        <v>2130</v>
      </c>
      <c r="H364" s="15">
        <v>3146</v>
      </c>
      <c r="I364" s="15">
        <v>355.67</v>
      </c>
    </row>
    <row r="365" spans="1:9">
      <c r="A365" s="13">
        <v>45533</v>
      </c>
      <c r="B365" s="91">
        <f t="shared" si="7"/>
        <v>2024</v>
      </c>
      <c r="C365" s="15" t="s">
        <v>2141</v>
      </c>
      <c r="D365" s="15" t="s">
        <v>2142</v>
      </c>
      <c r="E365" s="15" t="s">
        <v>2119</v>
      </c>
      <c r="F365" s="15" t="s">
        <v>2124</v>
      </c>
      <c r="G365" s="15" t="s">
        <v>2125</v>
      </c>
      <c r="H365" s="15">
        <v>1279</v>
      </c>
      <c r="I365" s="15">
        <v>354.38</v>
      </c>
    </row>
    <row r="366" spans="1:9">
      <c r="A366" s="13">
        <v>44572</v>
      </c>
      <c r="B366" s="91">
        <f t="shared" si="7"/>
        <v>2022</v>
      </c>
      <c r="C366" s="15" t="s">
        <v>2141</v>
      </c>
      <c r="D366" s="15" t="s">
        <v>2148</v>
      </c>
      <c r="E366" s="15" t="s">
        <v>2115</v>
      </c>
      <c r="F366" s="15" t="s">
        <v>2124</v>
      </c>
      <c r="G366" s="15" t="s">
        <v>2140</v>
      </c>
      <c r="H366" s="15">
        <v>7258</v>
      </c>
      <c r="I366" s="15">
        <v>1301.21</v>
      </c>
    </row>
    <row r="367" spans="1:9">
      <c r="A367" s="13">
        <v>45631</v>
      </c>
      <c r="B367" s="91">
        <f t="shared" si="7"/>
        <v>2024</v>
      </c>
      <c r="C367" s="15" t="s">
        <v>107</v>
      </c>
      <c r="D367" s="15" t="s">
        <v>2152</v>
      </c>
      <c r="E367" s="15" t="s">
        <v>2144</v>
      </c>
      <c r="F367" s="15" t="s">
        <v>2124</v>
      </c>
      <c r="G367" s="15" t="s">
        <v>2130</v>
      </c>
      <c r="H367" s="15">
        <v>9560</v>
      </c>
      <c r="I367" s="15">
        <v>2712.17</v>
      </c>
    </row>
    <row r="368" spans="1:9">
      <c r="A368" s="13">
        <v>45433</v>
      </c>
      <c r="B368" s="91">
        <f t="shared" si="7"/>
        <v>2024</v>
      </c>
      <c r="C368" s="15" t="s">
        <v>107</v>
      </c>
      <c r="D368" s="15" t="s">
        <v>2142</v>
      </c>
      <c r="E368" s="15" t="s">
        <v>2143</v>
      </c>
      <c r="F368" s="15" t="s">
        <v>2120</v>
      </c>
      <c r="G368" s="15" t="s">
        <v>2121</v>
      </c>
      <c r="H368" s="15">
        <v>3364</v>
      </c>
      <c r="I368" s="15">
        <v>642.88</v>
      </c>
    </row>
    <row r="369" spans="1:9">
      <c r="A369" s="13">
        <v>45406</v>
      </c>
      <c r="B369" s="91">
        <f t="shared" si="7"/>
        <v>2024</v>
      </c>
      <c r="C369" s="15" t="s">
        <v>2113</v>
      </c>
      <c r="D369" s="15" t="s">
        <v>2148</v>
      </c>
      <c r="E369" s="15" t="s">
        <v>2144</v>
      </c>
      <c r="F369" s="15" t="s">
        <v>2138</v>
      </c>
      <c r="G369" s="15" t="s">
        <v>2149</v>
      </c>
      <c r="H369" s="15">
        <v>4169</v>
      </c>
      <c r="I369" s="15">
        <v>1151.44</v>
      </c>
    </row>
    <row r="370" spans="1:9">
      <c r="A370" s="13">
        <v>45166</v>
      </c>
      <c r="B370" s="91">
        <f t="shared" si="7"/>
        <v>2023</v>
      </c>
      <c r="C370" s="15" t="s">
        <v>104</v>
      </c>
      <c r="D370" s="15" t="s">
        <v>2153</v>
      </c>
      <c r="E370" s="15" t="s">
        <v>2136</v>
      </c>
      <c r="F370" s="15" t="s">
        <v>2116</v>
      </c>
      <c r="G370" s="15" t="s">
        <v>2154</v>
      </c>
      <c r="H370" s="15">
        <v>6128</v>
      </c>
      <c r="I370" s="15">
        <v>1217.1400000000001</v>
      </c>
    </row>
    <row r="371" spans="1:9">
      <c r="A371" s="13">
        <v>45242</v>
      </c>
      <c r="B371" s="91">
        <f t="shared" si="7"/>
        <v>2023</v>
      </c>
      <c r="C371" s="15" t="s">
        <v>2141</v>
      </c>
      <c r="D371" s="15" t="s">
        <v>2131</v>
      </c>
      <c r="E371" s="15" t="s">
        <v>2144</v>
      </c>
      <c r="F371" s="15" t="s">
        <v>2116</v>
      </c>
      <c r="G371" s="15" t="s">
        <v>2127</v>
      </c>
      <c r="H371" s="15">
        <v>9406</v>
      </c>
      <c r="I371" s="15">
        <v>2176.9899999999998</v>
      </c>
    </row>
    <row r="372" spans="1:9">
      <c r="A372" s="13">
        <v>45441</v>
      </c>
      <c r="B372" s="91">
        <f t="shared" si="7"/>
        <v>2024</v>
      </c>
      <c r="C372" s="15" t="s">
        <v>104</v>
      </c>
      <c r="D372" s="15" t="s">
        <v>2114</v>
      </c>
      <c r="E372" s="15" t="s">
        <v>2119</v>
      </c>
      <c r="F372" s="15" t="s">
        <v>2120</v>
      </c>
      <c r="G372" s="15" t="s">
        <v>2121</v>
      </c>
      <c r="H372" s="15">
        <v>2435</v>
      </c>
      <c r="I372" s="15">
        <v>709.55</v>
      </c>
    </row>
    <row r="373" spans="1:9">
      <c r="A373" s="13">
        <v>44802</v>
      </c>
      <c r="B373" s="91">
        <f t="shared" si="7"/>
        <v>2022</v>
      </c>
      <c r="C373" s="15" t="s">
        <v>2141</v>
      </c>
      <c r="D373" s="15" t="s">
        <v>2152</v>
      </c>
      <c r="E373" s="15" t="s">
        <v>2143</v>
      </c>
      <c r="F373" s="15" t="s">
        <v>2120</v>
      </c>
      <c r="G373" s="15" t="s">
        <v>2121</v>
      </c>
      <c r="H373" s="15">
        <v>8377</v>
      </c>
      <c r="I373" s="15">
        <v>2390.61</v>
      </c>
    </row>
    <row r="374" spans="1:9">
      <c r="A374" s="13">
        <v>44945</v>
      </c>
      <c r="B374" s="91">
        <f t="shared" si="7"/>
        <v>2023</v>
      </c>
      <c r="C374" s="15" t="s">
        <v>2141</v>
      </c>
      <c r="D374" s="15" t="s">
        <v>2148</v>
      </c>
      <c r="E374" s="15" t="s">
        <v>2151</v>
      </c>
      <c r="F374" s="15" t="s">
        <v>2138</v>
      </c>
      <c r="G374" s="15" t="s">
        <v>2149</v>
      </c>
      <c r="H374" s="15">
        <v>7886</v>
      </c>
      <c r="I374" s="15">
        <v>2307.8000000000002</v>
      </c>
    </row>
    <row r="375" spans="1:9">
      <c r="A375" s="13">
        <v>45026</v>
      </c>
      <c r="B375" s="91">
        <f t="shared" si="7"/>
        <v>2023</v>
      </c>
      <c r="C375" s="15" t="s">
        <v>104</v>
      </c>
      <c r="D375" s="15" t="s">
        <v>2153</v>
      </c>
      <c r="E375" s="15" t="s">
        <v>2144</v>
      </c>
      <c r="F375" s="15" t="s">
        <v>2120</v>
      </c>
      <c r="G375" s="15" t="s">
        <v>2132</v>
      </c>
      <c r="H375" s="15">
        <v>9965</v>
      </c>
      <c r="I375" s="15">
        <v>2365.15</v>
      </c>
    </row>
    <row r="376" spans="1:9">
      <c r="A376" s="13">
        <v>44780</v>
      </c>
      <c r="B376" s="91">
        <f t="shared" si="7"/>
        <v>2022</v>
      </c>
      <c r="C376" s="15" t="s">
        <v>107</v>
      </c>
      <c r="D376" s="15" t="s">
        <v>2142</v>
      </c>
      <c r="E376" s="15" t="s">
        <v>2119</v>
      </c>
      <c r="F376" s="15" t="s">
        <v>2138</v>
      </c>
      <c r="G376" s="15" t="s">
        <v>2149</v>
      </c>
      <c r="H376" s="15">
        <v>9607</v>
      </c>
      <c r="I376" s="15">
        <v>1197.48</v>
      </c>
    </row>
    <row r="377" spans="1:9">
      <c r="A377" s="13">
        <v>45228</v>
      </c>
      <c r="B377" s="91">
        <f t="shared" si="7"/>
        <v>2023</v>
      </c>
      <c r="C377" s="15" t="s">
        <v>2141</v>
      </c>
      <c r="D377" s="15" t="s">
        <v>2153</v>
      </c>
      <c r="E377" s="15" t="s">
        <v>2136</v>
      </c>
      <c r="F377" s="15" t="s">
        <v>2116</v>
      </c>
      <c r="G377" s="15" t="s">
        <v>2127</v>
      </c>
      <c r="H377" s="15">
        <v>9616</v>
      </c>
      <c r="I377" s="15">
        <v>1927.29</v>
      </c>
    </row>
    <row r="378" spans="1:9">
      <c r="A378" s="13">
        <v>45026</v>
      </c>
      <c r="B378" s="91">
        <f t="shared" si="7"/>
        <v>2023</v>
      </c>
      <c r="C378" s="15" t="s">
        <v>2113</v>
      </c>
      <c r="D378" s="15" t="s">
        <v>2114</v>
      </c>
      <c r="E378" s="15" t="s">
        <v>2129</v>
      </c>
      <c r="F378" s="15" t="s">
        <v>2116</v>
      </c>
      <c r="G378" s="15" t="s">
        <v>2127</v>
      </c>
      <c r="H378" s="15">
        <v>4121</v>
      </c>
      <c r="I378" s="15">
        <v>887.57</v>
      </c>
    </row>
    <row r="379" spans="1:9">
      <c r="A379" s="13">
        <v>44787</v>
      </c>
      <c r="B379" s="91">
        <f t="shared" si="7"/>
        <v>2022</v>
      </c>
      <c r="C379" s="15" t="s">
        <v>104</v>
      </c>
      <c r="D379" s="15" t="s">
        <v>2142</v>
      </c>
      <c r="E379" s="15" t="s">
        <v>2136</v>
      </c>
      <c r="F379" s="15" t="s">
        <v>2116</v>
      </c>
      <c r="G379" s="15" t="s">
        <v>2117</v>
      </c>
      <c r="H379" s="15">
        <v>2287</v>
      </c>
      <c r="I379" s="15">
        <v>563.17999999999995</v>
      </c>
    </row>
    <row r="380" spans="1:9">
      <c r="A380" s="13">
        <v>45285</v>
      </c>
      <c r="B380" s="91">
        <f t="shared" si="7"/>
        <v>2023</v>
      </c>
      <c r="C380" s="15" t="s">
        <v>2113</v>
      </c>
      <c r="D380" s="15" t="s">
        <v>2152</v>
      </c>
      <c r="E380" s="15" t="s">
        <v>2144</v>
      </c>
      <c r="F380" s="15" t="s">
        <v>2120</v>
      </c>
      <c r="G380" s="15" t="s">
        <v>2132</v>
      </c>
      <c r="H380" s="15">
        <v>2071</v>
      </c>
      <c r="I380" s="15">
        <v>418.48</v>
      </c>
    </row>
    <row r="381" spans="1:9">
      <c r="A381" s="13">
        <v>45117</v>
      </c>
      <c r="B381" s="91">
        <f t="shared" si="7"/>
        <v>2023</v>
      </c>
      <c r="C381" s="15" t="s">
        <v>2141</v>
      </c>
      <c r="D381" s="15" t="s">
        <v>2153</v>
      </c>
      <c r="E381" s="15" t="s">
        <v>2119</v>
      </c>
      <c r="F381" s="15" t="s">
        <v>2116</v>
      </c>
      <c r="G381" s="15" t="s">
        <v>2127</v>
      </c>
      <c r="H381" s="15">
        <v>7644</v>
      </c>
      <c r="I381" s="15">
        <v>957.93</v>
      </c>
    </row>
    <row r="382" spans="1:9">
      <c r="A382" s="13">
        <v>44647</v>
      </c>
      <c r="B382" s="91">
        <f t="shared" si="7"/>
        <v>2022</v>
      </c>
      <c r="C382" s="15" t="s">
        <v>2141</v>
      </c>
      <c r="D382" s="15" t="s">
        <v>2114</v>
      </c>
      <c r="E382" s="15" t="s">
        <v>2115</v>
      </c>
      <c r="F382" s="15" t="s">
        <v>2116</v>
      </c>
      <c r="G382" s="15" t="s">
        <v>2154</v>
      </c>
      <c r="H382" s="15">
        <v>4020</v>
      </c>
      <c r="I382" s="15">
        <v>523.62</v>
      </c>
    </row>
    <row r="383" spans="1:9">
      <c r="A383" s="13">
        <v>44807</v>
      </c>
      <c r="B383" s="91">
        <f t="shared" si="7"/>
        <v>2022</v>
      </c>
      <c r="C383" s="15" t="s">
        <v>2141</v>
      </c>
      <c r="D383" s="15" t="s">
        <v>2152</v>
      </c>
      <c r="E383" s="15" t="s">
        <v>2129</v>
      </c>
      <c r="F383" s="15" t="s">
        <v>2138</v>
      </c>
      <c r="G383" s="15" t="s">
        <v>2139</v>
      </c>
      <c r="H383" s="15">
        <v>8138</v>
      </c>
      <c r="I383" s="15">
        <v>2270.7399999999998</v>
      </c>
    </row>
    <row r="384" spans="1:9">
      <c r="A384" s="13">
        <v>44756</v>
      </c>
      <c r="B384" s="91">
        <f t="shared" si="7"/>
        <v>2022</v>
      </c>
      <c r="C384" s="15" t="s">
        <v>2113</v>
      </c>
      <c r="D384" s="15" t="s">
        <v>2148</v>
      </c>
      <c r="E384" s="15" t="s">
        <v>2115</v>
      </c>
      <c r="F384" s="15" t="s">
        <v>2116</v>
      </c>
      <c r="G384" s="15" t="s">
        <v>2127</v>
      </c>
      <c r="H384" s="15">
        <v>9188</v>
      </c>
      <c r="I384" s="15">
        <v>2153.1999999999998</v>
      </c>
    </row>
    <row r="385" spans="1:9">
      <c r="A385" s="13">
        <v>44881</v>
      </c>
      <c r="B385" s="91">
        <f t="shared" si="7"/>
        <v>2022</v>
      </c>
      <c r="C385" s="15" t="s">
        <v>104</v>
      </c>
      <c r="D385" s="15" t="s">
        <v>2131</v>
      </c>
      <c r="E385" s="15" t="s">
        <v>2144</v>
      </c>
      <c r="F385" s="15" t="s">
        <v>2124</v>
      </c>
      <c r="G385" s="15" t="s">
        <v>2130</v>
      </c>
      <c r="H385" s="15">
        <v>2517</v>
      </c>
      <c r="I385" s="15">
        <v>584.92999999999995</v>
      </c>
    </row>
    <row r="386" spans="1:9">
      <c r="A386" s="13">
        <v>44814</v>
      </c>
      <c r="B386" s="91">
        <f t="shared" si="7"/>
        <v>2022</v>
      </c>
      <c r="C386" s="15" t="s">
        <v>2113</v>
      </c>
      <c r="D386" s="15" t="s">
        <v>2142</v>
      </c>
      <c r="E386" s="15" t="s">
        <v>2151</v>
      </c>
      <c r="F386" s="15" t="s">
        <v>2124</v>
      </c>
      <c r="G386" s="15" t="s">
        <v>2140</v>
      </c>
      <c r="H386" s="15">
        <v>1731</v>
      </c>
      <c r="I386" s="15">
        <v>402.92</v>
      </c>
    </row>
    <row r="387" spans="1:9">
      <c r="A387" s="13">
        <v>44981</v>
      </c>
      <c r="B387" s="91">
        <f t="shared" ref="B387:B450" si="8">YEAR(A387)</f>
        <v>2023</v>
      </c>
      <c r="C387" s="15" t="s">
        <v>2141</v>
      </c>
      <c r="D387" s="15" t="s">
        <v>2131</v>
      </c>
      <c r="E387" s="15" t="s">
        <v>2115</v>
      </c>
      <c r="F387" s="15" t="s">
        <v>2120</v>
      </c>
      <c r="G387" s="15" t="s">
        <v>2132</v>
      </c>
      <c r="H387" s="15">
        <v>5506</v>
      </c>
      <c r="I387" s="15">
        <v>926.96</v>
      </c>
    </row>
    <row r="388" spans="1:9">
      <c r="A388" s="13">
        <v>45037</v>
      </c>
      <c r="B388" s="91">
        <f t="shared" si="8"/>
        <v>2023</v>
      </c>
      <c r="C388" s="15" t="s">
        <v>2113</v>
      </c>
      <c r="D388" s="15" t="s">
        <v>2148</v>
      </c>
      <c r="E388" s="15" t="s">
        <v>2129</v>
      </c>
      <c r="F388" s="15" t="s">
        <v>2120</v>
      </c>
      <c r="G388" s="15" t="s">
        <v>2133</v>
      </c>
      <c r="H388" s="15">
        <v>9234</v>
      </c>
      <c r="I388" s="15">
        <v>1539.23</v>
      </c>
    </row>
    <row r="389" spans="1:9">
      <c r="A389" s="13">
        <v>44817</v>
      </c>
      <c r="B389" s="91">
        <f t="shared" si="8"/>
        <v>2022</v>
      </c>
      <c r="C389" s="15" t="s">
        <v>2113</v>
      </c>
      <c r="D389" s="15" t="s">
        <v>2114</v>
      </c>
      <c r="E389" s="15" t="s">
        <v>2134</v>
      </c>
      <c r="F389" s="15" t="s">
        <v>2138</v>
      </c>
      <c r="G389" s="15" t="s">
        <v>2139</v>
      </c>
      <c r="H389" s="15">
        <v>3380</v>
      </c>
      <c r="I389" s="15">
        <v>967.17</v>
      </c>
    </row>
    <row r="390" spans="1:9">
      <c r="A390" s="13">
        <v>44675</v>
      </c>
      <c r="B390" s="91">
        <f t="shared" si="8"/>
        <v>2022</v>
      </c>
      <c r="C390" s="15" t="s">
        <v>107</v>
      </c>
      <c r="D390" s="15" t="s">
        <v>2142</v>
      </c>
      <c r="E390" s="15" t="s">
        <v>2144</v>
      </c>
      <c r="F390" s="15" t="s">
        <v>2116</v>
      </c>
      <c r="G390" s="15" t="s">
        <v>2117</v>
      </c>
      <c r="H390" s="15">
        <v>2441</v>
      </c>
      <c r="I390" s="15">
        <v>313.35000000000002</v>
      </c>
    </row>
    <row r="391" spans="1:9">
      <c r="A391" s="13">
        <v>45175</v>
      </c>
      <c r="B391" s="91">
        <f t="shared" si="8"/>
        <v>2023</v>
      </c>
      <c r="C391" s="15" t="s">
        <v>107</v>
      </c>
      <c r="D391" s="15" t="s">
        <v>2152</v>
      </c>
      <c r="E391" s="15" t="s">
        <v>2143</v>
      </c>
      <c r="F391" s="15" t="s">
        <v>2120</v>
      </c>
      <c r="G391" s="15" t="s">
        <v>2133</v>
      </c>
      <c r="H391" s="15">
        <v>1844</v>
      </c>
      <c r="I391" s="15">
        <v>455.21</v>
      </c>
    </row>
    <row r="392" spans="1:9">
      <c r="A392" s="13">
        <v>45251</v>
      </c>
      <c r="B392" s="91">
        <f t="shared" si="8"/>
        <v>2023</v>
      </c>
      <c r="C392" s="15" t="s">
        <v>2141</v>
      </c>
      <c r="D392" s="15" t="s">
        <v>2148</v>
      </c>
      <c r="E392" s="15" t="s">
        <v>2143</v>
      </c>
      <c r="F392" s="15" t="s">
        <v>2120</v>
      </c>
      <c r="G392" s="15" t="s">
        <v>2133</v>
      </c>
      <c r="H392" s="15">
        <v>8673</v>
      </c>
      <c r="I392" s="15">
        <v>1195.82</v>
      </c>
    </row>
    <row r="393" spans="1:9">
      <c r="A393" s="13">
        <v>45171</v>
      </c>
      <c r="B393" s="91">
        <f t="shared" si="8"/>
        <v>2023</v>
      </c>
      <c r="C393" s="15" t="s">
        <v>104</v>
      </c>
      <c r="D393" s="15" t="s">
        <v>2128</v>
      </c>
      <c r="E393" s="15" t="s">
        <v>2115</v>
      </c>
      <c r="F393" s="15" t="s">
        <v>2124</v>
      </c>
      <c r="G393" s="15" t="s">
        <v>2140</v>
      </c>
      <c r="H393" s="15">
        <v>5422</v>
      </c>
      <c r="I393" s="15">
        <v>1254.33</v>
      </c>
    </row>
    <row r="394" spans="1:9">
      <c r="A394" s="13">
        <v>45412</v>
      </c>
      <c r="B394" s="91">
        <f t="shared" si="8"/>
        <v>2024</v>
      </c>
      <c r="C394" s="15" t="s">
        <v>2113</v>
      </c>
      <c r="D394" s="15" t="s">
        <v>2114</v>
      </c>
      <c r="E394" s="15" t="s">
        <v>2115</v>
      </c>
      <c r="F394" s="15" t="s">
        <v>2138</v>
      </c>
      <c r="G394" s="15" t="s">
        <v>2146</v>
      </c>
      <c r="H394" s="15">
        <v>2563</v>
      </c>
      <c r="I394" s="15">
        <v>456.71</v>
      </c>
    </row>
    <row r="395" spans="1:9">
      <c r="A395" s="13">
        <v>45334</v>
      </c>
      <c r="B395" s="91">
        <f t="shared" si="8"/>
        <v>2024</v>
      </c>
      <c r="C395" s="15" t="s">
        <v>104</v>
      </c>
      <c r="D395" s="15" t="s">
        <v>2152</v>
      </c>
      <c r="E395" s="15" t="s">
        <v>2119</v>
      </c>
      <c r="F395" s="15" t="s">
        <v>2138</v>
      </c>
      <c r="G395" s="15" t="s">
        <v>2146</v>
      </c>
      <c r="H395" s="15">
        <v>9374</v>
      </c>
      <c r="I395" s="15">
        <v>1021.79</v>
      </c>
    </row>
    <row r="396" spans="1:9">
      <c r="A396" s="13">
        <v>44781</v>
      </c>
      <c r="B396" s="91">
        <f t="shared" si="8"/>
        <v>2022</v>
      </c>
      <c r="C396" s="15" t="s">
        <v>107</v>
      </c>
      <c r="D396" s="15" t="s">
        <v>2118</v>
      </c>
      <c r="E396" s="15" t="s">
        <v>2119</v>
      </c>
      <c r="F396" s="15" t="s">
        <v>2116</v>
      </c>
      <c r="G396" s="15" t="s">
        <v>2117</v>
      </c>
      <c r="H396" s="15">
        <v>8761</v>
      </c>
      <c r="I396" s="15">
        <v>1393.79</v>
      </c>
    </row>
    <row r="397" spans="1:9">
      <c r="A397" s="13">
        <v>45135</v>
      </c>
      <c r="B397" s="91">
        <f t="shared" si="8"/>
        <v>2023</v>
      </c>
      <c r="C397" s="15" t="s">
        <v>107</v>
      </c>
      <c r="D397" s="15" t="s">
        <v>2152</v>
      </c>
      <c r="E397" s="15" t="s">
        <v>2134</v>
      </c>
      <c r="F397" s="15" t="s">
        <v>2120</v>
      </c>
      <c r="G397" s="15" t="s">
        <v>2133</v>
      </c>
      <c r="H397" s="15">
        <v>4527</v>
      </c>
      <c r="I397" s="15">
        <v>561.57000000000005</v>
      </c>
    </row>
    <row r="398" spans="1:9">
      <c r="A398" s="13">
        <v>45346</v>
      </c>
      <c r="B398" s="91">
        <f t="shared" si="8"/>
        <v>2024</v>
      </c>
      <c r="C398" s="15" t="s">
        <v>2113</v>
      </c>
      <c r="D398" s="15" t="s">
        <v>2153</v>
      </c>
      <c r="E398" s="15" t="s">
        <v>2134</v>
      </c>
      <c r="F398" s="15" t="s">
        <v>2138</v>
      </c>
      <c r="G398" s="15" t="s">
        <v>2139</v>
      </c>
      <c r="H398" s="15">
        <v>5118</v>
      </c>
      <c r="I398" s="15">
        <v>1160.3800000000001</v>
      </c>
    </row>
    <row r="399" spans="1:9">
      <c r="A399" s="13">
        <v>44953</v>
      </c>
      <c r="B399" s="91">
        <f t="shared" si="8"/>
        <v>2023</v>
      </c>
      <c r="C399" s="15" t="s">
        <v>2113</v>
      </c>
      <c r="D399" s="15" t="s">
        <v>2152</v>
      </c>
      <c r="E399" s="15" t="s">
        <v>2151</v>
      </c>
      <c r="F399" s="15" t="s">
        <v>2138</v>
      </c>
      <c r="G399" s="15" t="s">
        <v>2146</v>
      </c>
      <c r="H399" s="15">
        <v>3323</v>
      </c>
      <c r="I399" s="15">
        <v>503.59</v>
      </c>
    </row>
    <row r="400" spans="1:9">
      <c r="A400" s="13">
        <v>45606</v>
      </c>
      <c r="B400" s="91">
        <f t="shared" si="8"/>
        <v>2024</v>
      </c>
      <c r="C400" s="15" t="s">
        <v>2113</v>
      </c>
      <c r="D400" s="15" t="s">
        <v>2142</v>
      </c>
      <c r="E400" s="15" t="s">
        <v>2119</v>
      </c>
      <c r="F400" s="15" t="s">
        <v>2124</v>
      </c>
      <c r="G400" s="15" t="s">
        <v>2125</v>
      </c>
      <c r="H400" s="15">
        <v>9769</v>
      </c>
      <c r="I400" s="15">
        <v>1307.6199999999999</v>
      </c>
    </row>
    <row r="401" spans="1:9">
      <c r="A401" s="13">
        <v>44706</v>
      </c>
      <c r="B401" s="91">
        <f t="shared" si="8"/>
        <v>2022</v>
      </c>
      <c r="C401" s="15" t="s">
        <v>107</v>
      </c>
      <c r="D401" s="15" t="s">
        <v>2142</v>
      </c>
      <c r="E401" s="15" t="s">
        <v>2143</v>
      </c>
      <c r="F401" s="15" t="s">
        <v>2138</v>
      </c>
      <c r="G401" s="15" t="s">
        <v>2149</v>
      </c>
      <c r="H401" s="15">
        <v>4100</v>
      </c>
      <c r="I401" s="15">
        <v>1187.0899999999999</v>
      </c>
    </row>
    <row r="402" spans="1:9">
      <c r="A402" s="13">
        <v>45149</v>
      </c>
      <c r="B402" s="91">
        <f t="shared" si="8"/>
        <v>2023</v>
      </c>
      <c r="C402" s="15" t="s">
        <v>104</v>
      </c>
      <c r="D402" s="15" t="s">
        <v>2148</v>
      </c>
      <c r="E402" s="15" t="s">
        <v>2115</v>
      </c>
      <c r="F402" s="15" t="s">
        <v>2116</v>
      </c>
      <c r="G402" s="15" t="s">
        <v>2154</v>
      </c>
      <c r="H402" s="15">
        <v>8021</v>
      </c>
      <c r="I402" s="15">
        <v>2128.5500000000002</v>
      </c>
    </row>
    <row r="403" spans="1:9">
      <c r="A403" s="13">
        <v>45055</v>
      </c>
      <c r="B403" s="91">
        <f t="shared" si="8"/>
        <v>2023</v>
      </c>
      <c r="C403" s="15" t="s">
        <v>107</v>
      </c>
      <c r="D403" s="15" t="s">
        <v>2131</v>
      </c>
      <c r="E403" s="15" t="s">
        <v>2151</v>
      </c>
      <c r="F403" s="15" t="s">
        <v>2116</v>
      </c>
      <c r="G403" s="15" t="s">
        <v>2154</v>
      </c>
      <c r="H403" s="15">
        <v>9790</v>
      </c>
      <c r="I403" s="15">
        <v>2724.6</v>
      </c>
    </row>
    <row r="404" spans="1:9">
      <c r="A404" s="13">
        <v>45056</v>
      </c>
      <c r="B404" s="91">
        <f t="shared" si="8"/>
        <v>2023</v>
      </c>
      <c r="C404" s="15" t="s">
        <v>2141</v>
      </c>
      <c r="D404" s="15" t="s">
        <v>2131</v>
      </c>
      <c r="E404" s="15" t="s">
        <v>2151</v>
      </c>
      <c r="F404" s="15" t="s">
        <v>2138</v>
      </c>
      <c r="G404" s="15" t="s">
        <v>2139</v>
      </c>
      <c r="H404" s="15">
        <v>4407</v>
      </c>
      <c r="I404" s="15">
        <v>648.1</v>
      </c>
    </row>
    <row r="405" spans="1:9">
      <c r="A405" s="13">
        <v>44943</v>
      </c>
      <c r="B405" s="91">
        <f t="shared" si="8"/>
        <v>2023</v>
      </c>
      <c r="C405" s="15" t="s">
        <v>107</v>
      </c>
      <c r="D405" s="15" t="s">
        <v>2131</v>
      </c>
      <c r="E405" s="15" t="s">
        <v>2129</v>
      </c>
      <c r="F405" s="15" t="s">
        <v>2116</v>
      </c>
      <c r="G405" s="15" t="s">
        <v>2154</v>
      </c>
      <c r="H405" s="15">
        <v>4594</v>
      </c>
      <c r="I405" s="15">
        <v>683.99</v>
      </c>
    </row>
    <row r="406" spans="1:9">
      <c r="A406" s="13">
        <v>44989</v>
      </c>
      <c r="B406" s="91">
        <f t="shared" si="8"/>
        <v>2023</v>
      </c>
      <c r="C406" s="15" t="s">
        <v>2141</v>
      </c>
      <c r="D406" s="15" t="s">
        <v>2148</v>
      </c>
      <c r="E406" s="15" t="s">
        <v>2115</v>
      </c>
      <c r="F406" s="15" t="s">
        <v>2116</v>
      </c>
      <c r="G406" s="15" t="s">
        <v>2127</v>
      </c>
      <c r="H406" s="15">
        <v>9381</v>
      </c>
      <c r="I406" s="15">
        <v>2704.17</v>
      </c>
    </row>
    <row r="407" spans="1:9">
      <c r="A407" s="13">
        <v>45261</v>
      </c>
      <c r="B407" s="91">
        <f t="shared" si="8"/>
        <v>2023</v>
      </c>
      <c r="C407" s="15" t="s">
        <v>107</v>
      </c>
      <c r="D407" s="15" t="s">
        <v>2135</v>
      </c>
      <c r="E407" s="15" t="s">
        <v>2144</v>
      </c>
      <c r="F407" s="15" t="s">
        <v>2124</v>
      </c>
      <c r="G407" s="15" t="s">
        <v>2125</v>
      </c>
      <c r="H407" s="15">
        <v>3190</v>
      </c>
      <c r="I407" s="15">
        <v>770.59</v>
      </c>
    </row>
    <row r="408" spans="1:9">
      <c r="A408" s="13">
        <v>45084</v>
      </c>
      <c r="B408" s="91">
        <f t="shared" si="8"/>
        <v>2023</v>
      </c>
      <c r="C408" s="15" t="s">
        <v>107</v>
      </c>
      <c r="D408" s="15" t="s">
        <v>2128</v>
      </c>
      <c r="E408" s="15" t="s">
        <v>2151</v>
      </c>
      <c r="F408" s="15" t="s">
        <v>2120</v>
      </c>
      <c r="G408" s="15" t="s">
        <v>2133</v>
      </c>
      <c r="H408" s="15">
        <v>6957</v>
      </c>
      <c r="I408" s="15">
        <v>1113.21</v>
      </c>
    </row>
    <row r="409" spans="1:9">
      <c r="A409" s="13">
        <v>44844</v>
      </c>
      <c r="B409" s="91">
        <f t="shared" si="8"/>
        <v>2022</v>
      </c>
      <c r="C409" s="15" t="s">
        <v>2141</v>
      </c>
      <c r="D409" s="15" t="s">
        <v>2128</v>
      </c>
      <c r="E409" s="15" t="s">
        <v>2151</v>
      </c>
      <c r="F409" s="15" t="s">
        <v>2120</v>
      </c>
      <c r="G409" s="15" t="s">
        <v>2121</v>
      </c>
      <c r="H409" s="15">
        <v>2650</v>
      </c>
      <c r="I409" s="15">
        <v>514.89</v>
      </c>
    </row>
    <row r="410" spans="1:9">
      <c r="A410" s="13">
        <v>45464</v>
      </c>
      <c r="B410" s="91">
        <f t="shared" si="8"/>
        <v>2024</v>
      </c>
      <c r="C410" s="15" t="s">
        <v>107</v>
      </c>
      <c r="D410" s="15" t="s">
        <v>2114</v>
      </c>
      <c r="E410" s="15" t="s">
        <v>2143</v>
      </c>
      <c r="F410" s="15" t="s">
        <v>2124</v>
      </c>
      <c r="G410" s="15" t="s">
        <v>2125</v>
      </c>
      <c r="H410" s="15">
        <v>5223</v>
      </c>
      <c r="I410" s="15">
        <v>580.88</v>
      </c>
    </row>
    <row r="411" spans="1:9">
      <c r="A411" s="13">
        <v>45428</v>
      </c>
      <c r="B411" s="91">
        <f t="shared" si="8"/>
        <v>2024</v>
      </c>
      <c r="C411" s="15" t="s">
        <v>2141</v>
      </c>
      <c r="D411" s="15" t="s">
        <v>2128</v>
      </c>
      <c r="E411" s="15" t="s">
        <v>2115</v>
      </c>
      <c r="F411" s="15" t="s">
        <v>2120</v>
      </c>
      <c r="G411" s="15" t="s">
        <v>2121</v>
      </c>
      <c r="H411" s="15">
        <v>6269</v>
      </c>
      <c r="I411" s="15">
        <v>1763.89</v>
      </c>
    </row>
    <row r="412" spans="1:9">
      <c r="A412" s="13">
        <v>45278</v>
      </c>
      <c r="B412" s="91">
        <f t="shared" si="8"/>
        <v>2023</v>
      </c>
      <c r="C412" s="15" t="s">
        <v>2141</v>
      </c>
      <c r="D412" s="15" t="s">
        <v>2131</v>
      </c>
      <c r="E412" s="15" t="s">
        <v>2115</v>
      </c>
      <c r="F412" s="15" t="s">
        <v>2120</v>
      </c>
      <c r="G412" s="15" t="s">
        <v>2133</v>
      </c>
      <c r="H412" s="15">
        <v>2110</v>
      </c>
      <c r="I412" s="15">
        <v>530.19000000000005</v>
      </c>
    </row>
    <row r="413" spans="1:9">
      <c r="A413" s="13">
        <v>44760</v>
      </c>
      <c r="B413" s="91">
        <f t="shared" si="8"/>
        <v>2022</v>
      </c>
      <c r="C413" s="15" t="s">
        <v>2113</v>
      </c>
      <c r="D413" s="15" t="s">
        <v>2135</v>
      </c>
      <c r="E413" s="15" t="s">
        <v>2134</v>
      </c>
      <c r="F413" s="15" t="s">
        <v>2120</v>
      </c>
      <c r="G413" s="15" t="s">
        <v>2133</v>
      </c>
      <c r="H413" s="15">
        <v>3617</v>
      </c>
      <c r="I413" s="15">
        <v>729.51</v>
      </c>
    </row>
    <row r="414" spans="1:9">
      <c r="A414" s="13">
        <v>45164</v>
      </c>
      <c r="B414" s="91">
        <f t="shared" si="8"/>
        <v>2023</v>
      </c>
      <c r="C414" s="15" t="s">
        <v>104</v>
      </c>
      <c r="D414" s="15" t="s">
        <v>2128</v>
      </c>
      <c r="E414" s="15" t="s">
        <v>2129</v>
      </c>
      <c r="F414" s="15" t="s">
        <v>2116</v>
      </c>
      <c r="G414" s="15" t="s">
        <v>2154</v>
      </c>
      <c r="H414" s="15">
        <v>8148</v>
      </c>
      <c r="I414" s="15">
        <v>1296.0999999999999</v>
      </c>
    </row>
    <row r="415" spans="1:9">
      <c r="A415" s="13">
        <v>44690</v>
      </c>
      <c r="B415" s="91">
        <f t="shared" si="8"/>
        <v>2022</v>
      </c>
      <c r="C415" s="15" t="s">
        <v>2113</v>
      </c>
      <c r="D415" s="15" t="s">
        <v>2153</v>
      </c>
      <c r="E415" s="15" t="s">
        <v>2145</v>
      </c>
      <c r="F415" s="15" t="s">
        <v>2120</v>
      </c>
      <c r="G415" s="15" t="s">
        <v>2133</v>
      </c>
      <c r="H415" s="15">
        <v>9944</v>
      </c>
      <c r="I415" s="15">
        <v>2277.2800000000002</v>
      </c>
    </row>
    <row r="416" spans="1:9">
      <c r="A416" s="13">
        <v>44763</v>
      </c>
      <c r="B416" s="91">
        <f t="shared" si="8"/>
        <v>2022</v>
      </c>
      <c r="C416" s="15" t="s">
        <v>2141</v>
      </c>
      <c r="D416" s="15" t="s">
        <v>2148</v>
      </c>
      <c r="E416" s="15" t="s">
        <v>2151</v>
      </c>
      <c r="F416" s="15" t="s">
        <v>2116</v>
      </c>
      <c r="G416" s="15" t="s">
        <v>2127</v>
      </c>
      <c r="H416" s="15">
        <v>4563</v>
      </c>
      <c r="I416" s="15">
        <v>746.47</v>
      </c>
    </row>
    <row r="417" spans="1:9">
      <c r="A417" s="13">
        <v>45094</v>
      </c>
      <c r="B417" s="91">
        <f t="shared" si="8"/>
        <v>2023</v>
      </c>
      <c r="C417" s="15" t="s">
        <v>104</v>
      </c>
      <c r="D417" s="15" t="s">
        <v>2128</v>
      </c>
      <c r="E417" s="15" t="s">
        <v>2123</v>
      </c>
      <c r="F417" s="15" t="s">
        <v>2116</v>
      </c>
      <c r="G417" s="15" t="s">
        <v>2154</v>
      </c>
      <c r="H417" s="15">
        <v>7639</v>
      </c>
      <c r="I417" s="15">
        <v>2231.3200000000002</v>
      </c>
    </row>
    <row r="418" spans="1:9">
      <c r="A418" s="13">
        <v>45655</v>
      </c>
      <c r="B418" s="91">
        <f t="shared" si="8"/>
        <v>2024</v>
      </c>
      <c r="C418" s="15" t="s">
        <v>2141</v>
      </c>
      <c r="D418" s="15" t="s">
        <v>2118</v>
      </c>
      <c r="E418" s="15" t="s">
        <v>2134</v>
      </c>
      <c r="F418" s="15" t="s">
        <v>2124</v>
      </c>
      <c r="G418" s="15" t="s">
        <v>2140</v>
      </c>
      <c r="H418" s="15">
        <v>2206</v>
      </c>
      <c r="I418" s="15">
        <v>558.61</v>
      </c>
    </row>
    <row r="419" spans="1:9">
      <c r="A419" s="13">
        <v>44884</v>
      </c>
      <c r="B419" s="91">
        <f t="shared" si="8"/>
        <v>2022</v>
      </c>
      <c r="C419" s="15" t="s">
        <v>104</v>
      </c>
      <c r="D419" s="15" t="s">
        <v>2152</v>
      </c>
      <c r="E419" s="15" t="s">
        <v>2123</v>
      </c>
      <c r="F419" s="15" t="s">
        <v>2116</v>
      </c>
      <c r="G419" s="15" t="s">
        <v>2127</v>
      </c>
      <c r="H419" s="15">
        <v>9362</v>
      </c>
      <c r="I419" s="15">
        <v>1900.02</v>
      </c>
    </row>
    <row r="420" spans="1:9">
      <c r="A420" s="13">
        <v>44625</v>
      </c>
      <c r="B420" s="91">
        <f t="shared" si="8"/>
        <v>2022</v>
      </c>
      <c r="C420" s="15" t="s">
        <v>107</v>
      </c>
      <c r="D420" s="15" t="s">
        <v>2153</v>
      </c>
      <c r="E420" s="15" t="s">
        <v>2151</v>
      </c>
      <c r="F420" s="15" t="s">
        <v>2116</v>
      </c>
      <c r="G420" s="15" t="s">
        <v>2117</v>
      </c>
      <c r="H420" s="15">
        <v>8708</v>
      </c>
      <c r="I420" s="15">
        <v>2305.87</v>
      </c>
    </row>
    <row r="421" spans="1:9">
      <c r="A421" s="13">
        <v>44838</v>
      </c>
      <c r="B421" s="91">
        <f t="shared" si="8"/>
        <v>2022</v>
      </c>
      <c r="C421" s="15" t="s">
        <v>107</v>
      </c>
      <c r="D421" s="15" t="s">
        <v>2126</v>
      </c>
      <c r="E421" s="15" t="s">
        <v>2136</v>
      </c>
      <c r="F421" s="15" t="s">
        <v>2116</v>
      </c>
      <c r="G421" s="15" t="s">
        <v>2154</v>
      </c>
      <c r="H421" s="15">
        <v>4364</v>
      </c>
      <c r="I421" s="15">
        <v>627.76</v>
      </c>
    </row>
    <row r="422" spans="1:9">
      <c r="A422" s="13">
        <v>44986</v>
      </c>
      <c r="B422" s="91">
        <f t="shared" si="8"/>
        <v>2023</v>
      </c>
      <c r="C422" s="15" t="s">
        <v>2141</v>
      </c>
      <c r="D422" s="15" t="s">
        <v>2148</v>
      </c>
      <c r="E422" s="15" t="s">
        <v>2115</v>
      </c>
      <c r="F422" s="15" t="s">
        <v>2138</v>
      </c>
      <c r="G422" s="15" t="s">
        <v>2149</v>
      </c>
      <c r="H422" s="15">
        <v>4149</v>
      </c>
      <c r="I422" s="15">
        <v>1020.39</v>
      </c>
    </row>
    <row r="423" spans="1:9">
      <c r="A423" s="13">
        <v>44926</v>
      </c>
      <c r="B423" s="91">
        <f t="shared" si="8"/>
        <v>2022</v>
      </c>
      <c r="C423" s="15" t="s">
        <v>107</v>
      </c>
      <c r="D423" s="15" t="s">
        <v>2153</v>
      </c>
      <c r="E423" s="15" t="s">
        <v>2134</v>
      </c>
      <c r="F423" s="15" t="s">
        <v>2116</v>
      </c>
      <c r="G423" s="15" t="s">
        <v>2117</v>
      </c>
      <c r="H423" s="15">
        <v>4406</v>
      </c>
      <c r="I423" s="15">
        <v>1165.3699999999999</v>
      </c>
    </row>
    <row r="424" spans="1:9">
      <c r="A424" s="13">
        <v>45493</v>
      </c>
      <c r="B424" s="91">
        <f t="shared" si="8"/>
        <v>2024</v>
      </c>
      <c r="C424" s="15" t="s">
        <v>104</v>
      </c>
      <c r="D424" s="15" t="s">
        <v>2153</v>
      </c>
      <c r="E424" s="15" t="s">
        <v>2151</v>
      </c>
      <c r="F424" s="15" t="s">
        <v>2120</v>
      </c>
      <c r="G424" s="15" t="s">
        <v>2133</v>
      </c>
      <c r="H424" s="15">
        <v>6263</v>
      </c>
      <c r="I424" s="15">
        <v>1191.08</v>
      </c>
    </row>
    <row r="425" spans="1:9">
      <c r="A425" s="13">
        <v>45366</v>
      </c>
      <c r="B425" s="91">
        <f t="shared" si="8"/>
        <v>2024</v>
      </c>
      <c r="C425" s="15" t="s">
        <v>2113</v>
      </c>
      <c r="D425" s="15" t="s">
        <v>2118</v>
      </c>
      <c r="E425" s="15" t="s">
        <v>2145</v>
      </c>
      <c r="F425" s="15" t="s">
        <v>2138</v>
      </c>
      <c r="G425" s="15" t="s">
        <v>2146</v>
      </c>
      <c r="H425" s="15">
        <v>4706</v>
      </c>
      <c r="I425" s="15">
        <v>537.19000000000005</v>
      </c>
    </row>
    <row r="426" spans="1:9">
      <c r="A426" s="13">
        <v>45570</v>
      </c>
      <c r="B426" s="91">
        <f t="shared" si="8"/>
        <v>2024</v>
      </c>
      <c r="C426" s="15" t="s">
        <v>107</v>
      </c>
      <c r="D426" s="15" t="s">
        <v>2131</v>
      </c>
      <c r="E426" s="15" t="s">
        <v>2151</v>
      </c>
      <c r="F426" s="15" t="s">
        <v>2124</v>
      </c>
      <c r="G426" s="15" t="s">
        <v>2125</v>
      </c>
      <c r="H426" s="15">
        <v>9178</v>
      </c>
      <c r="I426" s="15">
        <v>1079.18</v>
      </c>
    </row>
    <row r="427" spans="1:9">
      <c r="A427" s="13">
        <v>45416</v>
      </c>
      <c r="B427" s="91">
        <f t="shared" si="8"/>
        <v>2024</v>
      </c>
      <c r="C427" s="15" t="s">
        <v>107</v>
      </c>
      <c r="D427" s="15" t="s">
        <v>2118</v>
      </c>
      <c r="E427" s="15" t="s">
        <v>2144</v>
      </c>
      <c r="F427" s="15" t="s">
        <v>2120</v>
      </c>
      <c r="G427" s="15" t="s">
        <v>2132</v>
      </c>
      <c r="H427" s="15">
        <v>1657</v>
      </c>
      <c r="I427" s="15">
        <v>254.89</v>
      </c>
    </row>
    <row r="428" spans="1:9">
      <c r="A428" s="13">
        <v>45310</v>
      </c>
      <c r="B428" s="91">
        <f t="shared" si="8"/>
        <v>2024</v>
      </c>
      <c r="C428" s="15" t="s">
        <v>2141</v>
      </c>
      <c r="D428" s="15" t="s">
        <v>2126</v>
      </c>
      <c r="E428" s="15" t="s">
        <v>2115</v>
      </c>
      <c r="F428" s="15" t="s">
        <v>2116</v>
      </c>
      <c r="G428" s="15" t="s">
        <v>2154</v>
      </c>
      <c r="H428" s="15">
        <v>2863</v>
      </c>
      <c r="I428" s="15">
        <v>487.54</v>
      </c>
    </row>
    <row r="429" spans="1:9">
      <c r="A429" s="13">
        <v>45588</v>
      </c>
      <c r="B429" s="91">
        <f t="shared" si="8"/>
        <v>2024</v>
      </c>
      <c r="C429" s="15" t="s">
        <v>107</v>
      </c>
      <c r="D429" s="15" t="s">
        <v>2131</v>
      </c>
      <c r="E429" s="15" t="s">
        <v>2144</v>
      </c>
      <c r="F429" s="15" t="s">
        <v>2138</v>
      </c>
      <c r="G429" s="15" t="s">
        <v>2149</v>
      </c>
      <c r="H429" s="15">
        <v>7418</v>
      </c>
      <c r="I429" s="15">
        <v>1949.95</v>
      </c>
    </row>
    <row r="430" spans="1:9">
      <c r="A430" s="13">
        <v>45127</v>
      </c>
      <c r="B430" s="91">
        <f t="shared" si="8"/>
        <v>2023</v>
      </c>
      <c r="C430" s="15" t="s">
        <v>107</v>
      </c>
      <c r="D430" s="15" t="s">
        <v>2142</v>
      </c>
      <c r="E430" s="15" t="s">
        <v>2143</v>
      </c>
      <c r="F430" s="15" t="s">
        <v>2120</v>
      </c>
      <c r="G430" s="15" t="s">
        <v>2132</v>
      </c>
      <c r="H430" s="15">
        <v>4359</v>
      </c>
      <c r="I430" s="15">
        <v>879.98</v>
      </c>
    </row>
    <row r="431" spans="1:9">
      <c r="A431" s="13">
        <v>44877</v>
      </c>
      <c r="B431" s="91">
        <f t="shared" si="8"/>
        <v>2022</v>
      </c>
      <c r="C431" s="15" t="s">
        <v>107</v>
      </c>
      <c r="D431" s="15" t="s">
        <v>2128</v>
      </c>
      <c r="E431" s="15" t="s">
        <v>2134</v>
      </c>
      <c r="F431" s="15" t="s">
        <v>2138</v>
      </c>
      <c r="G431" s="15" t="s">
        <v>2149</v>
      </c>
      <c r="H431" s="15">
        <v>8108</v>
      </c>
      <c r="I431" s="15">
        <v>1984.59</v>
      </c>
    </row>
    <row r="432" spans="1:9">
      <c r="A432" s="13">
        <v>45460</v>
      </c>
      <c r="B432" s="91">
        <f t="shared" si="8"/>
        <v>2024</v>
      </c>
      <c r="C432" s="15" t="s">
        <v>104</v>
      </c>
      <c r="D432" s="15" t="s">
        <v>2114</v>
      </c>
      <c r="E432" s="15" t="s">
        <v>2134</v>
      </c>
      <c r="F432" s="15" t="s">
        <v>2120</v>
      </c>
      <c r="G432" s="15" t="s">
        <v>2132</v>
      </c>
      <c r="H432" s="15">
        <v>4668</v>
      </c>
      <c r="I432" s="15">
        <v>943.7</v>
      </c>
    </row>
    <row r="433" spans="1:9">
      <c r="A433" s="13">
        <v>44590</v>
      </c>
      <c r="B433" s="91">
        <f t="shared" si="8"/>
        <v>2022</v>
      </c>
      <c r="C433" s="15" t="s">
        <v>107</v>
      </c>
      <c r="D433" s="15" t="s">
        <v>2118</v>
      </c>
      <c r="E433" s="15" t="s">
        <v>2145</v>
      </c>
      <c r="F433" s="15" t="s">
        <v>2124</v>
      </c>
      <c r="G433" s="15" t="s">
        <v>2140</v>
      </c>
      <c r="H433" s="15">
        <v>8704</v>
      </c>
      <c r="I433" s="15">
        <v>1461.86</v>
      </c>
    </row>
    <row r="434" spans="1:9">
      <c r="A434" s="13">
        <v>44912</v>
      </c>
      <c r="B434" s="91">
        <f t="shared" si="8"/>
        <v>2022</v>
      </c>
      <c r="C434" s="15" t="s">
        <v>104</v>
      </c>
      <c r="D434" s="15" t="s">
        <v>2142</v>
      </c>
      <c r="E434" s="15" t="s">
        <v>2144</v>
      </c>
      <c r="F434" s="15" t="s">
        <v>2116</v>
      </c>
      <c r="G434" s="15" t="s">
        <v>2127</v>
      </c>
      <c r="H434" s="15">
        <v>5039</v>
      </c>
      <c r="I434" s="15">
        <v>1449.34</v>
      </c>
    </row>
    <row r="435" spans="1:9">
      <c r="A435" s="13">
        <v>45303</v>
      </c>
      <c r="B435" s="91">
        <f t="shared" si="8"/>
        <v>2024</v>
      </c>
      <c r="C435" s="15" t="s">
        <v>2113</v>
      </c>
      <c r="D435" s="15" t="s">
        <v>2142</v>
      </c>
      <c r="E435" s="15" t="s">
        <v>2129</v>
      </c>
      <c r="F435" s="15" t="s">
        <v>2120</v>
      </c>
      <c r="G435" s="15" t="s">
        <v>2132</v>
      </c>
      <c r="H435" s="15">
        <v>1202</v>
      </c>
      <c r="I435" s="15">
        <v>257.61</v>
      </c>
    </row>
    <row r="436" spans="1:9">
      <c r="A436" s="13">
        <v>44804</v>
      </c>
      <c r="B436" s="91">
        <f t="shared" si="8"/>
        <v>2022</v>
      </c>
      <c r="C436" s="15" t="s">
        <v>104</v>
      </c>
      <c r="D436" s="15" t="s">
        <v>2135</v>
      </c>
      <c r="E436" s="15" t="s">
        <v>2144</v>
      </c>
      <c r="F436" s="15" t="s">
        <v>2116</v>
      </c>
      <c r="G436" s="15" t="s">
        <v>2127</v>
      </c>
      <c r="H436" s="15">
        <v>2337</v>
      </c>
      <c r="I436" s="15">
        <v>345.57</v>
      </c>
    </row>
    <row r="437" spans="1:9">
      <c r="A437" s="13">
        <v>45438</v>
      </c>
      <c r="B437" s="91">
        <f t="shared" si="8"/>
        <v>2024</v>
      </c>
      <c r="C437" s="15" t="s">
        <v>104</v>
      </c>
      <c r="D437" s="15" t="s">
        <v>2135</v>
      </c>
      <c r="E437" s="15" t="s">
        <v>2134</v>
      </c>
      <c r="F437" s="15" t="s">
        <v>2138</v>
      </c>
      <c r="G437" s="15" t="s">
        <v>2146</v>
      </c>
      <c r="H437" s="15">
        <v>4990</v>
      </c>
      <c r="I437" s="15">
        <v>973.72</v>
      </c>
    </row>
    <row r="438" spans="1:9">
      <c r="A438" s="13">
        <v>45421</v>
      </c>
      <c r="B438" s="91">
        <f t="shared" si="8"/>
        <v>2024</v>
      </c>
      <c r="C438" s="15" t="s">
        <v>2141</v>
      </c>
      <c r="D438" s="15" t="s">
        <v>2131</v>
      </c>
      <c r="E438" s="15" t="s">
        <v>2144</v>
      </c>
      <c r="F438" s="15" t="s">
        <v>2116</v>
      </c>
      <c r="G438" s="15" t="s">
        <v>2117</v>
      </c>
      <c r="H438" s="15">
        <v>6191</v>
      </c>
      <c r="I438" s="15">
        <v>1781.91</v>
      </c>
    </row>
    <row r="439" spans="1:9">
      <c r="A439" s="13">
        <v>44825</v>
      </c>
      <c r="B439" s="91">
        <f t="shared" si="8"/>
        <v>2022</v>
      </c>
      <c r="C439" s="15" t="s">
        <v>104</v>
      </c>
      <c r="D439" s="15" t="s">
        <v>2148</v>
      </c>
      <c r="E439" s="15" t="s">
        <v>2134</v>
      </c>
      <c r="F439" s="15" t="s">
        <v>2116</v>
      </c>
      <c r="G439" s="15" t="s">
        <v>2127</v>
      </c>
      <c r="H439" s="15">
        <v>7967</v>
      </c>
      <c r="I439" s="15">
        <v>1729.6</v>
      </c>
    </row>
    <row r="440" spans="1:9">
      <c r="A440" s="13">
        <v>44966</v>
      </c>
      <c r="B440" s="91">
        <f t="shared" si="8"/>
        <v>2023</v>
      </c>
      <c r="C440" s="15" t="s">
        <v>107</v>
      </c>
      <c r="D440" s="15" t="s">
        <v>2152</v>
      </c>
      <c r="E440" s="15" t="s">
        <v>2143</v>
      </c>
      <c r="F440" s="15" t="s">
        <v>2116</v>
      </c>
      <c r="G440" s="15" t="s">
        <v>2127</v>
      </c>
      <c r="H440" s="15">
        <v>7409</v>
      </c>
      <c r="I440" s="15">
        <v>865.76</v>
      </c>
    </row>
    <row r="441" spans="1:9">
      <c r="A441" s="13">
        <v>45638</v>
      </c>
      <c r="B441" s="91">
        <f t="shared" si="8"/>
        <v>2024</v>
      </c>
      <c r="C441" s="15" t="s">
        <v>104</v>
      </c>
      <c r="D441" s="15" t="s">
        <v>2153</v>
      </c>
      <c r="E441" s="15" t="s">
        <v>2134</v>
      </c>
      <c r="F441" s="15" t="s">
        <v>2120</v>
      </c>
      <c r="G441" s="15" t="s">
        <v>2133</v>
      </c>
      <c r="H441" s="15">
        <v>5049</v>
      </c>
      <c r="I441" s="15">
        <v>591.9</v>
      </c>
    </row>
    <row r="442" spans="1:9">
      <c r="A442" s="13">
        <v>45454</v>
      </c>
      <c r="B442" s="91">
        <f t="shared" si="8"/>
        <v>2024</v>
      </c>
      <c r="C442" s="15" t="s">
        <v>2141</v>
      </c>
      <c r="D442" s="15" t="s">
        <v>2142</v>
      </c>
      <c r="E442" s="15" t="s">
        <v>2143</v>
      </c>
      <c r="F442" s="15" t="s">
        <v>2116</v>
      </c>
      <c r="G442" s="15" t="s">
        <v>2127</v>
      </c>
      <c r="H442" s="15">
        <v>9869</v>
      </c>
      <c r="I442" s="15">
        <v>1899.25</v>
      </c>
    </row>
    <row r="443" spans="1:9">
      <c r="A443" s="13">
        <v>45164</v>
      </c>
      <c r="B443" s="91">
        <f t="shared" si="8"/>
        <v>2023</v>
      </c>
      <c r="C443" s="15" t="s">
        <v>2113</v>
      </c>
      <c r="D443" s="15" t="s">
        <v>2142</v>
      </c>
      <c r="E443" s="15" t="s">
        <v>2115</v>
      </c>
      <c r="F443" s="15" t="s">
        <v>2138</v>
      </c>
      <c r="G443" s="15" t="s">
        <v>2149</v>
      </c>
      <c r="H443" s="15">
        <v>7727</v>
      </c>
      <c r="I443" s="15">
        <v>1140.27</v>
      </c>
    </row>
    <row r="444" spans="1:9">
      <c r="A444" s="13">
        <v>45642</v>
      </c>
      <c r="B444" s="91">
        <f t="shared" si="8"/>
        <v>2024</v>
      </c>
      <c r="C444" s="15" t="s">
        <v>2113</v>
      </c>
      <c r="D444" s="15" t="s">
        <v>2153</v>
      </c>
      <c r="E444" s="15" t="s">
        <v>2134</v>
      </c>
      <c r="F444" s="15" t="s">
        <v>2138</v>
      </c>
      <c r="G444" s="15" t="s">
        <v>2146</v>
      </c>
      <c r="H444" s="15">
        <v>5725</v>
      </c>
      <c r="I444" s="15">
        <v>1033.17</v>
      </c>
    </row>
    <row r="445" spans="1:9">
      <c r="A445" s="13">
        <v>45410</v>
      </c>
      <c r="B445" s="91">
        <f t="shared" si="8"/>
        <v>2024</v>
      </c>
      <c r="C445" s="15" t="s">
        <v>2113</v>
      </c>
      <c r="D445" s="15" t="s">
        <v>2148</v>
      </c>
      <c r="E445" s="15" t="s">
        <v>2143</v>
      </c>
      <c r="F445" s="15" t="s">
        <v>2138</v>
      </c>
      <c r="G445" s="15" t="s">
        <v>2149</v>
      </c>
      <c r="H445" s="15">
        <v>9514</v>
      </c>
      <c r="I445" s="15">
        <v>2664.24</v>
      </c>
    </row>
    <row r="446" spans="1:9">
      <c r="A446" s="13">
        <v>45598</v>
      </c>
      <c r="B446" s="91">
        <f t="shared" si="8"/>
        <v>2024</v>
      </c>
      <c r="C446" s="15" t="s">
        <v>104</v>
      </c>
      <c r="D446" s="15" t="s">
        <v>2148</v>
      </c>
      <c r="E446" s="15" t="s">
        <v>2129</v>
      </c>
      <c r="F446" s="15" t="s">
        <v>2116</v>
      </c>
      <c r="G446" s="15" t="s">
        <v>2127</v>
      </c>
      <c r="H446" s="15">
        <v>1016</v>
      </c>
      <c r="I446" s="15">
        <v>115.33</v>
      </c>
    </row>
    <row r="447" spans="1:9">
      <c r="A447" s="13">
        <v>45262</v>
      </c>
      <c r="B447" s="91">
        <f t="shared" si="8"/>
        <v>2023</v>
      </c>
      <c r="C447" s="15" t="s">
        <v>2141</v>
      </c>
      <c r="D447" s="15" t="s">
        <v>2128</v>
      </c>
      <c r="E447" s="15" t="s">
        <v>2136</v>
      </c>
      <c r="F447" s="15" t="s">
        <v>2124</v>
      </c>
      <c r="G447" s="15" t="s">
        <v>2140</v>
      </c>
      <c r="H447" s="15">
        <v>5116</v>
      </c>
      <c r="I447" s="15">
        <v>618.51</v>
      </c>
    </row>
    <row r="448" spans="1:9">
      <c r="A448" s="13">
        <v>45537</v>
      </c>
      <c r="B448" s="91">
        <f t="shared" si="8"/>
        <v>2024</v>
      </c>
      <c r="C448" s="15" t="s">
        <v>104</v>
      </c>
      <c r="D448" s="15" t="s">
        <v>2148</v>
      </c>
      <c r="E448" s="15" t="s">
        <v>2151</v>
      </c>
      <c r="F448" s="15" t="s">
        <v>2124</v>
      </c>
      <c r="G448" s="15" t="s">
        <v>2140</v>
      </c>
      <c r="H448" s="15">
        <v>6901</v>
      </c>
      <c r="I448" s="15">
        <v>1793.67</v>
      </c>
    </row>
    <row r="449" spans="1:9">
      <c r="A449" s="13">
        <v>45111</v>
      </c>
      <c r="B449" s="91">
        <f t="shared" si="8"/>
        <v>2023</v>
      </c>
      <c r="C449" s="15" t="s">
        <v>2141</v>
      </c>
      <c r="D449" s="15" t="s">
        <v>2142</v>
      </c>
      <c r="E449" s="15" t="s">
        <v>2144</v>
      </c>
      <c r="F449" s="15" t="s">
        <v>2120</v>
      </c>
      <c r="G449" s="15" t="s">
        <v>2133</v>
      </c>
      <c r="H449" s="15">
        <v>8631</v>
      </c>
      <c r="I449" s="15">
        <v>2127.9699999999998</v>
      </c>
    </row>
    <row r="450" spans="1:9">
      <c r="A450" s="13">
        <v>44839</v>
      </c>
      <c r="B450" s="91">
        <f t="shared" si="8"/>
        <v>2022</v>
      </c>
      <c r="C450" s="15" t="s">
        <v>104</v>
      </c>
      <c r="D450" s="15" t="s">
        <v>2135</v>
      </c>
      <c r="E450" s="15" t="s">
        <v>2115</v>
      </c>
      <c r="F450" s="15" t="s">
        <v>2138</v>
      </c>
      <c r="G450" s="15" t="s">
        <v>2139</v>
      </c>
      <c r="H450" s="15">
        <v>3044</v>
      </c>
      <c r="I450" s="15">
        <v>661.36</v>
      </c>
    </row>
    <row r="451" spans="1:9">
      <c r="A451" s="13">
        <v>44744</v>
      </c>
      <c r="B451" s="91">
        <f t="shared" ref="B451:B514" si="9">YEAR(A451)</f>
        <v>2022</v>
      </c>
      <c r="C451" s="15" t="s">
        <v>104</v>
      </c>
      <c r="D451" s="15" t="s">
        <v>2118</v>
      </c>
      <c r="E451" s="15" t="s">
        <v>2123</v>
      </c>
      <c r="F451" s="15" t="s">
        <v>2124</v>
      </c>
      <c r="G451" s="15" t="s">
        <v>2140</v>
      </c>
      <c r="H451" s="15">
        <v>5871</v>
      </c>
      <c r="I451" s="15">
        <v>910.39</v>
      </c>
    </row>
    <row r="452" spans="1:9">
      <c r="A452" s="13">
        <v>44786</v>
      </c>
      <c r="B452" s="91">
        <f t="shared" si="9"/>
        <v>2022</v>
      </c>
      <c r="C452" s="15" t="s">
        <v>107</v>
      </c>
      <c r="D452" s="15" t="s">
        <v>2135</v>
      </c>
      <c r="E452" s="15" t="s">
        <v>2115</v>
      </c>
      <c r="F452" s="15" t="s">
        <v>2124</v>
      </c>
      <c r="G452" s="15" t="s">
        <v>2140</v>
      </c>
      <c r="H452" s="15">
        <v>1809</v>
      </c>
      <c r="I452" s="15">
        <v>347.76</v>
      </c>
    </row>
    <row r="453" spans="1:9">
      <c r="A453" s="13">
        <v>44969</v>
      </c>
      <c r="B453" s="91">
        <f t="shared" si="9"/>
        <v>2023</v>
      </c>
      <c r="C453" s="15" t="s">
        <v>2141</v>
      </c>
      <c r="D453" s="15" t="s">
        <v>2126</v>
      </c>
      <c r="E453" s="15" t="s">
        <v>2143</v>
      </c>
      <c r="F453" s="15" t="s">
        <v>2124</v>
      </c>
      <c r="G453" s="15" t="s">
        <v>2140</v>
      </c>
      <c r="H453" s="15">
        <v>1330</v>
      </c>
      <c r="I453" s="15">
        <v>371.3</v>
      </c>
    </row>
    <row r="454" spans="1:9">
      <c r="A454" s="13">
        <v>45214</v>
      </c>
      <c r="B454" s="91">
        <f t="shared" si="9"/>
        <v>2023</v>
      </c>
      <c r="C454" s="15" t="s">
        <v>104</v>
      </c>
      <c r="D454" s="15" t="s">
        <v>2114</v>
      </c>
      <c r="E454" s="15" t="s">
        <v>2136</v>
      </c>
      <c r="F454" s="15" t="s">
        <v>2124</v>
      </c>
      <c r="G454" s="15" t="s">
        <v>2130</v>
      </c>
      <c r="H454" s="15">
        <v>6028</v>
      </c>
      <c r="I454" s="15">
        <v>1707.64</v>
      </c>
    </row>
    <row r="455" spans="1:9">
      <c r="A455" s="13">
        <v>44993</v>
      </c>
      <c r="B455" s="91">
        <f t="shared" si="9"/>
        <v>2023</v>
      </c>
      <c r="C455" s="15" t="s">
        <v>2113</v>
      </c>
      <c r="D455" s="15" t="s">
        <v>2126</v>
      </c>
      <c r="E455" s="15" t="s">
        <v>2119</v>
      </c>
      <c r="F455" s="15" t="s">
        <v>2116</v>
      </c>
      <c r="G455" s="15" t="s">
        <v>2127</v>
      </c>
      <c r="H455" s="15">
        <v>6901</v>
      </c>
      <c r="I455" s="15">
        <v>977.63</v>
      </c>
    </row>
    <row r="456" spans="1:9">
      <c r="A456" s="13">
        <v>44590</v>
      </c>
      <c r="B456" s="91">
        <f t="shared" si="9"/>
        <v>2022</v>
      </c>
      <c r="C456" s="15" t="s">
        <v>2141</v>
      </c>
      <c r="D456" s="15" t="s">
        <v>2128</v>
      </c>
      <c r="E456" s="15" t="s">
        <v>2144</v>
      </c>
      <c r="F456" s="15" t="s">
        <v>2120</v>
      </c>
      <c r="G456" s="15" t="s">
        <v>2121</v>
      </c>
      <c r="H456" s="15">
        <v>2036</v>
      </c>
      <c r="I456" s="15">
        <v>528.03</v>
      </c>
    </row>
    <row r="457" spans="1:9">
      <c r="A457" s="13">
        <v>45389</v>
      </c>
      <c r="B457" s="91">
        <f t="shared" si="9"/>
        <v>2024</v>
      </c>
      <c r="C457" s="15" t="s">
        <v>107</v>
      </c>
      <c r="D457" s="15" t="s">
        <v>2128</v>
      </c>
      <c r="E457" s="15" t="s">
        <v>2136</v>
      </c>
      <c r="F457" s="15" t="s">
        <v>2116</v>
      </c>
      <c r="G457" s="15" t="s">
        <v>2154</v>
      </c>
      <c r="H457" s="15">
        <v>3257</v>
      </c>
      <c r="I457" s="15">
        <v>582.65</v>
      </c>
    </row>
    <row r="458" spans="1:9">
      <c r="A458" s="13">
        <v>45084</v>
      </c>
      <c r="B458" s="91">
        <f t="shared" si="9"/>
        <v>2023</v>
      </c>
      <c r="C458" s="15" t="s">
        <v>2113</v>
      </c>
      <c r="D458" s="15" t="s">
        <v>2131</v>
      </c>
      <c r="E458" s="15" t="s">
        <v>2115</v>
      </c>
      <c r="F458" s="15" t="s">
        <v>2124</v>
      </c>
      <c r="G458" s="15" t="s">
        <v>2130</v>
      </c>
      <c r="H458" s="15">
        <v>6525</v>
      </c>
      <c r="I458" s="15">
        <v>1452.52</v>
      </c>
    </row>
    <row r="459" spans="1:9">
      <c r="A459" s="13">
        <v>45463</v>
      </c>
      <c r="B459" s="91">
        <f t="shared" si="9"/>
        <v>2024</v>
      </c>
      <c r="C459" s="15" t="s">
        <v>104</v>
      </c>
      <c r="D459" s="15" t="s">
        <v>2148</v>
      </c>
      <c r="E459" s="15" t="s">
        <v>2145</v>
      </c>
      <c r="F459" s="15" t="s">
        <v>2124</v>
      </c>
      <c r="G459" s="15" t="s">
        <v>2130</v>
      </c>
      <c r="H459" s="15">
        <v>5711</v>
      </c>
      <c r="I459" s="15">
        <v>1050.47</v>
      </c>
    </row>
    <row r="460" spans="1:9">
      <c r="A460" s="13">
        <v>45528</v>
      </c>
      <c r="B460" s="91">
        <f t="shared" si="9"/>
        <v>2024</v>
      </c>
      <c r="C460" s="15" t="s">
        <v>104</v>
      </c>
      <c r="D460" s="15" t="s">
        <v>2142</v>
      </c>
      <c r="E460" s="15" t="s">
        <v>2151</v>
      </c>
      <c r="F460" s="15" t="s">
        <v>2138</v>
      </c>
      <c r="G460" s="15" t="s">
        <v>2146</v>
      </c>
      <c r="H460" s="15">
        <v>5313</v>
      </c>
      <c r="I460" s="15">
        <v>1342.77</v>
      </c>
    </row>
    <row r="461" spans="1:9">
      <c r="A461" s="13">
        <v>45245</v>
      </c>
      <c r="B461" s="91">
        <f t="shared" si="9"/>
        <v>2023</v>
      </c>
      <c r="C461" s="15" t="s">
        <v>2113</v>
      </c>
      <c r="D461" s="15" t="s">
        <v>2118</v>
      </c>
      <c r="E461" s="15" t="s">
        <v>2136</v>
      </c>
      <c r="F461" s="15" t="s">
        <v>2124</v>
      </c>
      <c r="G461" s="15" t="s">
        <v>2130</v>
      </c>
      <c r="H461" s="15">
        <v>3927</v>
      </c>
      <c r="I461" s="15">
        <v>963.65</v>
      </c>
    </row>
    <row r="462" spans="1:9">
      <c r="A462" s="13">
        <v>44696</v>
      </c>
      <c r="B462" s="91">
        <f t="shared" si="9"/>
        <v>2022</v>
      </c>
      <c r="C462" s="15" t="s">
        <v>2113</v>
      </c>
      <c r="D462" s="15" t="s">
        <v>2128</v>
      </c>
      <c r="E462" s="15" t="s">
        <v>2115</v>
      </c>
      <c r="F462" s="15" t="s">
        <v>2116</v>
      </c>
      <c r="G462" s="15" t="s">
        <v>2117</v>
      </c>
      <c r="H462" s="15">
        <v>1923</v>
      </c>
      <c r="I462" s="15">
        <v>368.93</v>
      </c>
    </row>
    <row r="463" spans="1:9">
      <c r="A463" s="13">
        <v>45501</v>
      </c>
      <c r="B463" s="91">
        <f t="shared" si="9"/>
        <v>2024</v>
      </c>
      <c r="C463" s="15" t="s">
        <v>107</v>
      </c>
      <c r="D463" s="15" t="s">
        <v>2114</v>
      </c>
      <c r="E463" s="15" t="s">
        <v>2129</v>
      </c>
      <c r="F463" s="15" t="s">
        <v>2120</v>
      </c>
      <c r="G463" s="15" t="s">
        <v>2121</v>
      </c>
      <c r="H463" s="15">
        <v>9104</v>
      </c>
      <c r="I463" s="15">
        <v>2294.15</v>
      </c>
    </row>
    <row r="464" spans="1:9">
      <c r="A464" s="13">
        <v>44820</v>
      </c>
      <c r="B464" s="91">
        <f t="shared" si="9"/>
        <v>2022</v>
      </c>
      <c r="C464" s="15" t="s">
        <v>2141</v>
      </c>
      <c r="D464" s="15" t="s">
        <v>2153</v>
      </c>
      <c r="E464" s="15" t="s">
        <v>2115</v>
      </c>
      <c r="F464" s="15" t="s">
        <v>2120</v>
      </c>
      <c r="G464" s="15" t="s">
        <v>2133</v>
      </c>
      <c r="H464" s="15">
        <v>5911</v>
      </c>
      <c r="I464" s="15">
        <v>1205.01</v>
      </c>
    </row>
    <row r="465" spans="1:9">
      <c r="A465" s="13">
        <v>44754</v>
      </c>
      <c r="B465" s="91">
        <f t="shared" si="9"/>
        <v>2022</v>
      </c>
      <c r="C465" s="15" t="s">
        <v>104</v>
      </c>
      <c r="D465" s="15" t="s">
        <v>2131</v>
      </c>
      <c r="E465" s="15" t="s">
        <v>2129</v>
      </c>
      <c r="F465" s="15" t="s">
        <v>2124</v>
      </c>
      <c r="G465" s="15" t="s">
        <v>2140</v>
      </c>
      <c r="H465" s="15">
        <v>9964</v>
      </c>
      <c r="I465" s="15">
        <v>1748.17</v>
      </c>
    </row>
    <row r="466" spans="1:9">
      <c r="A466" s="13">
        <v>45650</v>
      </c>
      <c r="B466" s="91">
        <f t="shared" si="9"/>
        <v>2024</v>
      </c>
      <c r="C466" s="15" t="s">
        <v>104</v>
      </c>
      <c r="D466" s="15" t="s">
        <v>2131</v>
      </c>
      <c r="E466" s="15" t="s">
        <v>2143</v>
      </c>
      <c r="F466" s="15" t="s">
        <v>2116</v>
      </c>
      <c r="G466" s="15" t="s">
        <v>2154</v>
      </c>
      <c r="H466" s="15">
        <v>6490</v>
      </c>
      <c r="I466" s="15">
        <v>1203.94</v>
      </c>
    </row>
    <row r="467" spans="1:9">
      <c r="A467" s="13">
        <v>44750</v>
      </c>
      <c r="B467" s="91">
        <f t="shared" si="9"/>
        <v>2022</v>
      </c>
      <c r="C467" s="15" t="s">
        <v>107</v>
      </c>
      <c r="D467" s="15" t="s">
        <v>2128</v>
      </c>
      <c r="E467" s="15" t="s">
        <v>2115</v>
      </c>
      <c r="F467" s="15" t="s">
        <v>2120</v>
      </c>
      <c r="G467" s="15" t="s">
        <v>2121</v>
      </c>
      <c r="H467" s="15">
        <v>7521</v>
      </c>
      <c r="I467" s="15">
        <v>841.56</v>
      </c>
    </row>
    <row r="468" spans="1:9">
      <c r="A468" s="13">
        <v>44861</v>
      </c>
      <c r="B468" s="91">
        <f t="shared" si="9"/>
        <v>2022</v>
      </c>
      <c r="C468" s="15" t="s">
        <v>2141</v>
      </c>
      <c r="D468" s="15" t="s">
        <v>2152</v>
      </c>
      <c r="E468" s="15" t="s">
        <v>2151</v>
      </c>
      <c r="F468" s="15" t="s">
        <v>2116</v>
      </c>
      <c r="G468" s="15" t="s">
        <v>2154</v>
      </c>
      <c r="H468" s="15">
        <v>3043</v>
      </c>
      <c r="I468" s="15">
        <v>833.95</v>
      </c>
    </row>
    <row r="469" spans="1:9">
      <c r="A469" s="13">
        <v>44818</v>
      </c>
      <c r="B469" s="91">
        <f t="shared" si="9"/>
        <v>2022</v>
      </c>
      <c r="C469" s="15" t="s">
        <v>2141</v>
      </c>
      <c r="D469" s="15" t="s">
        <v>2135</v>
      </c>
      <c r="E469" s="15" t="s">
        <v>2136</v>
      </c>
      <c r="F469" s="15" t="s">
        <v>2120</v>
      </c>
      <c r="G469" s="15" t="s">
        <v>2121</v>
      </c>
      <c r="H469" s="15">
        <v>5946</v>
      </c>
      <c r="I469" s="15">
        <v>1517.25</v>
      </c>
    </row>
    <row r="470" spans="1:9">
      <c r="A470" s="13">
        <v>45309</v>
      </c>
      <c r="B470" s="91">
        <f t="shared" si="9"/>
        <v>2024</v>
      </c>
      <c r="C470" s="15" t="s">
        <v>104</v>
      </c>
      <c r="D470" s="15" t="s">
        <v>2114</v>
      </c>
      <c r="E470" s="15" t="s">
        <v>2144</v>
      </c>
      <c r="F470" s="15" t="s">
        <v>2116</v>
      </c>
      <c r="G470" s="15" t="s">
        <v>2117</v>
      </c>
      <c r="H470" s="15">
        <v>9757</v>
      </c>
      <c r="I470" s="15">
        <v>1849.35</v>
      </c>
    </row>
    <row r="471" spans="1:9">
      <c r="A471" s="13">
        <v>45067</v>
      </c>
      <c r="B471" s="91">
        <f t="shared" si="9"/>
        <v>2023</v>
      </c>
      <c r="C471" s="15" t="s">
        <v>2113</v>
      </c>
      <c r="D471" s="15" t="s">
        <v>2135</v>
      </c>
      <c r="E471" s="15" t="s">
        <v>2115</v>
      </c>
      <c r="F471" s="15" t="s">
        <v>2124</v>
      </c>
      <c r="G471" s="15" t="s">
        <v>2130</v>
      </c>
      <c r="H471" s="15">
        <v>8599</v>
      </c>
      <c r="I471" s="15">
        <v>2132.0300000000002</v>
      </c>
    </row>
    <row r="472" spans="1:9">
      <c r="A472" s="13">
        <v>45490</v>
      </c>
      <c r="B472" s="91">
        <f t="shared" si="9"/>
        <v>2024</v>
      </c>
      <c r="C472" s="15" t="s">
        <v>2141</v>
      </c>
      <c r="D472" s="15" t="s">
        <v>2126</v>
      </c>
      <c r="E472" s="15" t="s">
        <v>2143</v>
      </c>
      <c r="F472" s="15" t="s">
        <v>2120</v>
      </c>
      <c r="G472" s="15" t="s">
        <v>2132</v>
      </c>
      <c r="H472" s="15">
        <v>9247</v>
      </c>
      <c r="I472" s="15">
        <v>2388</v>
      </c>
    </row>
    <row r="473" spans="1:9">
      <c r="A473" s="13">
        <v>45018</v>
      </c>
      <c r="B473" s="91">
        <f t="shared" si="9"/>
        <v>2023</v>
      </c>
      <c r="C473" s="15" t="s">
        <v>107</v>
      </c>
      <c r="D473" s="15" t="s">
        <v>2128</v>
      </c>
      <c r="E473" s="15" t="s">
        <v>2129</v>
      </c>
      <c r="F473" s="15" t="s">
        <v>2138</v>
      </c>
      <c r="G473" s="15" t="s">
        <v>2146</v>
      </c>
      <c r="H473" s="15">
        <v>6366</v>
      </c>
      <c r="I473" s="15">
        <v>1575.5</v>
      </c>
    </row>
    <row r="474" spans="1:9">
      <c r="A474" s="13">
        <v>44675</v>
      </c>
      <c r="B474" s="91">
        <f t="shared" si="9"/>
        <v>2022</v>
      </c>
      <c r="C474" s="15" t="s">
        <v>104</v>
      </c>
      <c r="D474" s="15" t="s">
        <v>2114</v>
      </c>
      <c r="E474" s="15" t="s">
        <v>2123</v>
      </c>
      <c r="F474" s="15" t="s">
        <v>2120</v>
      </c>
      <c r="G474" s="15" t="s">
        <v>2121</v>
      </c>
      <c r="H474" s="15">
        <v>9592</v>
      </c>
      <c r="I474" s="15">
        <v>2642.89</v>
      </c>
    </row>
    <row r="475" spans="1:9">
      <c r="A475" s="13">
        <v>45321</v>
      </c>
      <c r="B475" s="91">
        <f t="shared" si="9"/>
        <v>2024</v>
      </c>
      <c r="C475" s="15" t="s">
        <v>2113</v>
      </c>
      <c r="D475" s="15" t="s">
        <v>2142</v>
      </c>
      <c r="E475" s="15" t="s">
        <v>2123</v>
      </c>
      <c r="F475" s="15" t="s">
        <v>2120</v>
      </c>
      <c r="G475" s="15" t="s">
        <v>2132</v>
      </c>
      <c r="H475" s="15">
        <v>5762</v>
      </c>
      <c r="I475" s="15">
        <v>1356.27</v>
      </c>
    </row>
    <row r="476" spans="1:9">
      <c r="A476" s="13">
        <v>45142</v>
      </c>
      <c r="B476" s="91">
        <f t="shared" si="9"/>
        <v>2023</v>
      </c>
      <c r="C476" s="15" t="s">
        <v>104</v>
      </c>
      <c r="D476" s="15" t="s">
        <v>2152</v>
      </c>
      <c r="E476" s="15" t="s">
        <v>2145</v>
      </c>
      <c r="F476" s="15" t="s">
        <v>2120</v>
      </c>
      <c r="G476" s="15" t="s">
        <v>2133</v>
      </c>
      <c r="H476" s="15">
        <v>2767</v>
      </c>
      <c r="I476" s="15">
        <v>315.38</v>
      </c>
    </row>
    <row r="477" spans="1:9">
      <c r="A477" s="13">
        <v>45487</v>
      </c>
      <c r="B477" s="91">
        <f t="shared" si="9"/>
        <v>2024</v>
      </c>
      <c r="C477" s="15" t="s">
        <v>2141</v>
      </c>
      <c r="D477" s="15" t="s">
        <v>2128</v>
      </c>
      <c r="E477" s="15" t="s">
        <v>2145</v>
      </c>
      <c r="F477" s="15" t="s">
        <v>2138</v>
      </c>
      <c r="G477" s="15" t="s">
        <v>2139</v>
      </c>
      <c r="H477" s="15">
        <v>5166</v>
      </c>
      <c r="I477" s="15">
        <v>1172.83</v>
      </c>
    </row>
    <row r="478" spans="1:9">
      <c r="A478" s="13">
        <v>45645</v>
      </c>
      <c r="B478" s="91">
        <f t="shared" si="9"/>
        <v>2024</v>
      </c>
      <c r="C478" s="15" t="s">
        <v>104</v>
      </c>
      <c r="D478" s="15" t="s">
        <v>2153</v>
      </c>
      <c r="E478" s="15" t="s">
        <v>2136</v>
      </c>
      <c r="F478" s="15" t="s">
        <v>2116</v>
      </c>
      <c r="G478" s="15" t="s">
        <v>2154</v>
      </c>
      <c r="H478" s="15">
        <v>5265</v>
      </c>
      <c r="I478" s="15">
        <v>738.61</v>
      </c>
    </row>
    <row r="479" spans="1:9">
      <c r="A479" s="13">
        <v>44901</v>
      </c>
      <c r="B479" s="91">
        <f t="shared" si="9"/>
        <v>2022</v>
      </c>
      <c r="C479" s="15" t="s">
        <v>2113</v>
      </c>
      <c r="D479" s="15" t="s">
        <v>2118</v>
      </c>
      <c r="E479" s="15" t="s">
        <v>2134</v>
      </c>
      <c r="F479" s="15" t="s">
        <v>2116</v>
      </c>
      <c r="G479" s="15" t="s">
        <v>2154</v>
      </c>
      <c r="H479" s="15">
        <v>6676</v>
      </c>
      <c r="I479" s="15">
        <v>1117.81</v>
      </c>
    </row>
    <row r="480" spans="1:9">
      <c r="A480" s="13">
        <v>44699</v>
      </c>
      <c r="B480" s="91">
        <f t="shared" si="9"/>
        <v>2022</v>
      </c>
      <c r="C480" s="15" t="s">
        <v>107</v>
      </c>
      <c r="D480" s="15" t="s">
        <v>2126</v>
      </c>
      <c r="E480" s="15" t="s">
        <v>2115</v>
      </c>
      <c r="F480" s="15" t="s">
        <v>2120</v>
      </c>
      <c r="G480" s="15" t="s">
        <v>2133</v>
      </c>
      <c r="H480" s="15">
        <v>5683</v>
      </c>
      <c r="I480" s="15">
        <v>862.54</v>
      </c>
    </row>
    <row r="481" spans="1:9">
      <c r="A481" s="13">
        <v>44999</v>
      </c>
      <c r="B481" s="91">
        <f t="shared" si="9"/>
        <v>2023</v>
      </c>
      <c r="C481" s="15" t="s">
        <v>107</v>
      </c>
      <c r="D481" s="15" t="s">
        <v>2114</v>
      </c>
      <c r="E481" s="15" t="s">
        <v>2119</v>
      </c>
      <c r="F481" s="15" t="s">
        <v>2138</v>
      </c>
      <c r="G481" s="15" t="s">
        <v>2139</v>
      </c>
      <c r="H481" s="15">
        <v>1774</v>
      </c>
      <c r="I481" s="15">
        <v>322</v>
      </c>
    </row>
    <row r="482" spans="1:9">
      <c r="A482" s="13">
        <v>45163</v>
      </c>
      <c r="B482" s="91">
        <f t="shared" si="9"/>
        <v>2023</v>
      </c>
      <c r="C482" s="15" t="s">
        <v>107</v>
      </c>
      <c r="D482" s="15" t="s">
        <v>2114</v>
      </c>
      <c r="E482" s="15" t="s">
        <v>2145</v>
      </c>
      <c r="F482" s="15" t="s">
        <v>2120</v>
      </c>
      <c r="G482" s="15" t="s">
        <v>2132</v>
      </c>
      <c r="H482" s="15">
        <v>3599</v>
      </c>
      <c r="I482" s="15">
        <v>415.96</v>
      </c>
    </row>
    <row r="483" spans="1:9">
      <c r="A483" s="13">
        <v>44797</v>
      </c>
      <c r="B483" s="91">
        <f t="shared" si="9"/>
        <v>2022</v>
      </c>
      <c r="C483" s="15" t="s">
        <v>104</v>
      </c>
      <c r="D483" s="15" t="s">
        <v>2131</v>
      </c>
      <c r="E483" s="15" t="s">
        <v>2145</v>
      </c>
      <c r="F483" s="15" t="s">
        <v>2138</v>
      </c>
      <c r="G483" s="15" t="s">
        <v>2149</v>
      </c>
      <c r="H483" s="15">
        <v>6366</v>
      </c>
      <c r="I483" s="15">
        <v>1598.55</v>
      </c>
    </row>
    <row r="484" spans="1:9">
      <c r="A484" s="13">
        <v>45303</v>
      </c>
      <c r="B484" s="91">
        <f t="shared" si="9"/>
        <v>2024</v>
      </c>
      <c r="C484" s="15" t="s">
        <v>2113</v>
      </c>
      <c r="D484" s="15" t="s">
        <v>2153</v>
      </c>
      <c r="E484" s="15" t="s">
        <v>2119</v>
      </c>
      <c r="F484" s="15" t="s">
        <v>2124</v>
      </c>
      <c r="G484" s="15" t="s">
        <v>2130</v>
      </c>
      <c r="H484" s="15">
        <v>6593</v>
      </c>
      <c r="I484" s="15">
        <v>1631.48</v>
      </c>
    </row>
    <row r="485" spans="1:9">
      <c r="A485" s="13">
        <v>45568</v>
      </c>
      <c r="B485" s="91">
        <f t="shared" si="9"/>
        <v>2024</v>
      </c>
      <c r="C485" s="15" t="s">
        <v>2113</v>
      </c>
      <c r="D485" s="15" t="s">
        <v>2131</v>
      </c>
      <c r="E485" s="15" t="s">
        <v>2136</v>
      </c>
      <c r="F485" s="15" t="s">
        <v>2124</v>
      </c>
      <c r="G485" s="15" t="s">
        <v>2125</v>
      </c>
      <c r="H485" s="15">
        <v>9597</v>
      </c>
      <c r="I485" s="15">
        <v>1756.11</v>
      </c>
    </row>
    <row r="486" spans="1:9">
      <c r="A486" s="13">
        <v>44946</v>
      </c>
      <c r="B486" s="91">
        <f t="shared" si="9"/>
        <v>2023</v>
      </c>
      <c r="C486" s="15" t="s">
        <v>2113</v>
      </c>
      <c r="D486" s="15" t="s">
        <v>2148</v>
      </c>
      <c r="E486" s="15" t="s">
        <v>2119</v>
      </c>
      <c r="F486" s="15" t="s">
        <v>2138</v>
      </c>
      <c r="G486" s="15" t="s">
        <v>2139</v>
      </c>
      <c r="H486" s="15">
        <v>8020</v>
      </c>
      <c r="I486" s="15">
        <v>850.41</v>
      </c>
    </row>
    <row r="487" spans="1:9">
      <c r="A487" s="13">
        <v>44630</v>
      </c>
      <c r="B487" s="91">
        <f t="shared" si="9"/>
        <v>2022</v>
      </c>
      <c r="C487" s="15" t="s">
        <v>2113</v>
      </c>
      <c r="D487" s="15" t="s">
        <v>2153</v>
      </c>
      <c r="E487" s="15" t="s">
        <v>2143</v>
      </c>
      <c r="F487" s="15" t="s">
        <v>2120</v>
      </c>
      <c r="G487" s="15" t="s">
        <v>2133</v>
      </c>
      <c r="H487" s="15">
        <v>8036</v>
      </c>
      <c r="I487" s="15">
        <v>1102.95</v>
      </c>
    </row>
    <row r="488" spans="1:9">
      <c r="A488" s="13">
        <v>44936</v>
      </c>
      <c r="B488" s="91">
        <f t="shared" si="9"/>
        <v>2023</v>
      </c>
      <c r="C488" s="15" t="s">
        <v>107</v>
      </c>
      <c r="D488" s="15" t="s">
        <v>2153</v>
      </c>
      <c r="E488" s="15" t="s">
        <v>2143</v>
      </c>
      <c r="F488" s="15" t="s">
        <v>2116</v>
      </c>
      <c r="G488" s="15" t="s">
        <v>2117</v>
      </c>
      <c r="H488" s="15">
        <v>9736</v>
      </c>
      <c r="I488" s="15">
        <v>1733.61</v>
      </c>
    </row>
    <row r="489" spans="1:9">
      <c r="A489" s="13">
        <v>45572</v>
      </c>
      <c r="B489" s="91">
        <f t="shared" si="9"/>
        <v>2024</v>
      </c>
      <c r="C489" s="15" t="s">
        <v>104</v>
      </c>
      <c r="D489" s="15" t="s">
        <v>2135</v>
      </c>
      <c r="E489" s="15" t="s">
        <v>2119</v>
      </c>
      <c r="F489" s="15" t="s">
        <v>2120</v>
      </c>
      <c r="G489" s="15" t="s">
        <v>2132</v>
      </c>
      <c r="H489" s="15">
        <v>8999</v>
      </c>
      <c r="I489" s="15">
        <v>2585.83</v>
      </c>
    </row>
    <row r="490" spans="1:9">
      <c r="A490" s="13">
        <v>44768</v>
      </c>
      <c r="B490" s="91">
        <f t="shared" si="9"/>
        <v>2022</v>
      </c>
      <c r="C490" s="15" t="s">
        <v>2141</v>
      </c>
      <c r="D490" s="15" t="s">
        <v>2128</v>
      </c>
      <c r="E490" s="15" t="s">
        <v>2134</v>
      </c>
      <c r="F490" s="15" t="s">
        <v>2116</v>
      </c>
      <c r="G490" s="15" t="s">
        <v>2154</v>
      </c>
      <c r="H490" s="15">
        <v>9065</v>
      </c>
      <c r="I490" s="15">
        <v>2669.89</v>
      </c>
    </row>
    <row r="491" spans="1:9">
      <c r="A491" s="13">
        <v>45230</v>
      </c>
      <c r="B491" s="91">
        <f t="shared" si="9"/>
        <v>2023</v>
      </c>
      <c r="C491" s="15" t="s">
        <v>2141</v>
      </c>
      <c r="D491" s="15" t="s">
        <v>2148</v>
      </c>
      <c r="E491" s="15" t="s">
        <v>2134</v>
      </c>
      <c r="F491" s="15" t="s">
        <v>2116</v>
      </c>
      <c r="G491" s="15" t="s">
        <v>2154</v>
      </c>
      <c r="H491" s="15">
        <v>7484</v>
      </c>
      <c r="I491" s="15">
        <v>2171.61</v>
      </c>
    </row>
    <row r="492" spans="1:9">
      <c r="A492" s="13">
        <v>45241</v>
      </c>
      <c r="B492" s="91">
        <f t="shared" si="9"/>
        <v>2023</v>
      </c>
      <c r="C492" s="15" t="s">
        <v>2113</v>
      </c>
      <c r="D492" s="15" t="s">
        <v>2114</v>
      </c>
      <c r="E492" s="15" t="s">
        <v>2119</v>
      </c>
      <c r="F492" s="15" t="s">
        <v>2120</v>
      </c>
      <c r="G492" s="15" t="s">
        <v>2133</v>
      </c>
      <c r="H492" s="15">
        <v>7283</v>
      </c>
      <c r="I492" s="15">
        <v>2064.5300000000002</v>
      </c>
    </row>
    <row r="493" spans="1:9">
      <c r="A493" s="13">
        <v>44961</v>
      </c>
      <c r="B493" s="91">
        <f t="shared" si="9"/>
        <v>2023</v>
      </c>
      <c r="C493" s="15" t="s">
        <v>2113</v>
      </c>
      <c r="D493" s="15" t="s">
        <v>2148</v>
      </c>
      <c r="E493" s="15" t="s">
        <v>2119</v>
      </c>
      <c r="F493" s="15" t="s">
        <v>2120</v>
      </c>
      <c r="G493" s="15" t="s">
        <v>2133</v>
      </c>
      <c r="H493" s="15">
        <v>3422</v>
      </c>
      <c r="I493" s="15">
        <v>361.55</v>
      </c>
    </row>
    <row r="494" spans="1:9">
      <c r="A494" s="13">
        <v>44849</v>
      </c>
      <c r="B494" s="91">
        <f t="shared" si="9"/>
        <v>2022</v>
      </c>
      <c r="C494" s="15" t="s">
        <v>2141</v>
      </c>
      <c r="D494" s="15" t="s">
        <v>2128</v>
      </c>
      <c r="E494" s="15" t="s">
        <v>2134</v>
      </c>
      <c r="F494" s="15" t="s">
        <v>2124</v>
      </c>
      <c r="G494" s="15" t="s">
        <v>2125</v>
      </c>
      <c r="H494" s="15">
        <v>7739</v>
      </c>
      <c r="I494" s="15">
        <v>1401.34</v>
      </c>
    </row>
    <row r="495" spans="1:9">
      <c r="A495" s="13">
        <v>44869</v>
      </c>
      <c r="B495" s="91">
        <f t="shared" si="9"/>
        <v>2022</v>
      </c>
      <c r="C495" s="15" t="s">
        <v>104</v>
      </c>
      <c r="D495" s="15" t="s">
        <v>2131</v>
      </c>
      <c r="E495" s="15" t="s">
        <v>2145</v>
      </c>
      <c r="F495" s="15" t="s">
        <v>2116</v>
      </c>
      <c r="G495" s="15" t="s">
        <v>2117</v>
      </c>
      <c r="H495" s="15">
        <v>4280</v>
      </c>
      <c r="I495" s="15">
        <v>689.61</v>
      </c>
    </row>
    <row r="496" spans="1:9">
      <c r="A496" s="13">
        <v>45188</v>
      </c>
      <c r="B496" s="91">
        <f t="shared" si="9"/>
        <v>2023</v>
      </c>
      <c r="C496" s="15" t="s">
        <v>107</v>
      </c>
      <c r="D496" s="15" t="s">
        <v>2142</v>
      </c>
      <c r="E496" s="15" t="s">
        <v>2129</v>
      </c>
      <c r="F496" s="15" t="s">
        <v>2116</v>
      </c>
      <c r="G496" s="15" t="s">
        <v>2127</v>
      </c>
      <c r="H496" s="15">
        <v>9479</v>
      </c>
      <c r="I496" s="15">
        <v>1304.5899999999999</v>
      </c>
    </row>
    <row r="497" spans="1:9">
      <c r="A497" s="13">
        <v>45493</v>
      </c>
      <c r="B497" s="91">
        <f t="shared" si="9"/>
        <v>2024</v>
      </c>
      <c r="C497" s="15" t="s">
        <v>2141</v>
      </c>
      <c r="D497" s="15" t="s">
        <v>2131</v>
      </c>
      <c r="E497" s="15" t="s">
        <v>2119</v>
      </c>
      <c r="F497" s="15" t="s">
        <v>2138</v>
      </c>
      <c r="G497" s="15" t="s">
        <v>2146</v>
      </c>
      <c r="H497" s="15">
        <v>6660</v>
      </c>
      <c r="I497" s="15">
        <v>1899.3</v>
      </c>
    </row>
    <row r="498" spans="1:9">
      <c r="A498" s="13">
        <v>44648</v>
      </c>
      <c r="B498" s="91">
        <f t="shared" si="9"/>
        <v>2022</v>
      </c>
      <c r="C498" s="15" t="s">
        <v>2141</v>
      </c>
      <c r="D498" s="15" t="s">
        <v>2118</v>
      </c>
      <c r="E498" s="15" t="s">
        <v>2129</v>
      </c>
      <c r="F498" s="15" t="s">
        <v>2120</v>
      </c>
      <c r="G498" s="15" t="s">
        <v>2121</v>
      </c>
      <c r="H498" s="15">
        <v>3475</v>
      </c>
      <c r="I498" s="15">
        <v>717.5</v>
      </c>
    </row>
    <row r="499" spans="1:9">
      <c r="A499" s="13">
        <v>45562</v>
      </c>
      <c r="B499" s="91">
        <f t="shared" si="9"/>
        <v>2024</v>
      </c>
      <c r="C499" s="15" t="s">
        <v>104</v>
      </c>
      <c r="D499" s="15" t="s">
        <v>2131</v>
      </c>
      <c r="E499" s="15" t="s">
        <v>2129</v>
      </c>
      <c r="F499" s="15" t="s">
        <v>2138</v>
      </c>
      <c r="G499" s="15" t="s">
        <v>2139</v>
      </c>
      <c r="H499" s="15">
        <v>4998</v>
      </c>
      <c r="I499" s="15">
        <v>1413.18</v>
      </c>
    </row>
    <row r="500" spans="1:9">
      <c r="A500" s="13">
        <v>44823</v>
      </c>
      <c r="B500" s="91">
        <f t="shared" si="9"/>
        <v>2022</v>
      </c>
      <c r="C500" s="15" t="s">
        <v>2113</v>
      </c>
      <c r="D500" s="15" t="s">
        <v>2126</v>
      </c>
      <c r="E500" s="15" t="s">
        <v>2144</v>
      </c>
      <c r="F500" s="15" t="s">
        <v>2138</v>
      </c>
      <c r="G500" s="15" t="s">
        <v>2139</v>
      </c>
      <c r="H500" s="15">
        <v>5984</v>
      </c>
      <c r="I500" s="15">
        <v>755.32</v>
      </c>
    </row>
    <row r="501" spans="1:9">
      <c r="A501" s="13">
        <v>45529</v>
      </c>
      <c r="B501" s="91">
        <f t="shared" si="9"/>
        <v>2024</v>
      </c>
      <c r="C501" s="15" t="s">
        <v>107</v>
      </c>
      <c r="D501" s="15" t="s">
        <v>2114</v>
      </c>
      <c r="E501" s="15" t="s">
        <v>2144</v>
      </c>
      <c r="F501" s="15" t="s">
        <v>2138</v>
      </c>
      <c r="G501" s="15" t="s">
        <v>2139</v>
      </c>
      <c r="H501" s="15">
        <v>9405</v>
      </c>
      <c r="I501" s="15">
        <v>2294.79</v>
      </c>
    </row>
    <row r="502" spans="1:9">
      <c r="A502" s="13">
        <v>45506</v>
      </c>
      <c r="B502" s="91">
        <f t="shared" si="9"/>
        <v>2024</v>
      </c>
      <c r="C502" s="15" t="s">
        <v>2141</v>
      </c>
      <c r="D502" s="15" t="s">
        <v>2118</v>
      </c>
      <c r="E502" s="15" t="s">
        <v>2151</v>
      </c>
      <c r="F502" s="15" t="s">
        <v>2138</v>
      </c>
      <c r="G502" s="15" t="s">
        <v>2149</v>
      </c>
      <c r="H502" s="15">
        <v>1653</v>
      </c>
      <c r="I502" s="15">
        <v>195.53</v>
      </c>
    </row>
    <row r="503" spans="1:9">
      <c r="A503" s="13">
        <v>45437</v>
      </c>
      <c r="B503" s="91">
        <f t="shared" si="9"/>
        <v>2024</v>
      </c>
      <c r="C503" s="15" t="s">
        <v>107</v>
      </c>
      <c r="D503" s="15" t="s">
        <v>2126</v>
      </c>
      <c r="E503" s="15" t="s">
        <v>2115</v>
      </c>
      <c r="F503" s="15" t="s">
        <v>2120</v>
      </c>
      <c r="G503" s="15" t="s">
        <v>2133</v>
      </c>
      <c r="H503" s="15">
        <v>7697</v>
      </c>
      <c r="I503" s="15">
        <v>1330.54</v>
      </c>
    </row>
    <row r="504" spans="1:9">
      <c r="A504" s="13">
        <v>45592</v>
      </c>
      <c r="B504" s="91">
        <f t="shared" si="9"/>
        <v>2024</v>
      </c>
      <c r="C504" s="15" t="s">
        <v>2141</v>
      </c>
      <c r="D504" s="15" t="s">
        <v>2148</v>
      </c>
      <c r="E504" s="15" t="s">
        <v>2115</v>
      </c>
      <c r="F504" s="15" t="s">
        <v>2124</v>
      </c>
      <c r="G504" s="15" t="s">
        <v>2125</v>
      </c>
      <c r="H504" s="15">
        <v>7811</v>
      </c>
      <c r="I504" s="15">
        <v>1139.97</v>
      </c>
    </row>
    <row r="505" spans="1:9">
      <c r="A505" s="13">
        <v>45300</v>
      </c>
      <c r="B505" s="91">
        <f t="shared" si="9"/>
        <v>2024</v>
      </c>
      <c r="C505" s="15" t="s">
        <v>2141</v>
      </c>
      <c r="D505" s="15" t="s">
        <v>2114</v>
      </c>
      <c r="E505" s="15" t="s">
        <v>2123</v>
      </c>
      <c r="F505" s="15" t="s">
        <v>2120</v>
      </c>
      <c r="G505" s="15" t="s">
        <v>2133</v>
      </c>
      <c r="H505" s="15">
        <v>7286</v>
      </c>
      <c r="I505" s="15">
        <v>850.39</v>
      </c>
    </row>
    <row r="506" spans="1:9">
      <c r="A506" s="13">
        <v>45445</v>
      </c>
      <c r="B506" s="91">
        <f t="shared" si="9"/>
        <v>2024</v>
      </c>
      <c r="C506" s="15" t="s">
        <v>2141</v>
      </c>
      <c r="D506" s="15" t="s">
        <v>2131</v>
      </c>
      <c r="E506" s="15" t="s">
        <v>2134</v>
      </c>
      <c r="F506" s="15" t="s">
        <v>2138</v>
      </c>
      <c r="G506" s="15" t="s">
        <v>2149</v>
      </c>
      <c r="H506" s="15">
        <v>5129</v>
      </c>
      <c r="I506" s="15">
        <v>963.13</v>
      </c>
    </row>
    <row r="507" spans="1:9">
      <c r="A507" s="13">
        <v>44851</v>
      </c>
      <c r="B507" s="91">
        <f t="shared" si="9"/>
        <v>2022</v>
      </c>
      <c r="C507" s="15" t="s">
        <v>107</v>
      </c>
      <c r="D507" s="15" t="s">
        <v>2128</v>
      </c>
      <c r="E507" s="15" t="s">
        <v>2129</v>
      </c>
      <c r="F507" s="15" t="s">
        <v>2124</v>
      </c>
      <c r="G507" s="15" t="s">
        <v>2125</v>
      </c>
      <c r="H507" s="15">
        <v>2020</v>
      </c>
      <c r="I507" s="15">
        <v>549.95000000000005</v>
      </c>
    </row>
    <row r="508" spans="1:9">
      <c r="A508" s="13">
        <v>45286</v>
      </c>
      <c r="B508" s="91">
        <f t="shared" si="9"/>
        <v>2023</v>
      </c>
      <c r="C508" s="15" t="s">
        <v>2113</v>
      </c>
      <c r="D508" s="15" t="s">
        <v>2148</v>
      </c>
      <c r="E508" s="15" t="s">
        <v>2143</v>
      </c>
      <c r="F508" s="15" t="s">
        <v>2120</v>
      </c>
      <c r="G508" s="15" t="s">
        <v>2132</v>
      </c>
      <c r="H508" s="15">
        <v>1804</v>
      </c>
      <c r="I508" s="15">
        <v>489.34</v>
      </c>
    </row>
    <row r="509" spans="1:9">
      <c r="A509" s="13">
        <v>44983</v>
      </c>
      <c r="B509" s="91">
        <f t="shared" si="9"/>
        <v>2023</v>
      </c>
      <c r="C509" s="15" t="s">
        <v>104</v>
      </c>
      <c r="D509" s="15" t="s">
        <v>2118</v>
      </c>
      <c r="E509" s="15" t="s">
        <v>2143</v>
      </c>
      <c r="F509" s="15" t="s">
        <v>2138</v>
      </c>
      <c r="G509" s="15" t="s">
        <v>2149</v>
      </c>
      <c r="H509" s="15">
        <v>6620</v>
      </c>
      <c r="I509" s="15">
        <v>883.02</v>
      </c>
    </row>
    <row r="510" spans="1:9">
      <c r="A510" s="13">
        <v>44910</v>
      </c>
      <c r="B510" s="91">
        <f t="shared" si="9"/>
        <v>2022</v>
      </c>
      <c r="C510" s="15" t="s">
        <v>107</v>
      </c>
      <c r="D510" s="15" t="s">
        <v>2135</v>
      </c>
      <c r="E510" s="15" t="s">
        <v>2151</v>
      </c>
      <c r="F510" s="15" t="s">
        <v>2120</v>
      </c>
      <c r="G510" s="15" t="s">
        <v>2132</v>
      </c>
      <c r="H510" s="15">
        <v>4109</v>
      </c>
      <c r="I510" s="15">
        <v>597.78</v>
      </c>
    </row>
    <row r="511" spans="1:9">
      <c r="A511" s="13">
        <v>45457</v>
      </c>
      <c r="B511" s="91">
        <f t="shared" si="9"/>
        <v>2024</v>
      </c>
      <c r="C511" s="15" t="s">
        <v>104</v>
      </c>
      <c r="D511" s="15" t="s">
        <v>2153</v>
      </c>
      <c r="E511" s="15" t="s">
        <v>2134</v>
      </c>
      <c r="F511" s="15" t="s">
        <v>2124</v>
      </c>
      <c r="G511" s="15" t="s">
        <v>2140</v>
      </c>
      <c r="H511" s="15">
        <v>3711</v>
      </c>
      <c r="I511" s="15">
        <v>953.45</v>
      </c>
    </row>
    <row r="512" spans="1:9">
      <c r="A512" s="13">
        <v>45346</v>
      </c>
      <c r="B512" s="91">
        <f t="shared" si="9"/>
        <v>2024</v>
      </c>
      <c r="C512" s="15" t="s">
        <v>104</v>
      </c>
      <c r="D512" s="15" t="s">
        <v>2126</v>
      </c>
      <c r="E512" s="15" t="s">
        <v>2144</v>
      </c>
      <c r="F512" s="15" t="s">
        <v>2138</v>
      </c>
      <c r="G512" s="15" t="s">
        <v>2146</v>
      </c>
      <c r="H512" s="15">
        <v>8792</v>
      </c>
      <c r="I512" s="15">
        <v>2021.77</v>
      </c>
    </row>
    <row r="513" spans="1:9">
      <c r="A513" s="13">
        <v>45531</v>
      </c>
      <c r="B513" s="91">
        <f t="shared" si="9"/>
        <v>2024</v>
      </c>
      <c r="C513" s="15" t="s">
        <v>104</v>
      </c>
      <c r="D513" s="15" t="s">
        <v>2153</v>
      </c>
      <c r="E513" s="15" t="s">
        <v>2129</v>
      </c>
      <c r="F513" s="15" t="s">
        <v>2120</v>
      </c>
      <c r="G513" s="15" t="s">
        <v>2132</v>
      </c>
      <c r="H513" s="15">
        <v>3987</v>
      </c>
      <c r="I513" s="15">
        <v>974.97</v>
      </c>
    </row>
    <row r="514" spans="1:9">
      <c r="A514" s="13">
        <v>45144</v>
      </c>
      <c r="B514" s="91">
        <f t="shared" si="9"/>
        <v>2023</v>
      </c>
      <c r="C514" s="15" t="s">
        <v>2141</v>
      </c>
      <c r="D514" s="15" t="s">
        <v>2128</v>
      </c>
      <c r="E514" s="15" t="s">
        <v>2134</v>
      </c>
      <c r="F514" s="15" t="s">
        <v>2120</v>
      </c>
      <c r="G514" s="15" t="s">
        <v>2133</v>
      </c>
      <c r="H514" s="15">
        <v>8394</v>
      </c>
      <c r="I514" s="15">
        <v>1932.49</v>
      </c>
    </row>
    <row r="515" spans="1:9">
      <c r="A515" s="13">
        <v>45592</v>
      </c>
      <c r="B515" s="91">
        <f t="shared" ref="B515:B578" si="10">YEAR(A515)</f>
        <v>2024</v>
      </c>
      <c r="C515" s="15" t="s">
        <v>104</v>
      </c>
      <c r="D515" s="15" t="s">
        <v>2128</v>
      </c>
      <c r="E515" s="15" t="s">
        <v>2143</v>
      </c>
      <c r="F515" s="15" t="s">
        <v>2124</v>
      </c>
      <c r="G515" s="15" t="s">
        <v>2130</v>
      </c>
      <c r="H515" s="15">
        <v>3517</v>
      </c>
      <c r="I515" s="15">
        <v>731.32</v>
      </c>
    </row>
    <row r="516" spans="1:9">
      <c r="A516" s="13">
        <v>45566</v>
      </c>
      <c r="B516" s="91">
        <f t="shared" si="10"/>
        <v>2024</v>
      </c>
      <c r="C516" s="15" t="s">
        <v>104</v>
      </c>
      <c r="D516" s="15" t="s">
        <v>2126</v>
      </c>
      <c r="E516" s="15" t="s">
        <v>2144</v>
      </c>
      <c r="F516" s="15" t="s">
        <v>2138</v>
      </c>
      <c r="G516" s="15" t="s">
        <v>2146</v>
      </c>
      <c r="H516" s="15">
        <v>2029</v>
      </c>
      <c r="I516" s="15">
        <v>319.98</v>
      </c>
    </row>
    <row r="517" spans="1:9">
      <c r="A517" s="13">
        <v>44766</v>
      </c>
      <c r="B517" s="91">
        <f t="shared" si="10"/>
        <v>2022</v>
      </c>
      <c r="C517" s="15" t="s">
        <v>104</v>
      </c>
      <c r="D517" s="15" t="s">
        <v>2114</v>
      </c>
      <c r="E517" s="15" t="s">
        <v>2123</v>
      </c>
      <c r="F517" s="15" t="s">
        <v>2124</v>
      </c>
      <c r="G517" s="15" t="s">
        <v>2130</v>
      </c>
      <c r="H517" s="15">
        <v>5362</v>
      </c>
      <c r="I517" s="15">
        <v>1230.25</v>
      </c>
    </row>
    <row r="518" spans="1:9">
      <c r="A518" s="13">
        <v>44821</v>
      </c>
      <c r="B518" s="91">
        <f t="shared" si="10"/>
        <v>2022</v>
      </c>
      <c r="C518" s="15" t="s">
        <v>104</v>
      </c>
      <c r="D518" s="15" t="s">
        <v>2114</v>
      </c>
      <c r="E518" s="15" t="s">
        <v>2119</v>
      </c>
      <c r="F518" s="15" t="s">
        <v>2116</v>
      </c>
      <c r="G518" s="15" t="s">
        <v>2117</v>
      </c>
      <c r="H518" s="15">
        <v>3474</v>
      </c>
      <c r="I518" s="15">
        <v>978.15</v>
      </c>
    </row>
    <row r="519" spans="1:9">
      <c r="A519" s="13">
        <v>45288</v>
      </c>
      <c r="B519" s="91">
        <f t="shared" si="10"/>
        <v>2023</v>
      </c>
      <c r="C519" s="15" t="s">
        <v>2141</v>
      </c>
      <c r="D519" s="15" t="s">
        <v>2135</v>
      </c>
      <c r="E519" s="15" t="s">
        <v>2115</v>
      </c>
      <c r="F519" s="15" t="s">
        <v>2120</v>
      </c>
      <c r="G519" s="15" t="s">
        <v>2121</v>
      </c>
      <c r="H519" s="15">
        <v>7004</v>
      </c>
      <c r="I519" s="15">
        <v>1439.17</v>
      </c>
    </row>
    <row r="520" spans="1:9">
      <c r="A520" s="13">
        <v>45347</v>
      </c>
      <c r="B520" s="91">
        <f t="shared" si="10"/>
        <v>2024</v>
      </c>
      <c r="C520" s="15" t="s">
        <v>107</v>
      </c>
      <c r="D520" s="15" t="s">
        <v>2152</v>
      </c>
      <c r="E520" s="15" t="s">
        <v>2145</v>
      </c>
      <c r="F520" s="15" t="s">
        <v>2138</v>
      </c>
      <c r="G520" s="15" t="s">
        <v>2139</v>
      </c>
      <c r="H520" s="15">
        <v>8822</v>
      </c>
      <c r="I520" s="15">
        <v>1473.89</v>
      </c>
    </row>
    <row r="521" spans="1:9">
      <c r="A521" s="13">
        <v>45555</v>
      </c>
      <c r="B521" s="91">
        <f t="shared" si="10"/>
        <v>2024</v>
      </c>
      <c r="C521" s="15" t="s">
        <v>107</v>
      </c>
      <c r="D521" s="15" t="s">
        <v>2142</v>
      </c>
      <c r="E521" s="15" t="s">
        <v>2129</v>
      </c>
      <c r="F521" s="15" t="s">
        <v>2138</v>
      </c>
      <c r="G521" s="15" t="s">
        <v>2149</v>
      </c>
      <c r="H521" s="15">
        <v>2834</v>
      </c>
      <c r="I521" s="15">
        <v>559.88</v>
      </c>
    </row>
    <row r="522" spans="1:9">
      <c r="A522" s="13">
        <v>45420</v>
      </c>
      <c r="B522" s="91">
        <f t="shared" si="10"/>
        <v>2024</v>
      </c>
      <c r="C522" s="15" t="s">
        <v>2113</v>
      </c>
      <c r="D522" s="15" t="s">
        <v>2118</v>
      </c>
      <c r="E522" s="15" t="s">
        <v>2115</v>
      </c>
      <c r="F522" s="15" t="s">
        <v>2116</v>
      </c>
      <c r="G522" s="15" t="s">
        <v>2127</v>
      </c>
      <c r="H522" s="15">
        <v>8744</v>
      </c>
      <c r="I522" s="15">
        <v>1214.99</v>
      </c>
    </row>
    <row r="523" spans="1:9">
      <c r="A523" s="13">
        <v>45537</v>
      </c>
      <c r="B523" s="91">
        <f t="shared" si="10"/>
        <v>2024</v>
      </c>
      <c r="C523" s="15" t="s">
        <v>104</v>
      </c>
      <c r="D523" s="15" t="s">
        <v>2142</v>
      </c>
      <c r="E523" s="15" t="s">
        <v>2119</v>
      </c>
      <c r="F523" s="15" t="s">
        <v>2138</v>
      </c>
      <c r="G523" s="15" t="s">
        <v>2139</v>
      </c>
      <c r="H523" s="15">
        <v>1540</v>
      </c>
      <c r="I523" s="15">
        <v>256.7</v>
      </c>
    </row>
    <row r="524" spans="1:9">
      <c r="A524" s="13">
        <v>44587</v>
      </c>
      <c r="B524" s="91">
        <f t="shared" si="10"/>
        <v>2022</v>
      </c>
      <c r="C524" s="15" t="s">
        <v>2141</v>
      </c>
      <c r="D524" s="15" t="s">
        <v>2131</v>
      </c>
      <c r="E524" s="15" t="s">
        <v>2144</v>
      </c>
      <c r="F524" s="15" t="s">
        <v>2116</v>
      </c>
      <c r="G524" s="15" t="s">
        <v>2127</v>
      </c>
      <c r="H524" s="15">
        <v>8176</v>
      </c>
      <c r="I524" s="15">
        <v>1989.27</v>
      </c>
    </row>
    <row r="525" spans="1:9">
      <c r="A525" s="13">
        <v>44746</v>
      </c>
      <c r="B525" s="91">
        <f t="shared" si="10"/>
        <v>2022</v>
      </c>
      <c r="C525" s="15" t="s">
        <v>2141</v>
      </c>
      <c r="D525" s="15" t="s">
        <v>2114</v>
      </c>
      <c r="E525" s="15" t="s">
        <v>2144</v>
      </c>
      <c r="F525" s="15" t="s">
        <v>2124</v>
      </c>
      <c r="G525" s="15" t="s">
        <v>2125</v>
      </c>
      <c r="H525" s="15">
        <v>1105</v>
      </c>
      <c r="I525" s="15">
        <v>258.06</v>
      </c>
    </row>
    <row r="526" spans="1:9">
      <c r="A526" s="13">
        <v>44985</v>
      </c>
      <c r="B526" s="91">
        <f t="shared" si="10"/>
        <v>2023</v>
      </c>
      <c r="C526" s="15" t="s">
        <v>2113</v>
      </c>
      <c r="D526" s="15" t="s">
        <v>2135</v>
      </c>
      <c r="E526" s="15" t="s">
        <v>2129</v>
      </c>
      <c r="F526" s="15" t="s">
        <v>2138</v>
      </c>
      <c r="G526" s="15" t="s">
        <v>2146</v>
      </c>
      <c r="H526" s="15">
        <v>9064</v>
      </c>
      <c r="I526" s="15">
        <v>931.53</v>
      </c>
    </row>
    <row r="527" spans="1:9">
      <c r="A527" s="13">
        <v>45466</v>
      </c>
      <c r="B527" s="91">
        <f t="shared" si="10"/>
        <v>2024</v>
      </c>
      <c r="C527" s="15" t="s">
        <v>107</v>
      </c>
      <c r="D527" s="15" t="s">
        <v>2148</v>
      </c>
      <c r="E527" s="15" t="s">
        <v>2119</v>
      </c>
      <c r="F527" s="15" t="s">
        <v>2138</v>
      </c>
      <c r="G527" s="15" t="s">
        <v>2149</v>
      </c>
      <c r="H527" s="15">
        <v>8543</v>
      </c>
      <c r="I527" s="15">
        <v>2025.07</v>
      </c>
    </row>
    <row r="528" spans="1:9">
      <c r="A528" s="13">
        <v>45410</v>
      </c>
      <c r="B528" s="91">
        <f t="shared" si="10"/>
        <v>2024</v>
      </c>
      <c r="C528" s="15" t="s">
        <v>107</v>
      </c>
      <c r="D528" s="15" t="s">
        <v>2131</v>
      </c>
      <c r="E528" s="15" t="s">
        <v>2119</v>
      </c>
      <c r="F528" s="15" t="s">
        <v>2138</v>
      </c>
      <c r="G528" s="15" t="s">
        <v>2139</v>
      </c>
      <c r="H528" s="15">
        <v>1701</v>
      </c>
      <c r="I528" s="15">
        <v>323.81</v>
      </c>
    </row>
    <row r="529" spans="1:9">
      <c r="A529" s="13">
        <v>44855</v>
      </c>
      <c r="B529" s="91">
        <f t="shared" si="10"/>
        <v>2022</v>
      </c>
      <c r="C529" s="15" t="s">
        <v>107</v>
      </c>
      <c r="D529" s="15" t="s">
        <v>2118</v>
      </c>
      <c r="E529" s="15" t="s">
        <v>2134</v>
      </c>
      <c r="F529" s="15" t="s">
        <v>2138</v>
      </c>
      <c r="G529" s="15" t="s">
        <v>2146</v>
      </c>
      <c r="H529" s="15">
        <v>4146</v>
      </c>
      <c r="I529" s="15">
        <v>686.25</v>
      </c>
    </row>
    <row r="530" spans="1:9">
      <c r="A530" s="13">
        <v>45339</v>
      </c>
      <c r="B530" s="91">
        <f t="shared" si="10"/>
        <v>2024</v>
      </c>
      <c r="C530" s="15" t="s">
        <v>104</v>
      </c>
      <c r="D530" s="15" t="s">
        <v>2128</v>
      </c>
      <c r="E530" s="15" t="s">
        <v>2145</v>
      </c>
      <c r="F530" s="15" t="s">
        <v>2120</v>
      </c>
      <c r="G530" s="15" t="s">
        <v>2132</v>
      </c>
      <c r="H530" s="15">
        <v>2373</v>
      </c>
      <c r="I530" s="15">
        <v>690.49</v>
      </c>
    </row>
    <row r="531" spans="1:9">
      <c r="A531" s="13">
        <v>44955</v>
      </c>
      <c r="B531" s="91">
        <f t="shared" si="10"/>
        <v>2023</v>
      </c>
      <c r="C531" s="15" t="s">
        <v>104</v>
      </c>
      <c r="D531" s="15" t="s">
        <v>2131</v>
      </c>
      <c r="E531" s="15" t="s">
        <v>2151</v>
      </c>
      <c r="F531" s="15" t="s">
        <v>2124</v>
      </c>
      <c r="G531" s="15" t="s">
        <v>2125</v>
      </c>
      <c r="H531" s="15">
        <v>9017</v>
      </c>
      <c r="I531" s="15">
        <v>1162.56</v>
      </c>
    </row>
    <row r="532" spans="1:9">
      <c r="A532" s="13">
        <v>45452</v>
      </c>
      <c r="B532" s="91">
        <f t="shared" si="10"/>
        <v>2024</v>
      </c>
      <c r="C532" s="15" t="s">
        <v>2113</v>
      </c>
      <c r="D532" s="15" t="s">
        <v>2153</v>
      </c>
      <c r="E532" s="15" t="s">
        <v>2134</v>
      </c>
      <c r="F532" s="15" t="s">
        <v>2138</v>
      </c>
      <c r="G532" s="15" t="s">
        <v>2139</v>
      </c>
      <c r="H532" s="15">
        <v>1806</v>
      </c>
      <c r="I532" s="15">
        <v>496.61</v>
      </c>
    </row>
    <row r="533" spans="1:9">
      <c r="A533" s="13">
        <v>45657</v>
      </c>
      <c r="B533" s="91">
        <f t="shared" si="10"/>
        <v>2024</v>
      </c>
      <c r="C533" s="15" t="s">
        <v>2113</v>
      </c>
      <c r="D533" s="15" t="s">
        <v>2152</v>
      </c>
      <c r="E533" s="15" t="s">
        <v>2145</v>
      </c>
      <c r="F533" s="15" t="s">
        <v>2116</v>
      </c>
      <c r="G533" s="15" t="s">
        <v>2127</v>
      </c>
      <c r="H533" s="15">
        <v>3024</v>
      </c>
      <c r="I533" s="15">
        <v>527.35</v>
      </c>
    </row>
    <row r="534" spans="1:9">
      <c r="A534" s="13">
        <v>45208</v>
      </c>
      <c r="B534" s="91">
        <f t="shared" si="10"/>
        <v>2023</v>
      </c>
      <c r="C534" s="15" t="s">
        <v>107</v>
      </c>
      <c r="D534" s="15" t="s">
        <v>2148</v>
      </c>
      <c r="E534" s="15" t="s">
        <v>2123</v>
      </c>
      <c r="F534" s="15" t="s">
        <v>2138</v>
      </c>
      <c r="G534" s="15" t="s">
        <v>2146</v>
      </c>
      <c r="H534" s="15">
        <v>3058</v>
      </c>
      <c r="I534" s="15">
        <v>812.02</v>
      </c>
    </row>
    <row r="535" spans="1:9">
      <c r="A535" s="13">
        <v>45476</v>
      </c>
      <c r="B535" s="91">
        <f t="shared" si="10"/>
        <v>2024</v>
      </c>
      <c r="C535" s="15" t="s">
        <v>2113</v>
      </c>
      <c r="D535" s="15" t="s">
        <v>2152</v>
      </c>
      <c r="E535" s="15" t="s">
        <v>2123</v>
      </c>
      <c r="F535" s="15" t="s">
        <v>2120</v>
      </c>
      <c r="G535" s="15" t="s">
        <v>2132</v>
      </c>
      <c r="H535" s="15">
        <v>6330</v>
      </c>
      <c r="I535" s="15">
        <v>1397.08</v>
      </c>
    </row>
    <row r="536" spans="1:9">
      <c r="A536" s="13">
        <v>44891</v>
      </c>
      <c r="B536" s="91">
        <f t="shared" si="10"/>
        <v>2022</v>
      </c>
      <c r="C536" s="15" t="s">
        <v>2113</v>
      </c>
      <c r="D536" s="15" t="s">
        <v>2118</v>
      </c>
      <c r="E536" s="15" t="s">
        <v>2129</v>
      </c>
      <c r="F536" s="15" t="s">
        <v>2138</v>
      </c>
      <c r="G536" s="15" t="s">
        <v>2139</v>
      </c>
      <c r="H536" s="15">
        <v>7840</v>
      </c>
      <c r="I536" s="15">
        <v>1756.66</v>
      </c>
    </row>
    <row r="537" spans="1:9">
      <c r="A537" s="13">
        <v>45253</v>
      </c>
      <c r="B537" s="91">
        <f t="shared" si="10"/>
        <v>2023</v>
      </c>
      <c r="C537" s="15" t="s">
        <v>107</v>
      </c>
      <c r="D537" s="15" t="s">
        <v>2131</v>
      </c>
      <c r="E537" s="15" t="s">
        <v>2119</v>
      </c>
      <c r="F537" s="15" t="s">
        <v>2138</v>
      </c>
      <c r="G537" s="15" t="s">
        <v>2146</v>
      </c>
      <c r="H537" s="15">
        <v>2745</v>
      </c>
      <c r="I537" s="15">
        <v>306.31</v>
      </c>
    </row>
    <row r="538" spans="1:9">
      <c r="A538" s="13">
        <v>45432</v>
      </c>
      <c r="B538" s="91">
        <f t="shared" si="10"/>
        <v>2024</v>
      </c>
      <c r="C538" s="15" t="s">
        <v>2113</v>
      </c>
      <c r="D538" s="15" t="s">
        <v>2131</v>
      </c>
      <c r="E538" s="15" t="s">
        <v>2123</v>
      </c>
      <c r="F538" s="15" t="s">
        <v>2124</v>
      </c>
      <c r="G538" s="15" t="s">
        <v>2130</v>
      </c>
      <c r="H538" s="15">
        <v>2348</v>
      </c>
      <c r="I538" s="15">
        <v>394.97</v>
      </c>
    </row>
    <row r="539" spans="1:9">
      <c r="A539" s="13">
        <v>45021</v>
      </c>
      <c r="B539" s="91">
        <f t="shared" si="10"/>
        <v>2023</v>
      </c>
      <c r="C539" s="15" t="s">
        <v>2141</v>
      </c>
      <c r="D539" s="15" t="s">
        <v>2131</v>
      </c>
      <c r="E539" s="15" t="s">
        <v>2145</v>
      </c>
      <c r="F539" s="15" t="s">
        <v>2124</v>
      </c>
      <c r="G539" s="15" t="s">
        <v>2125</v>
      </c>
      <c r="H539" s="15">
        <v>5186</v>
      </c>
      <c r="I539" s="15">
        <v>1123.72</v>
      </c>
    </row>
    <row r="540" spans="1:9">
      <c r="A540" s="13">
        <v>45022</v>
      </c>
      <c r="B540" s="91">
        <f t="shared" si="10"/>
        <v>2023</v>
      </c>
      <c r="C540" s="15" t="s">
        <v>104</v>
      </c>
      <c r="D540" s="15" t="s">
        <v>2118</v>
      </c>
      <c r="E540" s="15" t="s">
        <v>2136</v>
      </c>
      <c r="F540" s="15" t="s">
        <v>2124</v>
      </c>
      <c r="G540" s="15" t="s">
        <v>2140</v>
      </c>
      <c r="H540" s="15">
        <v>6531</v>
      </c>
      <c r="I540" s="15">
        <v>1260.55</v>
      </c>
    </row>
    <row r="541" spans="1:9">
      <c r="A541" s="13">
        <v>45431</v>
      </c>
      <c r="B541" s="91">
        <f t="shared" si="10"/>
        <v>2024</v>
      </c>
      <c r="C541" s="15" t="s">
        <v>2141</v>
      </c>
      <c r="D541" s="15" t="s">
        <v>2135</v>
      </c>
      <c r="E541" s="15" t="s">
        <v>2134</v>
      </c>
      <c r="F541" s="15" t="s">
        <v>2124</v>
      </c>
      <c r="G541" s="15" t="s">
        <v>2130</v>
      </c>
      <c r="H541" s="15">
        <v>6108</v>
      </c>
      <c r="I541" s="15">
        <v>1441.53</v>
      </c>
    </row>
    <row r="542" spans="1:9">
      <c r="A542" s="13">
        <v>45585</v>
      </c>
      <c r="B542" s="91">
        <f t="shared" si="10"/>
        <v>2024</v>
      </c>
      <c r="C542" s="15" t="s">
        <v>107</v>
      </c>
      <c r="D542" s="15" t="s">
        <v>2131</v>
      </c>
      <c r="E542" s="15" t="s">
        <v>2123</v>
      </c>
      <c r="F542" s="15" t="s">
        <v>2116</v>
      </c>
      <c r="G542" s="15" t="s">
        <v>2127</v>
      </c>
      <c r="H542" s="15">
        <v>7713</v>
      </c>
      <c r="I542" s="15">
        <v>1729.92</v>
      </c>
    </row>
    <row r="543" spans="1:9">
      <c r="A543" s="13">
        <v>45313</v>
      </c>
      <c r="B543" s="91">
        <f t="shared" si="10"/>
        <v>2024</v>
      </c>
      <c r="C543" s="15" t="s">
        <v>104</v>
      </c>
      <c r="D543" s="15" t="s">
        <v>2148</v>
      </c>
      <c r="E543" s="15" t="s">
        <v>2134</v>
      </c>
      <c r="F543" s="15" t="s">
        <v>2138</v>
      </c>
      <c r="G543" s="15" t="s">
        <v>2149</v>
      </c>
      <c r="H543" s="15">
        <v>7542</v>
      </c>
      <c r="I543" s="15">
        <v>2150.61</v>
      </c>
    </row>
    <row r="544" spans="1:9">
      <c r="A544" s="13">
        <v>45049</v>
      </c>
      <c r="B544" s="91">
        <f t="shared" si="10"/>
        <v>2023</v>
      </c>
      <c r="C544" s="15" t="s">
        <v>104</v>
      </c>
      <c r="D544" s="15" t="s">
        <v>2152</v>
      </c>
      <c r="E544" s="15" t="s">
        <v>2144</v>
      </c>
      <c r="F544" s="15" t="s">
        <v>2124</v>
      </c>
      <c r="G544" s="15" t="s">
        <v>2125</v>
      </c>
      <c r="H544" s="15">
        <v>8057</v>
      </c>
      <c r="I544" s="15">
        <v>1375.65</v>
      </c>
    </row>
    <row r="545" spans="1:9">
      <c r="A545" s="13">
        <v>45171</v>
      </c>
      <c r="B545" s="91">
        <f t="shared" si="10"/>
        <v>2023</v>
      </c>
      <c r="C545" s="15" t="s">
        <v>2113</v>
      </c>
      <c r="D545" s="15" t="s">
        <v>2128</v>
      </c>
      <c r="E545" s="15" t="s">
        <v>2145</v>
      </c>
      <c r="F545" s="15" t="s">
        <v>2124</v>
      </c>
      <c r="G545" s="15" t="s">
        <v>2130</v>
      </c>
      <c r="H545" s="15">
        <v>4911</v>
      </c>
      <c r="I545" s="15">
        <v>770.81</v>
      </c>
    </row>
    <row r="546" spans="1:9">
      <c r="A546" s="13">
        <v>45404</v>
      </c>
      <c r="B546" s="91">
        <f t="shared" si="10"/>
        <v>2024</v>
      </c>
      <c r="C546" s="15" t="s">
        <v>2141</v>
      </c>
      <c r="D546" s="15" t="s">
        <v>2131</v>
      </c>
      <c r="E546" s="15" t="s">
        <v>2119</v>
      </c>
      <c r="F546" s="15" t="s">
        <v>2138</v>
      </c>
      <c r="G546" s="15" t="s">
        <v>2149</v>
      </c>
      <c r="H546" s="15">
        <v>3200</v>
      </c>
      <c r="I546" s="15">
        <v>610.54</v>
      </c>
    </row>
    <row r="547" spans="1:9">
      <c r="A547" s="13">
        <v>45598</v>
      </c>
      <c r="B547" s="91">
        <f t="shared" si="10"/>
        <v>2024</v>
      </c>
      <c r="C547" s="15" t="s">
        <v>104</v>
      </c>
      <c r="D547" s="15" t="s">
        <v>2128</v>
      </c>
      <c r="E547" s="15" t="s">
        <v>2115</v>
      </c>
      <c r="F547" s="15" t="s">
        <v>2116</v>
      </c>
      <c r="G547" s="15" t="s">
        <v>2117</v>
      </c>
      <c r="H547" s="15">
        <v>3254</v>
      </c>
      <c r="I547" s="15">
        <v>415.09</v>
      </c>
    </row>
    <row r="548" spans="1:9">
      <c r="A548" s="13">
        <v>45627</v>
      </c>
      <c r="B548" s="91">
        <f t="shared" si="10"/>
        <v>2024</v>
      </c>
      <c r="C548" s="15" t="s">
        <v>104</v>
      </c>
      <c r="D548" s="15" t="s">
        <v>2152</v>
      </c>
      <c r="E548" s="15" t="s">
        <v>2143</v>
      </c>
      <c r="F548" s="15" t="s">
        <v>2116</v>
      </c>
      <c r="G548" s="15" t="s">
        <v>2117</v>
      </c>
      <c r="H548" s="15">
        <v>2435</v>
      </c>
      <c r="I548" s="15">
        <v>641.59</v>
      </c>
    </row>
    <row r="549" spans="1:9">
      <c r="A549" s="13">
        <v>45635</v>
      </c>
      <c r="B549" s="91">
        <f t="shared" si="10"/>
        <v>2024</v>
      </c>
      <c r="C549" s="15" t="s">
        <v>2113</v>
      </c>
      <c r="D549" s="15" t="s">
        <v>2153</v>
      </c>
      <c r="E549" s="15" t="s">
        <v>2123</v>
      </c>
      <c r="F549" s="15" t="s">
        <v>2116</v>
      </c>
      <c r="G549" s="15" t="s">
        <v>2127</v>
      </c>
      <c r="H549" s="15">
        <v>8919</v>
      </c>
      <c r="I549" s="15">
        <v>1102.03</v>
      </c>
    </row>
    <row r="550" spans="1:9">
      <c r="A550" s="13">
        <v>44579</v>
      </c>
      <c r="B550" s="91">
        <f t="shared" si="10"/>
        <v>2022</v>
      </c>
      <c r="C550" s="15" t="s">
        <v>104</v>
      </c>
      <c r="D550" s="15" t="s">
        <v>2114</v>
      </c>
      <c r="E550" s="15" t="s">
        <v>2145</v>
      </c>
      <c r="F550" s="15" t="s">
        <v>2138</v>
      </c>
      <c r="G550" s="15" t="s">
        <v>2139</v>
      </c>
      <c r="H550" s="15">
        <v>2546</v>
      </c>
      <c r="I550" s="15">
        <v>728.77</v>
      </c>
    </row>
    <row r="551" spans="1:9">
      <c r="A551" s="13">
        <v>45323</v>
      </c>
      <c r="B551" s="91">
        <f t="shared" si="10"/>
        <v>2024</v>
      </c>
      <c r="C551" s="15" t="s">
        <v>2113</v>
      </c>
      <c r="D551" s="15" t="s">
        <v>2118</v>
      </c>
      <c r="E551" s="15" t="s">
        <v>2144</v>
      </c>
      <c r="F551" s="15" t="s">
        <v>2124</v>
      </c>
      <c r="G551" s="15" t="s">
        <v>2125</v>
      </c>
      <c r="H551" s="15">
        <v>1444</v>
      </c>
      <c r="I551" s="15">
        <v>324.77</v>
      </c>
    </row>
    <row r="552" spans="1:9">
      <c r="A552" s="13">
        <v>45033</v>
      </c>
      <c r="B552" s="91">
        <f t="shared" si="10"/>
        <v>2023</v>
      </c>
      <c r="C552" s="15" t="s">
        <v>2113</v>
      </c>
      <c r="D552" s="15" t="s">
        <v>2126</v>
      </c>
      <c r="E552" s="15" t="s">
        <v>2123</v>
      </c>
      <c r="F552" s="15" t="s">
        <v>2120</v>
      </c>
      <c r="G552" s="15" t="s">
        <v>2133</v>
      </c>
      <c r="H552" s="15">
        <v>8172</v>
      </c>
      <c r="I552" s="15">
        <v>1030.25</v>
      </c>
    </row>
    <row r="553" spans="1:9">
      <c r="A553" s="13">
        <v>45484</v>
      </c>
      <c r="B553" s="91">
        <f t="shared" si="10"/>
        <v>2024</v>
      </c>
      <c r="C553" s="15" t="s">
        <v>104</v>
      </c>
      <c r="D553" s="15" t="s">
        <v>2128</v>
      </c>
      <c r="E553" s="15" t="s">
        <v>2143</v>
      </c>
      <c r="F553" s="15" t="s">
        <v>2116</v>
      </c>
      <c r="G553" s="15" t="s">
        <v>2154</v>
      </c>
      <c r="H553" s="15">
        <v>6778</v>
      </c>
      <c r="I553" s="15">
        <v>878.06</v>
      </c>
    </row>
    <row r="554" spans="1:9">
      <c r="A554" s="13">
        <v>45633</v>
      </c>
      <c r="B554" s="91">
        <f t="shared" si="10"/>
        <v>2024</v>
      </c>
      <c r="C554" s="15" t="s">
        <v>104</v>
      </c>
      <c r="D554" s="15" t="s">
        <v>2114</v>
      </c>
      <c r="E554" s="15" t="s">
        <v>2145</v>
      </c>
      <c r="F554" s="15" t="s">
        <v>2138</v>
      </c>
      <c r="G554" s="15" t="s">
        <v>2139</v>
      </c>
      <c r="H554" s="15">
        <v>9824</v>
      </c>
      <c r="I554" s="15">
        <v>1939.36</v>
      </c>
    </row>
    <row r="555" spans="1:9">
      <c r="A555" s="13">
        <v>44742</v>
      </c>
      <c r="B555" s="91">
        <f t="shared" si="10"/>
        <v>2022</v>
      </c>
      <c r="C555" s="15" t="s">
        <v>2113</v>
      </c>
      <c r="D555" s="15" t="s">
        <v>2114</v>
      </c>
      <c r="E555" s="15" t="s">
        <v>2136</v>
      </c>
      <c r="F555" s="15" t="s">
        <v>2120</v>
      </c>
      <c r="G555" s="15" t="s">
        <v>2132</v>
      </c>
      <c r="H555" s="15">
        <v>9551</v>
      </c>
      <c r="I555" s="15">
        <v>1571.21</v>
      </c>
    </row>
    <row r="556" spans="1:9">
      <c r="A556" s="13">
        <v>44800</v>
      </c>
      <c r="B556" s="91">
        <f t="shared" si="10"/>
        <v>2022</v>
      </c>
      <c r="C556" s="15" t="s">
        <v>107</v>
      </c>
      <c r="D556" s="15" t="s">
        <v>2142</v>
      </c>
      <c r="E556" s="15" t="s">
        <v>2134</v>
      </c>
      <c r="F556" s="15" t="s">
        <v>2120</v>
      </c>
      <c r="G556" s="15" t="s">
        <v>2132</v>
      </c>
      <c r="H556" s="15">
        <v>4699</v>
      </c>
      <c r="I556" s="15">
        <v>566.21</v>
      </c>
    </row>
    <row r="557" spans="1:9">
      <c r="A557" s="13">
        <v>44779</v>
      </c>
      <c r="B557" s="91">
        <f t="shared" si="10"/>
        <v>2022</v>
      </c>
      <c r="C557" s="15" t="s">
        <v>2141</v>
      </c>
      <c r="D557" s="15" t="s">
        <v>2131</v>
      </c>
      <c r="E557" s="15" t="s">
        <v>2123</v>
      </c>
      <c r="F557" s="15" t="s">
        <v>2116</v>
      </c>
      <c r="G557" s="15" t="s">
        <v>2127</v>
      </c>
      <c r="H557" s="15">
        <v>4816</v>
      </c>
      <c r="I557" s="15">
        <v>948.37</v>
      </c>
    </row>
    <row r="558" spans="1:9">
      <c r="A558" s="13">
        <v>44682</v>
      </c>
      <c r="B558" s="91">
        <f t="shared" si="10"/>
        <v>2022</v>
      </c>
      <c r="C558" s="15" t="s">
        <v>2141</v>
      </c>
      <c r="D558" s="15" t="s">
        <v>2114</v>
      </c>
      <c r="E558" s="15" t="s">
        <v>2119</v>
      </c>
      <c r="F558" s="15" t="s">
        <v>2120</v>
      </c>
      <c r="G558" s="15" t="s">
        <v>2132</v>
      </c>
      <c r="H558" s="15">
        <v>1002</v>
      </c>
      <c r="I558" s="15">
        <v>231.75</v>
      </c>
    </row>
    <row r="559" spans="1:9">
      <c r="A559" s="13">
        <v>45188</v>
      </c>
      <c r="B559" s="91">
        <f t="shared" si="10"/>
        <v>2023</v>
      </c>
      <c r="C559" s="15" t="s">
        <v>2113</v>
      </c>
      <c r="D559" s="15" t="s">
        <v>2142</v>
      </c>
      <c r="E559" s="15" t="s">
        <v>2115</v>
      </c>
      <c r="F559" s="15" t="s">
        <v>2116</v>
      </c>
      <c r="G559" s="15" t="s">
        <v>2117</v>
      </c>
      <c r="H559" s="15">
        <v>1368</v>
      </c>
      <c r="I559" s="15">
        <v>268.62</v>
      </c>
    </row>
    <row r="560" spans="1:9">
      <c r="A560" s="13">
        <v>45206</v>
      </c>
      <c r="B560" s="91">
        <f t="shared" si="10"/>
        <v>2023</v>
      </c>
      <c r="C560" s="15" t="s">
        <v>2113</v>
      </c>
      <c r="D560" s="15" t="s">
        <v>2118</v>
      </c>
      <c r="E560" s="15" t="s">
        <v>2123</v>
      </c>
      <c r="F560" s="15" t="s">
        <v>2138</v>
      </c>
      <c r="G560" s="15" t="s">
        <v>2146</v>
      </c>
      <c r="H560" s="15">
        <v>5490</v>
      </c>
      <c r="I560" s="15">
        <v>1277</v>
      </c>
    </row>
    <row r="561" spans="1:9">
      <c r="A561" s="13">
        <v>44599</v>
      </c>
      <c r="B561" s="91">
        <f t="shared" si="10"/>
        <v>2022</v>
      </c>
      <c r="C561" s="15" t="s">
        <v>2113</v>
      </c>
      <c r="D561" s="15" t="s">
        <v>2135</v>
      </c>
      <c r="E561" s="15" t="s">
        <v>2134</v>
      </c>
      <c r="F561" s="15" t="s">
        <v>2124</v>
      </c>
      <c r="G561" s="15" t="s">
        <v>2140</v>
      </c>
      <c r="H561" s="15">
        <v>2608</v>
      </c>
      <c r="I561" s="15">
        <v>549.76</v>
      </c>
    </row>
    <row r="562" spans="1:9">
      <c r="A562" s="13">
        <v>45107</v>
      </c>
      <c r="B562" s="91">
        <f t="shared" si="10"/>
        <v>2023</v>
      </c>
      <c r="C562" s="15" t="s">
        <v>107</v>
      </c>
      <c r="D562" s="15" t="s">
        <v>2148</v>
      </c>
      <c r="E562" s="15" t="s">
        <v>2151</v>
      </c>
      <c r="F562" s="15" t="s">
        <v>2124</v>
      </c>
      <c r="G562" s="15" t="s">
        <v>2125</v>
      </c>
      <c r="H562" s="15">
        <v>1061</v>
      </c>
      <c r="I562" s="15">
        <v>172.72</v>
      </c>
    </row>
    <row r="563" spans="1:9">
      <c r="A563" s="13">
        <v>44902</v>
      </c>
      <c r="B563" s="91">
        <f t="shared" si="10"/>
        <v>2022</v>
      </c>
      <c r="C563" s="15" t="s">
        <v>2113</v>
      </c>
      <c r="D563" s="15" t="s">
        <v>2126</v>
      </c>
      <c r="E563" s="15" t="s">
        <v>2145</v>
      </c>
      <c r="F563" s="15" t="s">
        <v>2120</v>
      </c>
      <c r="G563" s="15" t="s">
        <v>2132</v>
      </c>
      <c r="H563" s="15">
        <v>4789</v>
      </c>
      <c r="I563" s="15">
        <v>512.48</v>
      </c>
    </row>
    <row r="564" spans="1:9">
      <c r="A564" s="13">
        <v>44769</v>
      </c>
      <c r="B564" s="91">
        <f t="shared" si="10"/>
        <v>2022</v>
      </c>
      <c r="C564" s="15" t="s">
        <v>2113</v>
      </c>
      <c r="D564" s="15" t="s">
        <v>2152</v>
      </c>
      <c r="E564" s="15" t="s">
        <v>2115</v>
      </c>
      <c r="F564" s="15" t="s">
        <v>2116</v>
      </c>
      <c r="G564" s="15" t="s">
        <v>2117</v>
      </c>
      <c r="H564" s="15">
        <v>7450</v>
      </c>
      <c r="I564" s="15">
        <v>1280.3699999999999</v>
      </c>
    </row>
    <row r="565" spans="1:9">
      <c r="A565" s="13">
        <v>45193</v>
      </c>
      <c r="B565" s="91">
        <f t="shared" si="10"/>
        <v>2023</v>
      </c>
      <c r="C565" s="15" t="s">
        <v>2141</v>
      </c>
      <c r="D565" s="15" t="s">
        <v>2152</v>
      </c>
      <c r="E565" s="15" t="s">
        <v>2143</v>
      </c>
      <c r="F565" s="15" t="s">
        <v>2138</v>
      </c>
      <c r="G565" s="15" t="s">
        <v>2139</v>
      </c>
      <c r="H565" s="15">
        <v>1621</v>
      </c>
      <c r="I565" s="15">
        <v>252.6</v>
      </c>
    </row>
    <row r="566" spans="1:9">
      <c r="A566" s="13">
        <v>45361</v>
      </c>
      <c r="B566" s="91">
        <f t="shared" si="10"/>
        <v>2024</v>
      </c>
      <c r="C566" s="15" t="s">
        <v>107</v>
      </c>
      <c r="D566" s="15" t="s">
        <v>2142</v>
      </c>
      <c r="E566" s="15" t="s">
        <v>2136</v>
      </c>
      <c r="F566" s="15" t="s">
        <v>2124</v>
      </c>
      <c r="G566" s="15" t="s">
        <v>2140</v>
      </c>
      <c r="H566" s="15">
        <v>6149</v>
      </c>
      <c r="I566" s="15">
        <v>1576.25</v>
      </c>
    </row>
    <row r="567" spans="1:9">
      <c r="A567" s="13">
        <v>44721</v>
      </c>
      <c r="B567" s="91">
        <f t="shared" si="10"/>
        <v>2022</v>
      </c>
      <c r="C567" s="15" t="s">
        <v>2141</v>
      </c>
      <c r="D567" s="15" t="s">
        <v>2148</v>
      </c>
      <c r="E567" s="15" t="s">
        <v>2129</v>
      </c>
      <c r="F567" s="15" t="s">
        <v>2138</v>
      </c>
      <c r="G567" s="15" t="s">
        <v>2149</v>
      </c>
      <c r="H567" s="15">
        <v>9495</v>
      </c>
      <c r="I567" s="15">
        <v>1336.61</v>
      </c>
    </row>
    <row r="568" spans="1:9">
      <c r="A568" s="13">
        <v>45443</v>
      </c>
      <c r="B568" s="91">
        <f t="shared" si="10"/>
        <v>2024</v>
      </c>
      <c r="C568" s="15" t="s">
        <v>2113</v>
      </c>
      <c r="D568" s="15" t="s">
        <v>2153</v>
      </c>
      <c r="E568" s="15" t="s">
        <v>2134</v>
      </c>
      <c r="F568" s="15" t="s">
        <v>2124</v>
      </c>
      <c r="G568" s="15" t="s">
        <v>2125</v>
      </c>
      <c r="H568" s="15">
        <v>5425</v>
      </c>
      <c r="I568" s="15">
        <v>952.75</v>
      </c>
    </row>
    <row r="569" spans="1:9">
      <c r="A569" s="13">
        <v>44627</v>
      </c>
      <c r="B569" s="91">
        <f t="shared" si="10"/>
        <v>2022</v>
      </c>
      <c r="C569" s="15" t="s">
        <v>2141</v>
      </c>
      <c r="D569" s="15" t="s">
        <v>2148</v>
      </c>
      <c r="E569" s="15" t="s">
        <v>2123</v>
      </c>
      <c r="F569" s="15" t="s">
        <v>2124</v>
      </c>
      <c r="G569" s="15" t="s">
        <v>2130</v>
      </c>
      <c r="H569" s="15">
        <v>6799</v>
      </c>
      <c r="I569" s="15">
        <v>724.52</v>
      </c>
    </row>
    <row r="570" spans="1:9">
      <c r="A570" s="13">
        <v>45653</v>
      </c>
      <c r="B570" s="91">
        <f t="shared" si="10"/>
        <v>2024</v>
      </c>
      <c r="C570" s="15" t="s">
        <v>2141</v>
      </c>
      <c r="D570" s="15" t="s">
        <v>2142</v>
      </c>
      <c r="E570" s="15" t="s">
        <v>2151</v>
      </c>
      <c r="F570" s="15" t="s">
        <v>2116</v>
      </c>
      <c r="G570" s="15" t="s">
        <v>2127</v>
      </c>
      <c r="H570" s="15">
        <v>4711</v>
      </c>
      <c r="I570" s="15">
        <v>1251.6300000000001</v>
      </c>
    </row>
    <row r="571" spans="1:9">
      <c r="A571" s="13">
        <v>44808</v>
      </c>
      <c r="B571" s="91">
        <f t="shared" si="10"/>
        <v>2022</v>
      </c>
      <c r="C571" s="15" t="s">
        <v>107</v>
      </c>
      <c r="D571" s="15" t="s">
        <v>2135</v>
      </c>
      <c r="E571" s="15" t="s">
        <v>2129</v>
      </c>
      <c r="F571" s="15" t="s">
        <v>2138</v>
      </c>
      <c r="G571" s="15" t="s">
        <v>2149</v>
      </c>
      <c r="H571" s="15">
        <v>9936</v>
      </c>
      <c r="I571" s="15">
        <v>1705.88</v>
      </c>
    </row>
    <row r="572" spans="1:9">
      <c r="A572" s="13">
        <v>45561</v>
      </c>
      <c r="B572" s="91">
        <f t="shared" si="10"/>
        <v>2024</v>
      </c>
      <c r="C572" s="15" t="s">
        <v>2141</v>
      </c>
      <c r="D572" s="15" t="s">
        <v>2152</v>
      </c>
      <c r="E572" s="15" t="s">
        <v>2136</v>
      </c>
      <c r="F572" s="15" t="s">
        <v>2138</v>
      </c>
      <c r="G572" s="15" t="s">
        <v>2146</v>
      </c>
      <c r="H572" s="15">
        <v>9698</v>
      </c>
      <c r="I572" s="15">
        <v>1621.47</v>
      </c>
    </row>
    <row r="573" spans="1:9">
      <c r="A573" s="13">
        <v>44746</v>
      </c>
      <c r="B573" s="91">
        <f t="shared" si="10"/>
        <v>2022</v>
      </c>
      <c r="C573" s="15" t="s">
        <v>2141</v>
      </c>
      <c r="D573" s="15" t="s">
        <v>2131</v>
      </c>
      <c r="E573" s="15" t="s">
        <v>2134</v>
      </c>
      <c r="F573" s="15" t="s">
        <v>2120</v>
      </c>
      <c r="G573" s="15" t="s">
        <v>2121</v>
      </c>
      <c r="H573" s="15">
        <v>3104</v>
      </c>
      <c r="I573" s="15">
        <v>504.54</v>
      </c>
    </row>
    <row r="574" spans="1:9">
      <c r="A574" s="13">
        <v>45063</v>
      </c>
      <c r="B574" s="91">
        <f t="shared" si="10"/>
        <v>2023</v>
      </c>
      <c r="C574" s="15" t="s">
        <v>2141</v>
      </c>
      <c r="D574" s="15" t="s">
        <v>2142</v>
      </c>
      <c r="E574" s="15" t="s">
        <v>2151</v>
      </c>
      <c r="F574" s="15" t="s">
        <v>2138</v>
      </c>
      <c r="G574" s="15" t="s">
        <v>2149</v>
      </c>
      <c r="H574" s="15">
        <v>6063</v>
      </c>
      <c r="I574" s="15">
        <v>921.18</v>
      </c>
    </row>
    <row r="575" spans="1:9">
      <c r="A575" s="13">
        <v>44915</v>
      </c>
      <c r="B575" s="91">
        <f t="shared" si="10"/>
        <v>2022</v>
      </c>
      <c r="C575" s="15" t="s">
        <v>107</v>
      </c>
      <c r="D575" s="15" t="s">
        <v>2152</v>
      </c>
      <c r="E575" s="15" t="s">
        <v>2134</v>
      </c>
      <c r="F575" s="15" t="s">
        <v>2124</v>
      </c>
      <c r="G575" s="15" t="s">
        <v>2130</v>
      </c>
      <c r="H575" s="15">
        <v>4243</v>
      </c>
      <c r="I575" s="15">
        <v>530.37</v>
      </c>
    </row>
    <row r="576" spans="1:9">
      <c r="A576" s="13">
        <v>45002</v>
      </c>
      <c r="B576" s="91">
        <f t="shared" si="10"/>
        <v>2023</v>
      </c>
      <c r="C576" s="15" t="s">
        <v>104</v>
      </c>
      <c r="D576" s="15" t="s">
        <v>2135</v>
      </c>
      <c r="E576" s="15" t="s">
        <v>2129</v>
      </c>
      <c r="F576" s="15" t="s">
        <v>2124</v>
      </c>
      <c r="G576" s="15" t="s">
        <v>2130</v>
      </c>
      <c r="H576" s="15">
        <v>3092</v>
      </c>
      <c r="I576" s="15">
        <v>648.08000000000004</v>
      </c>
    </row>
    <row r="577" spans="1:9">
      <c r="A577" s="13">
        <v>44593</v>
      </c>
      <c r="B577" s="91">
        <f t="shared" si="10"/>
        <v>2022</v>
      </c>
      <c r="C577" s="15" t="s">
        <v>107</v>
      </c>
      <c r="D577" s="15" t="s">
        <v>2135</v>
      </c>
      <c r="E577" s="15" t="s">
        <v>2115</v>
      </c>
      <c r="F577" s="15" t="s">
        <v>2124</v>
      </c>
      <c r="G577" s="15" t="s">
        <v>2140</v>
      </c>
      <c r="H577" s="15">
        <v>4802</v>
      </c>
      <c r="I577" s="15">
        <v>615.13</v>
      </c>
    </row>
    <row r="578" spans="1:9">
      <c r="A578" s="13">
        <v>45155</v>
      </c>
      <c r="B578" s="91">
        <f t="shared" si="10"/>
        <v>2023</v>
      </c>
      <c r="C578" s="15" t="s">
        <v>107</v>
      </c>
      <c r="D578" s="15" t="s">
        <v>2128</v>
      </c>
      <c r="E578" s="15" t="s">
        <v>2144</v>
      </c>
      <c r="F578" s="15" t="s">
        <v>2120</v>
      </c>
      <c r="G578" s="15" t="s">
        <v>2133</v>
      </c>
      <c r="H578" s="15">
        <v>3965</v>
      </c>
      <c r="I578" s="15">
        <v>933.92</v>
      </c>
    </row>
    <row r="579" spans="1:9">
      <c r="A579" s="13">
        <v>45342</v>
      </c>
      <c r="B579" s="91">
        <f t="shared" ref="B579:B642" si="11">YEAR(A579)</f>
        <v>2024</v>
      </c>
      <c r="C579" s="15" t="s">
        <v>2113</v>
      </c>
      <c r="D579" s="15" t="s">
        <v>2128</v>
      </c>
      <c r="E579" s="15" t="s">
        <v>2144</v>
      </c>
      <c r="F579" s="15" t="s">
        <v>2124</v>
      </c>
      <c r="G579" s="15" t="s">
        <v>2140</v>
      </c>
      <c r="H579" s="15">
        <v>3066</v>
      </c>
      <c r="I579" s="15">
        <v>664.05</v>
      </c>
    </row>
    <row r="580" spans="1:9">
      <c r="A580" s="13">
        <v>45657</v>
      </c>
      <c r="B580" s="91">
        <f t="shared" si="11"/>
        <v>2024</v>
      </c>
      <c r="C580" s="15" t="s">
        <v>2113</v>
      </c>
      <c r="D580" s="15" t="s">
        <v>2142</v>
      </c>
      <c r="E580" s="15" t="s">
        <v>2145</v>
      </c>
      <c r="F580" s="15" t="s">
        <v>2116</v>
      </c>
      <c r="G580" s="15" t="s">
        <v>2127</v>
      </c>
      <c r="H580" s="15">
        <v>3958</v>
      </c>
      <c r="I580" s="15">
        <v>459.59</v>
      </c>
    </row>
    <row r="581" spans="1:9">
      <c r="A581" s="13">
        <v>44669</v>
      </c>
      <c r="B581" s="91">
        <f t="shared" si="11"/>
        <v>2022</v>
      </c>
      <c r="C581" s="15" t="s">
        <v>2113</v>
      </c>
      <c r="D581" s="15" t="s">
        <v>2131</v>
      </c>
      <c r="E581" s="15" t="s">
        <v>2123</v>
      </c>
      <c r="F581" s="15" t="s">
        <v>2124</v>
      </c>
      <c r="G581" s="15" t="s">
        <v>2140</v>
      </c>
      <c r="H581" s="15">
        <v>8027</v>
      </c>
      <c r="I581" s="15">
        <v>1044.47</v>
      </c>
    </row>
    <row r="582" spans="1:9">
      <c r="A582" s="13">
        <v>45657</v>
      </c>
      <c r="B582" s="91">
        <f t="shared" si="11"/>
        <v>2024</v>
      </c>
      <c r="C582" s="15" t="s">
        <v>2141</v>
      </c>
      <c r="D582" s="15" t="s">
        <v>2128</v>
      </c>
      <c r="E582" s="15" t="s">
        <v>2115</v>
      </c>
      <c r="F582" s="15" t="s">
        <v>2138</v>
      </c>
      <c r="G582" s="15" t="s">
        <v>2146</v>
      </c>
      <c r="H582" s="15">
        <v>3758</v>
      </c>
      <c r="I582" s="15">
        <v>712.01</v>
      </c>
    </row>
    <row r="583" spans="1:9">
      <c r="A583" s="13">
        <v>45188</v>
      </c>
      <c r="B583" s="91">
        <f t="shared" si="11"/>
        <v>2023</v>
      </c>
      <c r="C583" s="15" t="s">
        <v>2141</v>
      </c>
      <c r="D583" s="15" t="s">
        <v>2135</v>
      </c>
      <c r="E583" s="15" t="s">
        <v>2144</v>
      </c>
      <c r="F583" s="15" t="s">
        <v>2120</v>
      </c>
      <c r="G583" s="15" t="s">
        <v>2133</v>
      </c>
      <c r="H583" s="15">
        <v>6628</v>
      </c>
      <c r="I583" s="15">
        <v>928.27</v>
      </c>
    </row>
    <row r="584" spans="1:9">
      <c r="A584" s="13">
        <v>44859</v>
      </c>
      <c r="B584" s="91">
        <f t="shared" si="11"/>
        <v>2022</v>
      </c>
      <c r="C584" s="15" t="s">
        <v>107</v>
      </c>
      <c r="D584" s="15" t="s">
        <v>2148</v>
      </c>
      <c r="E584" s="15" t="s">
        <v>2123</v>
      </c>
      <c r="F584" s="15" t="s">
        <v>2120</v>
      </c>
      <c r="G584" s="15" t="s">
        <v>2121</v>
      </c>
      <c r="H584" s="15">
        <v>9268</v>
      </c>
      <c r="I584" s="15">
        <v>1395.94</v>
      </c>
    </row>
    <row r="585" spans="1:9">
      <c r="A585" s="13">
        <v>44715</v>
      </c>
      <c r="B585" s="91">
        <f t="shared" si="11"/>
        <v>2022</v>
      </c>
      <c r="C585" s="15" t="s">
        <v>104</v>
      </c>
      <c r="D585" s="15" t="s">
        <v>2153</v>
      </c>
      <c r="E585" s="15" t="s">
        <v>2143</v>
      </c>
      <c r="F585" s="15" t="s">
        <v>2138</v>
      </c>
      <c r="G585" s="15" t="s">
        <v>2149</v>
      </c>
      <c r="H585" s="15">
        <v>3753</v>
      </c>
      <c r="I585" s="15">
        <v>803.25</v>
      </c>
    </row>
    <row r="586" spans="1:9">
      <c r="A586" s="13">
        <v>45079</v>
      </c>
      <c r="B586" s="91">
        <f t="shared" si="11"/>
        <v>2023</v>
      </c>
      <c r="C586" s="15" t="s">
        <v>107</v>
      </c>
      <c r="D586" s="15" t="s">
        <v>2118</v>
      </c>
      <c r="E586" s="15" t="s">
        <v>2143</v>
      </c>
      <c r="F586" s="15" t="s">
        <v>2116</v>
      </c>
      <c r="G586" s="15" t="s">
        <v>2127</v>
      </c>
      <c r="H586" s="15">
        <v>6260</v>
      </c>
      <c r="I586" s="15">
        <v>1206.1500000000001</v>
      </c>
    </row>
    <row r="587" spans="1:9">
      <c r="A587" s="13">
        <v>44725</v>
      </c>
      <c r="B587" s="91">
        <f t="shared" si="11"/>
        <v>2022</v>
      </c>
      <c r="C587" s="15" t="s">
        <v>2113</v>
      </c>
      <c r="D587" s="15" t="s">
        <v>2142</v>
      </c>
      <c r="E587" s="15" t="s">
        <v>2123</v>
      </c>
      <c r="F587" s="15" t="s">
        <v>2120</v>
      </c>
      <c r="G587" s="15" t="s">
        <v>2133</v>
      </c>
      <c r="H587" s="15">
        <v>3605</v>
      </c>
      <c r="I587" s="15">
        <v>498.6</v>
      </c>
    </row>
    <row r="588" spans="1:9">
      <c r="A588" s="13">
        <v>45413</v>
      </c>
      <c r="B588" s="91">
        <f t="shared" si="11"/>
        <v>2024</v>
      </c>
      <c r="C588" s="15" t="s">
        <v>2141</v>
      </c>
      <c r="D588" s="15" t="s">
        <v>2152</v>
      </c>
      <c r="E588" s="15" t="s">
        <v>2115</v>
      </c>
      <c r="F588" s="15" t="s">
        <v>2116</v>
      </c>
      <c r="G588" s="15" t="s">
        <v>2127</v>
      </c>
      <c r="H588" s="15">
        <v>3989</v>
      </c>
      <c r="I588" s="15">
        <v>495.78</v>
      </c>
    </row>
    <row r="589" spans="1:9">
      <c r="A589" s="13">
        <v>45589</v>
      </c>
      <c r="B589" s="91">
        <f t="shared" si="11"/>
        <v>2024</v>
      </c>
      <c r="C589" s="15" t="s">
        <v>107</v>
      </c>
      <c r="D589" s="15" t="s">
        <v>2153</v>
      </c>
      <c r="E589" s="15" t="s">
        <v>2136</v>
      </c>
      <c r="F589" s="15" t="s">
        <v>2116</v>
      </c>
      <c r="G589" s="15" t="s">
        <v>2117</v>
      </c>
      <c r="H589" s="15">
        <v>1881</v>
      </c>
      <c r="I589" s="15">
        <v>324.76</v>
      </c>
    </row>
    <row r="590" spans="1:9">
      <c r="A590" s="13">
        <v>44829</v>
      </c>
      <c r="B590" s="91">
        <f t="shared" si="11"/>
        <v>2022</v>
      </c>
      <c r="C590" s="15" t="s">
        <v>104</v>
      </c>
      <c r="D590" s="15" t="s">
        <v>2142</v>
      </c>
      <c r="E590" s="15" t="s">
        <v>2144</v>
      </c>
      <c r="F590" s="15" t="s">
        <v>2124</v>
      </c>
      <c r="G590" s="15" t="s">
        <v>2140</v>
      </c>
      <c r="H590" s="15">
        <v>8383</v>
      </c>
      <c r="I590" s="15">
        <v>1663.59</v>
      </c>
    </row>
    <row r="591" spans="1:9">
      <c r="A591" s="13">
        <v>45201</v>
      </c>
      <c r="B591" s="91">
        <f t="shared" si="11"/>
        <v>2023</v>
      </c>
      <c r="C591" s="15" t="s">
        <v>2141</v>
      </c>
      <c r="D591" s="15" t="s">
        <v>2135</v>
      </c>
      <c r="E591" s="15" t="s">
        <v>2134</v>
      </c>
      <c r="F591" s="15" t="s">
        <v>2116</v>
      </c>
      <c r="G591" s="15" t="s">
        <v>2154</v>
      </c>
      <c r="H591" s="15">
        <v>5136</v>
      </c>
      <c r="I591" s="15">
        <v>1167.81</v>
      </c>
    </row>
    <row r="592" spans="1:9">
      <c r="A592" s="13">
        <v>45255</v>
      </c>
      <c r="B592" s="91">
        <f t="shared" si="11"/>
        <v>2023</v>
      </c>
      <c r="C592" s="15" t="s">
        <v>2141</v>
      </c>
      <c r="D592" s="15" t="s">
        <v>2148</v>
      </c>
      <c r="E592" s="15" t="s">
        <v>2143</v>
      </c>
      <c r="F592" s="15" t="s">
        <v>2124</v>
      </c>
      <c r="G592" s="15" t="s">
        <v>2125</v>
      </c>
      <c r="H592" s="15">
        <v>6791</v>
      </c>
      <c r="I592" s="15">
        <v>996.71</v>
      </c>
    </row>
    <row r="593" spans="1:9">
      <c r="A593" s="13">
        <v>45185</v>
      </c>
      <c r="B593" s="91">
        <f t="shared" si="11"/>
        <v>2023</v>
      </c>
      <c r="C593" s="15" t="s">
        <v>2113</v>
      </c>
      <c r="D593" s="15" t="s">
        <v>2148</v>
      </c>
      <c r="E593" s="15" t="s">
        <v>2151</v>
      </c>
      <c r="F593" s="15" t="s">
        <v>2116</v>
      </c>
      <c r="G593" s="15" t="s">
        <v>2154</v>
      </c>
      <c r="H593" s="15">
        <v>4071</v>
      </c>
      <c r="I593" s="15">
        <v>529.03</v>
      </c>
    </row>
    <row r="594" spans="1:9">
      <c r="A594" s="13">
        <v>45136</v>
      </c>
      <c r="B594" s="91">
        <f t="shared" si="11"/>
        <v>2023</v>
      </c>
      <c r="C594" s="15" t="s">
        <v>104</v>
      </c>
      <c r="D594" s="15" t="s">
        <v>2152</v>
      </c>
      <c r="E594" s="15" t="s">
        <v>2151</v>
      </c>
      <c r="F594" s="15" t="s">
        <v>2138</v>
      </c>
      <c r="G594" s="15" t="s">
        <v>2149</v>
      </c>
      <c r="H594" s="15">
        <v>3567</v>
      </c>
      <c r="I594" s="15">
        <v>907.96</v>
      </c>
    </row>
    <row r="595" spans="1:9">
      <c r="A595" s="13">
        <v>44970</v>
      </c>
      <c r="B595" s="91">
        <f t="shared" si="11"/>
        <v>2023</v>
      </c>
      <c r="C595" s="15" t="s">
        <v>2113</v>
      </c>
      <c r="D595" s="15" t="s">
        <v>2128</v>
      </c>
      <c r="E595" s="15" t="s">
        <v>2145</v>
      </c>
      <c r="F595" s="15" t="s">
        <v>2120</v>
      </c>
      <c r="G595" s="15" t="s">
        <v>2132</v>
      </c>
      <c r="H595" s="15">
        <v>1388</v>
      </c>
      <c r="I595" s="15">
        <v>400.45</v>
      </c>
    </row>
    <row r="596" spans="1:9">
      <c r="A596" s="13">
        <v>45276</v>
      </c>
      <c r="B596" s="91">
        <f t="shared" si="11"/>
        <v>2023</v>
      </c>
      <c r="C596" s="15" t="s">
        <v>104</v>
      </c>
      <c r="D596" s="15" t="s">
        <v>2142</v>
      </c>
      <c r="E596" s="15" t="s">
        <v>2151</v>
      </c>
      <c r="F596" s="15" t="s">
        <v>2138</v>
      </c>
      <c r="G596" s="15" t="s">
        <v>2149</v>
      </c>
      <c r="H596" s="15">
        <v>2092</v>
      </c>
      <c r="I596" s="15">
        <v>436.73</v>
      </c>
    </row>
    <row r="597" spans="1:9">
      <c r="A597" s="13">
        <v>45279</v>
      </c>
      <c r="B597" s="91">
        <f t="shared" si="11"/>
        <v>2023</v>
      </c>
      <c r="C597" s="15" t="s">
        <v>2113</v>
      </c>
      <c r="D597" s="15" t="s">
        <v>2126</v>
      </c>
      <c r="E597" s="15" t="s">
        <v>2119</v>
      </c>
      <c r="F597" s="15" t="s">
        <v>2124</v>
      </c>
      <c r="G597" s="15" t="s">
        <v>2125</v>
      </c>
      <c r="H597" s="15">
        <v>3991</v>
      </c>
      <c r="I597" s="15">
        <v>989.11</v>
      </c>
    </row>
    <row r="598" spans="1:9">
      <c r="A598" s="13">
        <v>45307</v>
      </c>
      <c r="B598" s="91">
        <f t="shared" si="11"/>
        <v>2024</v>
      </c>
      <c r="C598" s="15" t="s">
        <v>2113</v>
      </c>
      <c r="D598" s="15" t="s">
        <v>2153</v>
      </c>
      <c r="E598" s="15" t="s">
        <v>2123</v>
      </c>
      <c r="F598" s="15" t="s">
        <v>2116</v>
      </c>
      <c r="G598" s="15" t="s">
        <v>2117</v>
      </c>
      <c r="H598" s="15">
        <v>8515</v>
      </c>
      <c r="I598" s="15">
        <v>2156.9699999999998</v>
      </c>
    </row>
    <row r="599" spans="1:9">
      <c r="A599" s="13">
        <v>45071</v>
      </c>
      <c r="B599" s="91">
        <f t="shared" si="11"/>
        <v>2023</v>
      </c>
      <c r="C599" s="15" t="s">
        <v>107</v>
      </c>
      <c r="D599" s="15" t="s">
        <v>2148</v>
      </c>
      <c r="E599" s="15" t="s">
        <v>2145</v>
      </c>
      <c r="F599" s="15" t="s">
        <v>2124</v>
      </c>
      <c r="G599" s="15" t="s">
        <v>2130</v>
      </c>
      <c r="H599" s="15">
        <v>3418</v>
      </c>
      <c r="I599" s="15">
        <v>430.51</v>
      </c>
    </row>
    <row r="600" spans="1:9">
      <c r="A600" s="13">
        <v>45183</v>
      </c>
      <c r="B600" s="91">
        <f t="shared" si="11"/>
        <v>2023</v>
      </c>
      <c r="C600" s="15" t="s">
        <v>2113</v>
      </c>
      <c r="D600" s="15" t="s">
        <v>2114</v>
      </c>
      <c r="E600" s="15" t="s">
        <v>2143</v>
      </c>
      <c r="F600" s="15" t="s">
        <v>2124</v>
      </c>
      <c r="G600" s="15" t="s">
        <v>2140</v>
      </c>
      <c r="H600" s="15">
        <v>1352</v>
      </c>
      <c r="I600" s="15">
        <v>348.35</v>
      </c>
    </row>
    <row r="601" spans="1:9">
      <c r="A601" s="13">
        <v>44674</v>
      </c>
      <c r="B601" s="91">
        <f t="shared" si="11"/>
        <v>2022</v>
      </c>
      <c r="C601" s="15" t="s">
        <v>104</v>
      </c>
      <c r="D601" s="15" t="s">
        <v>2128</v>
      </c>
      <c r="E601" s="15" t="s">
        <v>2119</v>
      </c>
      <c r="F601" s="15" t="s">
        <v>2120</v>
      </c>
      <c r="G601" s="15" t="s">
        <v>2132</v>
      </c>
      <c r="H601" s="15">
        <v>2507</v>
      </c>
      <c r="I601" s="15">
        <v>479.85</v>
      </c>
    </row>
    <row r="602" spans="1:9">
      <c r="A602" s="13">
        <v>45463</v>
      </c>
      <c r="B602" s="91">
        <f t="shared" si="11"/>
        <v>2024</v>
      </c>
      <c r="C602" s="15" t="s">
        <v>104</v>
      </c>
      <c r="D602" s="15" t="s">
        <v>2135</v>
      </c>
      <c r="E602" s="15" t="s">
        <v>2123</v>
      </c>
      <c r="F602" s="15" t="s">
        <v>2116</v>
      </c>
      <c r="G602" s="15" t="s">
        <v>2127</v>
      </c>
      <c r="H602" s="15">
        <v>1494</v>
      </c>
      <c r="I602" s="15">
        <v>358.16</v>
      </c>
    </row>
    <row r="603" spans="1:9">
      <c r="A603" s="13">
        <v>44602</v>
      </c>
      <c r="B603" s="91">
        <f t="shared" si="11"/>
        <v>2022</v>
      </c>
      <c r="C603" s="15" t="s">
        <v>107</v>
      </c>
      <c r="D603" s="15" t="s">
        <v>2148</v>
      </c>
      <c r="E603" s="15" t="s">
        <v>2145</v>
      </c>
      <c r="F603" s="15" t="s">
        <v>2120</v>
      </c>
      <c r="G603" s="15" t="s">
        <v>2133</v>
      </c>
      <c r="H603" s="15">
        <v>8980</v>
      </c>
      <c r="I603" s="15">
        <v>2673.95</v>
      </c>
    </row>
    <row r="604" spans="1:9">
      <c r="A604" s="13">
        <v>45224</v>
      </c>
      <c r="B604" s="91">
        <f t="shared" si="11"/>
        <v>2023</v>
      </c>
      <c r="C604" s="15" t="s">
        <v>2113</v>
      </c>
      <c r="D604" s="15" t="s">
        <v>2128</v>
      </c>
      <c r="E604" s="15" t="s">
        <v>2136</v>
      </c>
      <c r="F604" s="15" t="s">
        <v>2124</v>
      </c>
      <c r="G604" s="15" t="s">
        <v>2125</v>
      </c>
      <c r="H604" s="15">
        <v>8990</v>
      </c>
      <c r="I604" s="15">
        <v>2561.4699999999998</v>
      </c>
    </row>
    <row r="605" spans="1:9">
      <c r="A605" s="13">
        <v>44860</v>
      </c>
      <c r="B605" s="91">
        <f t="shared" si="11"/>
        <v>2022</v>
      </c>
      <c r="C605" s="15" t="s">
        <v>2113</v>
      </c>
      <c r="D605" s="15" t="s">
        <v>2126</v>
      </c>
      <c r="E605" s="15" t="s">
        <v>2123</v>
      </c>
      <c r="F605" s="15" t="s">
        <v>2124</v>
      </c>
      <c r="G605" s="15" t="s">
        <v>2125</v>
      </c>
      <c r="H605" s="15">
        <v>5987</v>
      </c>
      <c r="I605" s="15">
        <v>1459.99</v>
      </c>
    </row>
    <row r="606" spans="1:9">
      <c r="A606" s="13">
        <v>44768</v>
      </c>
      <c r="B606" s="91">
        <f t="shared" si="11"/>
        <v>2022</v>
      </c>
      <c r="C606" s="15" t="s">
        <v>2113</v>
      </c>
      <c r="D606" s="15" t="s">
        <v>2118</v>
      </c>
      <c r="E606" s="15" t="s">
        <v>2144</v>
      </c>
      <c r="F606" s="15" t="s">
        <v>2116</v>
      </c>
      <c r="G606" s="15" t="s">
        <v>2127</v>
      </c>
      <c r="H606" s="15">
        <v>9041</v>
      </c>
      <c r="I606" s="15">
        <v>1644.54</v>
      </c>
    </row>
    <row r="607" spans="1:9">
      <c r="A607" s="13">
        <v>45192</v>
      </c>
      <c r="B607" s="91">
        <f t="shared" si="11"/>
        <v>2023</v>
      </c>
      <c r="C607" s="15" t="s">
        <v>2113</v>
      </c>
      <c r="D607" s="15" t="s">
        <v>2148</v>
      </c>
      <c r="E607" s="15" t="s">
        <v>2145</v>
      </c>
      <c r="F607" s="15" t="s">
        <v>2116</v>
      </c>
      <c r="G607" s="15" t="s">
        <v>2127</v>
      </c>
      <c r="H607" s="15">
        <v>2546</v>
      </c>
      <c r="I607" s="15">
        <v>734.67</v>
      </c>
    </row>
    <row r="608" spans="1:9">
      <c r="A608" s="13">
        <v>45198</v>
      </c>
      <c r="B608" s="91">
        <f t="shared" si="11"/>
        <v>2023</v>
      </c>
      <c r="C608" s="15" t="s">
        <v>2141</v>
      </c>
      <c r="D608" s="15" t="s">
        <v>2118</v>
      </c>
      <c r="E608" s="15" t="s">
        <v>2136</v>
      </c>
      <c r="F608" s="15" t="s">
        <v>2124</v>
      </c>
      <c r="G608" s="15" t="s">
        <v>2140</v>
      </c>
      <c r="H608" s="15">
        <v>2859</v>
      </c>
      <c r="I608" s="15">
        <v>679.87</v>
      </c>
    </row>
    <row r="609" spans="1:9">
      <c r="A609" s="13">
        <v>44780</v>
      </c>
      <c r="B609" s="91">
        <f t="shared" si="11"/>
        <v>2022</v>
      </c>
      <c r="C609" s="15" t="s">
        <v>2113</v>
      </c>
      <c r="D609" s="15" t="s">
        <v>2152</v>
      </c>
      <c r="E609" s="15" t="s">
        <v>2115</v>
      </c>
      <c r="F609" s="15" t="s">
        <v>2124</v>
      </c>
      <c r="G609" s="15" t="s">
        <v>2140</v>
      </c>
      <c r="H609" s="15">
        <v>8895</v>
      </c>
      <c r="I609" s="15">
        <v>1711.6</v>
      </c>
    </row>
    <row r="610" spans="1:9">
      <c r="A610" s="13">
        <v>44574</v>
      </c>
      <c r="B610" s="91">
        <f t="shared" si="11"/>
        <v>2022</v>
      </c>
      <c r="C610" s="15" t="s">
        <v>104</v>
      </c>
      <c r="D610" s="15" t="s">
        <v>2148</v>
      </c>
      <c r="E610" s="15" t="s">
        <v>2123</v>
      </c>
      <c r="F610" s="15" t="s">
        <v>2120</v>
      </c>
      <c r="G610" s="15" t="s">
        <v>2133</v>
      </c>
      <c r="H610" s="15">
        <v>2424</v>
      </c>
      <c r="I610" s="15">
        <v>705.57</v>
      </c>
    </row>
    <row r="611" spans="1:9">
      <c r="A611" s="13">
        <v>44952</v>
      </c>
      <c r="B611" s="91">
        <f t="shared" si="11"/>
        <v>2023</v>
      </c>
      <c r="C611" s="15" t="s">
        <v>2113</v>
      </c>
      <c r="D611" s="15" t="s">
        <v>2131</v>
      </c>
      <c r="E611" s="15" t="s">
        <v>2115</v>
      </c>
      <c r="F611" s="15" t="s">
        <v>2124</v>
      </c>
      <c r="G611" s="15" t="s">
        <v>2130</v>
      </c>
      <c r="H611" s="15">
        <v>8908</v>
      </c>
      <c r="I611" s="15">
        <v>1291.81</v>
      </c>
    </row>
    <row r="612" spans="1:9">
      <c r="A612" s="13">
        <v>45253</v>
      </c>
      <c r="B612" s="91">
        <f t="shared" si="11"/>
        <v>2023</v>
      </c>
      <c r="C612" s="15" t="s">
        <v>107</v>
      </c>
      <c r="D612" s="15" t="s">
        <v>2131</v>
      </c>
      <c r="E612" s="15" t="s">
        <v>2143</v>
      </c>
      <c r="F612" s="15" t="s">
        <v>2120</v>
      </c>
      <c r="G612" s="15" t="s">
        <v>2133</v>
      </c>
      <c r="H612" s="15">
        <v>4994</v>
      </c>
      <c r="I612" s="15">
        <v>1016.02</v>
      </c>
    </row>
    <row r="613" spans="1:9">
      <c r="A613" s="13">
        <v>45337</v>
      </c>
      <c r="B613" s="91">
        <f t="shared" si="11"/>
        <v>2024</v>
      </c>
      <c r="C613" s="15" t="s">
        <v>104</v>
      </c>
      <c r="D613" s="15" t="s">
        <v>2153</v>
      </c>
      <c r="E613" s="15" t="s">
        <v>2129</v>
      </c>
      <c r="F613" s="15" t="s">
        <v>2120</v>
      </c>
      <c r="G613" s="15" t="s">
        <v>2133</v>
      </c>
      <c r="H613" s="15">
        <v>1340</v>
      </c>
      <c r="I613" s="15">
        <v>308.39999999999998</v>
      </c>
    </row>
    <row r="614" spans="1:9">
      <c r="A614" s="13">
        <v>44789</v>
      </c>
      <c r="B614" s="91">
        <f t="shared" si="11"/>
        <v>2022</v>
      </c>
      <c r="C614" s="15" t="s">
        <v>2113</v>
      </c>
      <c r="D614" s="15" t="s">
        <v>2114</v>
      </c>
      <c r="E614" s="15" t="s">
        <v>2143</v>
      </c>
      <c r="F614" s="15" t="s">
        <v>2116</v>
      </c>
      <c r="G614" s="15" t="s">
        <v>2117</v>
      </c>
      <c r="H614" s="15">
        <v>6042</v>
      </c>
      <c r="I614" s="15">
        <v>1476.5</v>
      </c>
    </row>
    <row r="615" spans="1:9">
      <c r="A615" s="13">
        <v>44975</v>
      </c>
      <c r="B615" s="91">
        <f t="shared" si="11"/>
        <v>2023</v>
      </c>
      <c r="C615" s="15" t="s">
        <v>2141</v>
      </c>
      <c r="D615" s="15" t="s">
        <v>2126</v>
      </c>
      <c r="E615" s="15" t="s">
        <v>2119</v>
      </c>
      <c r="F615" s="15" t="s">
        <v>2120</v>
      </c>
      <c r="G615" s="15" t="s">
        <v>2133</v>
      </c>
      <c r="H615" s="15">
        <v>3944</v>
      </c>
      <c r="I615" s="15">
        <v>1085.32</v>
      </c>
    </row>
    <row r="616" spans="1:9">
      <c r="A616" s="13">
        <v>44804</v>
      </c>
      <c r="B616" s="91">
        <f t="shared" si="11"/>
        <v>2022</v>
      </c>
      <c r="C616" s="15" t="s">
        <v>104</v>
      </c>
      <c r="D616" s="15" t="s">
        <v>2114</v>
      </c>
      <c r="E616" s="15" t="s">
        <v>2115</v>
      </c>
      <c r="F616" s="15" t="s">
        <v>2124</v>
      </c>
      <c r="G616" s="15" t="s">
        <v>2130</v>
      </c>
      <c r="H616" s="15">
        <v>9213</v>
      </c>
      <c r="I616" s="15">
        <v>2420.4899999999998</v>
      </c>
    </row>
    <row r="617" spans="1:9">
      <c r="A617" s="13">
        <v>45533</v>
      </c>
      <c r="B617" s="91">
        <f t="shared" si="11"/>
        <v>2024</v>
      </c>
      <c r="C617" s="15" t="s">
        <v>107</v>
      </c>
      <c r="D617" s="15" t="s">
        <v>2148</v>
      </c>
      <c r="E617" s="15" t="s">
        <v>2134</v>
      </c>
      <c r="F617" s="15" t="s">
        <v>2120</v>
      </c>
      <c r="G617" s="15" t="s">
        <v>2121</v>
      </c>
      <c r="H617" s="15">
        <v>7335</v>
      </c>
      <c r="I617" s="15">
        <v>1945.98</v>
      </c>
    </row>
    <row r="618" spans="1:9">
      <c r="A618" s="13">
        <v>45068</v>
      </c>
      <c r="B618" s="91">
        <f t="shared" si="11"/>
        <v>2023</v>
      </c>
      <c r="C618" s="15" t="s">
        <v>104</v>
      </c>
      <c r="D618" s="15" t="s">
        <v>2118</v>
      </c>
      <c r="E618" s="15" t="s">
        <v>2115</v>
      </c>
      <c r="F618" s="15" t="s">
        <v>2120</v>
      </c>
      <c r="G618" s="15" t="s">
        <v>2133</v>
      </c>
      <c r="H618" s="15">
        <v>5275</v>
      </c>
      <c r="I618" s="15">
        <v>1309.02</v>
      </c>
    </row>
    <row r="619" spans="1:9">
      <c r="A619" s="13">
        <v>45226</v>
      </c>
      <c r="B619" s="91">
        <f t="shared" si="11"/>
        <v>2023</v>
      </c>
      <c r="C619" s="15" t="s">
        <v>104</v>
      </c>
      <c r="D619" s="15" t="s">
        <v>2114</v>
      </c>
      <c r="E619" s="15" t="s">
        <v>2123</v>
      </c>
      <c r="F619" s="15" t="s">
        <v>2124</v>
      </c>
      <c r="G619" s="15" t="s">
        <v>2140</v>
      </c>
      <c r="H619" s="15">
        <v>3616</v>
      </c>
      <c r="I619" s="15">
        <v>877.16</v>
      </c>
    </row>
    <row r="620" spans="1:9">
      <c r="A620" s="13">
        <v>45325</v>
      </c>
      <c r="B620" s="91">
        <f t="shared" si="11"/>
        <v>2024</v>
      </c>
      <c r="C620" s="15" t="s">
        <v>107</v>
      </c>
      <c r="D620" s="15" t="s">
        <v>2153</v>
      </c>
      <c r="E620" s="15" t="s">
        <v>2123</v>
      </c>
      <c r="F620" s="15" t="s">
        <v>2120</v>
      </c>
      <c r="G620" s="15" t="s">
        <v>2133</v>
      </c>
      <c r="H620" s="15">
        <v>3876</v>
      </c>
      <c r="I620" s="15">
        <v>981.33</v>
      </c>
    </row>
    <row r="621" spans="1:9">
      <c r="A621" s="13">
        <v>44776</v>
      </c>
      <c r="B621" s="91">
        <f t="shared" si="11"/>
        <v>2022</v>
      </c>
      <c r="C621" s="15" t="s">
        <v>107</v>
      </c>
      <c r="D621" s="15" t="s">
        <v>2131</v>
      </c>
      <c r="E621" s="15" t="s">
        <v>2129</v>
      </c>
      <c r="F621" s="15" t="s">
        <v>2116</v>
      </c>
      <c r="G621" s="15" t="s">
        <v>2154</v>
      </c>
      <c r="H621" s="15">
        <v>9919</v>
      </c>
      <c r="I621" s="15">
        <v>2819.9</v>
      </c>
    </row>
    <row r="622" spans="1:9">
      <c r="A622" s="13">
        <v>45096</v>
      </c>
      <c r="B622" s="91">
        <f t="shared" si="11"/>
        <v>2023</v>
      </c>
      <c r="C622" s="15" t="s">
        <v>2113</v>
      </c>
      <c r="D622" s="15" t="s">
        <v>2135</v>
      </c>
      <c r="E622" s="15" t="s">
        <v>2129</v>
      </c>
      <c r="F622" s="15" t="s">
        <v>2120</v>
      </c>
      <c r="G622" s="15" t="s">
        <v>2121</v>
      </c>
      <c r="H622" s="15">
        <v>1297</v>
      </c>
      <c r="I622" s="15">
        <v>277.08999999999997</v>
      </c>
    </row>
    <row r="623" spans="1:9">
      <c r="A623" s="13">
        <v>45577</v>
      </c>
      <c r="B623" s="91">
        <f t="shared" si="11"/>
        <v>2024</v>
      </c>
      <c r="C623" s="15" t="s">
        <v>104</v>
      </c>
      <c r="D623" s="15" t="s">
        <v>2114</v>
      </c>
      <c r="E623" s="15" t="s">
        <v>2115</v>
      </c>
      <c r="F623" s="15" t="s">
        <v>2116</v>
      </c>
      <c r="G623" s="15" t="s">
        <v>2127</v>
      </c>
      <c r="H623" s="15">
        <v>1624</v>
      </c>
      <c r="I623" s="15">
        <v>448.75</v>
      </c>
    </row>
    <row r="624" spans="1:9">
      <c r="A624" s="13">
        <v>44741</v>
      </c>
      <c r="B624" s="91">
        <f t="shared" si="11"/>
        <v>2022</v>
      </c>
      <c r="C624" s="15" t="s">
        <v>107</v>
      </c>
      <c r="D624" s="15" t="s">
        <v>2135</v>
      </c>
      <c r="E624" s="15" t="s">
        <v>2119</v>
      </c>
      <c r="F624" s="15" t="s">
        <v>2120</v>
      </c>
      <c r="G624" s="15" t="s">
        <v>2121</v>
      </c>
      <c r="H624" s="15">
        <v>7680</v>
      </c>
      <c r="I624" s="15">
        <v>1133.3900000000001</v>
      </c>
    </row>
    <row r="625" spans="1:9">
      <c r="A625" s="13">
        <v>44948</v>
      </c>
      <c r="B625" s="91">
        <f t="shared" si="11"/>
        <v>2023</v>
      </c>
      <c r="C625" s="15" t="s">
        <v>2141</v>
      </c>
      <c r="D625" s="15" t="s">
        <v>2135</v>
      </c>
      <c r="E625" s="15" t="s">
        <v>2144</v>
      </c>
      <c r="F625" s="15" t="s">
        <v>2116</v>
      </c>
      <c r="G625" s="15" t="s">
        <v>2127</v>
      </c>
      <c r="H625" s="15">
        <v>4502</v>
      </c>
      <c r="I625" s="15">
        <v>1219.3699999999999</v>
      </c>
    </row>
    <row r="626" spans="1:9">
      <c r="A626" s="13">
        <v>44753</v>
      </c>
      <c r="B626" s="91">
        <f t="shared" si="11"/>
        <v>2022</v>
      </c>
      <c r="C626" s="15" t="s">
        <v>104</v>
      </c>
      <c r="D626" s="15" t="s">
        <v>2126</v>
      </c>
      <c r="E626" s="15" t="s">
        <v>2136</v>
      </c>
      <c r="F626" s="15" t="s">
        <v>2120</v>
      </c>
      <c r="G626" s="15" t="s">
        <v>2132</v>
      </c>
      <c r="H626" s="15">
        <v>6757</v>
      </c>
      <c r="I626" s="15">
        <v>692.65</v>
      </c>
    </row>
    <row r="627" spans="1:9">
      <c r="A627" s="13">
        <v>45187</v>
      </c>
      <c r="B627" s="91">
        <f t="shared" si="11"/>
        <v>2023</v>
      </c>
      <c r="C627" s="15" t="s">
        <v>2141</v>
      </c>
      <c r="D627" s="15" t="s">
        <v>2142</v>
      </c>
      <c r="E627" s="15" t="s">
        <v>2123</v>
      </c>
      <c r="F627" s="15" t="s">
        <v>2116</v>
      </c>
      <c r="G627" s="15" t="s">
        <v>2154</v>
      </c>
      <c r="H627" s="15">
        <v>1655</v>
      </c>
      <c r="I627" s="15">
        <v>431.56</v>
      </c>
    </row>
    <row r="628" spans="1:9">
      <c r="A628" s="13">
        <v>44773</v>
      </c>
      <c r="B628" s="91">
        <f t="shared" si="11"/>
        <v>2022</v>
      </c>
      <c r="C628" s="15" t="s">
        <v>2113</v>
      </c>
      <c r="D628" s="15" t="s">
        <v>2152</v>
      </c>
      <c r="E628" s="15" t="s">
        <v>2145</v>
      </c>
      <c r="F628" s="15" t="s">
        <v>2124</v>
      </c>
      <c r="G628" s="15" t="s">
        <v>2140</v>
      </c>
      <c r="H628" s="15">
        <v>3142</v>
      </c>
      <c r="I628" s="15">
        <v>512.61</v>
      </c>
    </row>
    <row r="629" spans="1:9">
      <c r="A629" s="13">
        <v>45644</v>
      </c>
      <c r="B629" s="91">
        <f t="shared" si="11"/>
        <v>2024</v>
      </c>
      <c r="C629" s="15" t="s">
        <v>107</v>
      </c>
      <c r="D629" s="15" t="s">
        <v>2142</v>
      </c>
      <c r="E629" s="15" t="s">
        <v>2123</v>
      </c>
      <c r="F629" s="15" t="s">
        <v>2120</v>
      </c>
      <c r="G629" s="15" t="s">
        <v>2133</v>
      </c>
      <c r="H629" s="15">
        <v>5564</v>
      </c>
      <c r="I629" s="15">
        <v>1648.11</v>
      </c>
    </row>
    <row r="630" spans="1:9">
      <c r="A630" s="13">
        <v>44614</v>
      </c>
      <c r="B630" s="91">
        <f t="shared" si="11"/>
        <v>2022</v>
      </c>
      <c r="C630" s="15" t="s">
        <v>104</v>
      </c>
      <c r="D630" s="15" t="s">
        <v>2148</v>
      </c>
      <c r="E630" s="15" t="s">
        <v>2115</v>
      </c>
      <c r="F630" s="15" t="s">
        <v>2124</v>
      </c>
      <c r="G630" s="15" t="s">
        <v>2125</v>
      </c>
      <c r="H630" s="15">
        <v>1871</v>
      </c>
      <c r="I630" s="15">
        <v>382.02</v>
      </c>
    </row>
    <row r="631" spans="1:9">
      <c r="A631" s="13">
        <v>44660</v>
      </c>
      <c r="B631" s="91">
        <f t="shared" si="11"/>
        <v>2022</v>
      </c>
      <c r="C631" s="15" t="s">
        <v>107</v>
      </c>
      <c r="D631" s="15" t="s">
        <v>2148</v>
      </c>
      <c r="E631" s="15" t="s">
        <v>2115</v>
      </c>
      <c r="F631" s="15" t="s">
        <v>2124</v>
      </c>
      <c r="G631" s="15" t="s">
        <v>2130</v>
      </c>
      <c r="H631" s="15">
        <v>4365</v>
      </c>
      <c r="I631" s="15">
        <v>671.54</v>
      </c>
    </row>
    <row r="632" spans="1:9">
      <c r="A632" s="13">
        <v>44899</v>
      </c>
      <c r="B632" s="91">
        <f t="shared" si="11"/>
        <v>2022</v>
      </c>
      <c r="C632" s="15" t="s">
        <v>104</v>
      </c>
      <c r="D632" s="15" t="s">
        <v>2126</v>
      </c>
      <c r="E632" s="15" t="s">
        <v>2151</v>
      </c>
      <c r="F632" s="15" t="s">
        <v>2120</v>
      </c>
      <c r="G632" s="15" t="s">
        <v>2133</v>
      </c>
      <c r="H632" s="15">
        <v>1743</v>
      </c>
      <c r="I632" s="15">
        <v>222.15</v>
      </c>
    </row>
    <row r="633" spans="1:9">
      <c r="A633" s="13">
        <v>45380</v>
      </c>
      <c r="B633" s="91">
        <f t="shared" si="11"/>
        <v>2024</v>
      </c>
      <c r="C633" s="15" t="s">
        <v>2113</v>
      </c>
      <c r="D633" s="15" t="s">
        <v>2135</v>
      </c>
      <c r="E633" s="15" t="s">
        <v>2143</v>
      </c>
      <c r="F633" s="15" t="s">
        <v>2120</v>
      </c>
      <c r="G633" s="15" t="s">
        <v>2121</v>
      </c>
      <c r="H633" s="15">
        <v>2965</v>
      </c>
      <c r="I633" s="15">
        <v>640.91999999999996</v>
      </c>
    </row>
    <row r="634" spans="1:9">
      <c r="A634" s="13">
        <v>44617</v>
      </c>
      <c r="B634" s="91">
        <f t="shared" si="11"/>
        <v>2022</v>
      </c>
      <c r="C634" s="15" t="s">
        <v>2113</v>
      </c>
      <c r="D634" s="15" t="s">
        <v>2153</v>
      </c>
      <c r="E634" s="15" t="s">
        <v>2143</v>
      </c>
      <c r="F634" s="15" t="s">
        <v>2124</v>
      </c>
      <c r="G634" s="15" t="s">
        <v>2125</v>
      </c>
      <c r="H634" s="15">
        <v>7251</v>
      </c>
      <c r="I634" s="15">
        <v>1973.29</v>
      </c>
    </row>
    <row r="635" spans="1:9">
      <c r="A635" s="13">
        <v>44658</v>
      </c>
      <c r="B635" s="91">
        <f t="shared" si="11"/>
        <v>2022</v>
      </c>
      <c r="C635" s="15" t="s">
        <v>104</v>
      </c>
      <c r="D635" s="15" t="s">
        <v>2128</v>
      </c>
      <c r="E635" s="15" t="s">
        <v>2144</v>
      </c>
      <c r="F635" s="15" t="s">
        <v>2120</v>
      </c>
      <c r="G635" s="15" t="s">
        <v>2121</v>
      </c>
      <c r="H635" s="15">
        <v>7946</v>
      </c>
      <c r="I635" s="15">
        <v>2170.5300000000002</v>
      </c>
    </row>
    <row r="636" spans="1:9">
      <c r="A636" s="13">
        <v>45100</v>
      </c>
      <c r="B636" s="91">
        <f t="shared" si="11"/>
        <v>2023</v>
      </c>
      <c r="C636" s="15" t="s">
        <v>2141</v>
      </c>
      <c r="D636" s="15" t="s">
        <v>2148</v>
      </c>
      <c r="E636" s="15" t="s">
        <v>2123</v>
      </c>
      <c r="F636" s="15" t="s">
        <v>2120</v>
      </c>
      <c r="G636" s="15" t="s">
        <v>2133</v>
      </c>
      <c r="H636" s="15">
        <v>9344</v>
      </c>
      <c r="I636" s="15">
        <v>2707.28</v>
      </c>
    </row>
    <row r="637" spans="1:9">
      <c r="A637" s="13">
        <v>44847</v>
      </c>
      <c r="B637" s="91">
        <f t="shared" si="11"/>
        <v>2022</v>
      </c>
      <c r="C637" s="15" t="s">
        <v>2141</v>
      </c>
      <c r="D637" s="15" t="s">
        <v>2126</v>
      </c>
      <c r="E637" s="15" t="s">
        <v>2151</v>
      </c>
      <c r="F637" s="15" t="s">
        <v>2116</v>
      </c>
      <c r="G637" s="15" t="s">
        <v>2117</v>
      </c>
      <c r="H637" s="15">
        <v>5926</v>
      </c>
      <c r="I637" s="15">
        <v>1332.16</v>
      </c>
    </row>
    <row r="638" spans="1:9">
      <c r="A638" s="13">
        <v>45070</v>
      </c>
      <c r="B638" s="91">
        <f t="shared" si="11"/>
        <v>2023</v>
      </c>
      <c r="C638" s="15" t="s">
        <v>107</v>
      </c>
      <c r="D638" s="15" t="s">
        <v>2131</v>
      </c>
      <c r="E638" s="15" t="s">
        <v>2151</v>
      </c>
      <c r="F638" s="15" t="s">
        <v>2116</v>
      </c>
      <c r="G638" s="15" t="s">
        <v>2117</v>
      </c>
      <c r="H638" s="15">
        <v>4895</v>
      </c>
      <c r="I638" s="15">
        <v>586.95000000000005</v>
      </c>
    </row>
    <row r="639" spans="1:9">
      <c r="A639" s="13">
        <v>45075</v>
      </c>
      <c r="B639" s="91">
        <f t="shared" si="11"/>
        <v>2023</v>
      </c>
      <c r="C639" s="15" t="s">
        <v>2141</v>
      </c>
      <c r="D639" s="15" t="s">
        <v>2148</v>
      </c>
      <c r="E639" s="15" t="s">
        <v>2123</v>
      </c>
      <c r="F639" s="15" t="s">
        <v>2138</v>
      </c>
      <c r="G639" s="15" t="s">
        <v>2139</v>
      </c>
      <c r="H639" s="15">
        <v>4922</v>
      </c>
      <c r="I639" s="15">
        <v>1092.32</v>
      </c>
    </row>
    <row r="640" spans="1:9">
      <c r="A640" s="13">
        <v>45492</v>
      </c>
      <c r="B640" s="91">
        <f t="shared" si="11"/>
        <v>2024</v>
      </c>
      <c r="C640" s="15" t="s">
        <v>2141</v>
      </c>
      <c r="D640" s="15" t="s">
        <v>2114</v>
      </c>
      <c r="E640" s="15" t="s">
        <v>2134</v>
      </c>
      <c r="F640" s="15" t="s">
        <v>2124</v>
      </c>
      <c r="G640" s="15" t="s">
        <v>2140</v>
      </c>
      <c r="H640" s="15">
        <v>3210</v>
      </c>
      <c r="I640" s="15">
        <v>705.44</v>
      </c>
    </row>
    <row r="641" spans="1:9">
      <c r="A641" s="13">
        <v>45028</v>
      </c>
      <c r="B641" s="91">
        <f t="shared" si="11"/>
        <v>2023</v>
      </c>
      <c r="C641" s="15" t="s">
        <v>2113</v>
      </c>
      <c r="D641" s="15" t="s">
        <v>2152</v>
      </c>
      <c r="E641" s="15" t="s">
        <v>2144</v>
      </c>
      <c r="F641" s="15" t="s">
        <v>2120</v>
      </c>
      <c r="G641" s="15" t="s">
        <v>2132</v>
      </c>
      <c r="H641" s="15">
        <v>5542</v>
      </c>
      <c r="I641" s="15">
        <v>1574.17</v>
      </c>
    </row>
    <row r="642" spans="1:9">
      <c r="A642" s="13">
        <v>44766</v>
      </c>
      <c r="B642" s="91">
        <f t="shared" si="11"/>
        <v>2022</v>
      </c>
      <c r="C642" s="15" t="s">
        <v>107</v>
      </c>
      <c r="D642" s="15" t="s">
        <v>2152</v>
      </c>
      <c r="E642" s="15" t="s">
        <v>2119</v>
      </c>
      <c r="F642" s="15" t="s">
        <v>2124</v>
      </c>
      <c r="G642" s="15" t="s">
        <v>2125</v>
      </c>
      <c r="H642" s="15">
        <v>5032</v>
      </c>
      <c r="I642" s="15">
        <v>1402.68</v>
      </c>
    </row>
    <row r="643" spans="1:9">
      <c r="A643" s="13">
        <v>45532</v>
      </c>
      <c r="B643" s="91">
        <f t="shared" ref="B643:B706" si="12">YEAR(A643)</f>
        <v>2024</v>
      </c>
      <c r="C643" s="15" t="s">
        <v>2113</v>
      </c>
      <c r="D643" s="15" t="s">
        <v>2118</v>
      </c>
      <c r="E643" s="15" t="s">
        <v>2143</v>
      </c>
      <c r="F643" s="15" t="s">
        <v>2116</v>
      </c>
      <c r="G643" s="15" t="s">
        <v>2154</v>
      </c>
      <c r="H643" s="15">
        <v>6935</v>
      </c>
      <c r="I643" s="15">
        <v>1627.22</v>
      </c>
    </row>
    <row r="644" spans="1:9">
      <c r="A644" s="13">
        <v>45577</v>
      </c>
      <c r="B644" s="91">
        <f t="shared" si="12"/>
        <v>2024</v>
      </c>
      <c r="C644" s="15" t="s">
        <v>104</v>
      </c>
      <c r="D644" s="15" t="s">
        <v>2118</v>
      </c>
      <c r="E644" s="15" t="s">
        <v>2143</v>
      </c>
      <c r="F644" s="15" t="s">
        <v>2124</v>
      </c>
      <c r="G644" s="15" t="s">
        <v>2140</v>
      </c>
      <c r="H644" s="15">
        <v>9815</v>
      </c>
      <c r="I644" s="15">
        <v>2814.16</v>
      </c>
    </row>
    <row r="645" spans="1:9">
      <c r="A645" s="13">
        <v>45535</v>
      </c>
      <c r="B645" s="91">
        <f t="shared" si="12"/>
        <v>2024</v>
      </c>
      <c r="C645" s="15" t="s">
        <v>2141</v>
      </c>
      <c r="D645" s="15" t="s">
        <v>2126</v>
      </c>
      <c r="E645" s="15" t="s">
        <v>2115</v>
      </c>
      <c r="F645" s="15" t="s">
        <v>2124</v>
      </c>
      <c r="G645" s="15" t="s">
        <v>2125</v>
      </c>
      <c r="H645" s="15">
        <v>9151</v>
      </c>
      <c r="I645" s="15">
        <v>2660.86</v>
      </c>
    </row>
    <row r="646" spans="1:9">
      <c r="A646" s="13">
        <v>45545</v>
      </c>
      <c r="B646" s="91">
        <f t="shared" si="12"/>
        <v>2024</v>
      </c>
      <c r="C646" s="15" t="s">
        <v>107</v>
      </c>
      <c r="D646" s="15" t="s">
        <v>2152</v>
      </c>
      <c r="E646" s="15" t="s">
        <v>2151</v>
      </c>
      <c r="F646" s="15" t="s">
        <v>2124</v>
      </c>
      <c r="G646" s="15" t="s">
        <v>2140</v>
      </c>
      <c r="H646" s="15">
        <v>8351</v>
      </c>
      <c r="I646" s="15">
        <v>1551.96</v>
      </c>
    </row>
    <row r="647" spans="1:9">
      <c r="A647" s="13">
        <v>45152</v>
      </c>
      <c r="B647" s="91">
        <f t="shared" si="12"/>
        <v>2023</v>
      </c>
      <c r="C647" s="15" t="s">
        <v>107</v>
      </c>
      <c r="D647" s="15" t="s">
        <v>2148</v>
      </c>
      <c r="E647" s="15" t="s">
        <v>2151</v>
      </c>
      <c r="F647" s="15" t="s">
        <v>2124</v>
      </c>
      <c r="G647" s="15" t="s">
        <v>2140</v>
      </c>
      <c r="H647" s="15">
        <v>9487</v>
      </c>
      <c r="I647" s="15">
        <v>1055.83</v>
      </c>
    </row>
    <row r="648" spans="1:9">
      <c r="A648" s="13">
        <v>45042</v>
      </c>
      <c r="B648" s="91">
        <f t="shared" si="12"/>
        <v>2023</v>
      </c>
      <c r="C648" s="15" t="s">
        <v>104</v>
      </c>
      <c r="D648" s="15" t="s">
        <v>2142</v>
      </c>
      <c r="E648" s="15" t="s">
        <v>2136</v>
      </c>
      <c r="F648" s="15" t="s">
        <v>2124</v>
      </c>
      <c r="G648" s="15" t="s">
        <v>2130</v>
      </c>
      <c r="H648" s="15">
        <v>5674</v>
      </c>
      <c r="I648" s="15">
        <v>1038.72</v>
      </c>
    </row>
    <row r="649" spans="1:9">
      <c r="A649" s="13">
        <v>45314</v>
      </c>
      <c r="B649" s="91">
        <f t="shared" si="12"/>
        <v>2024</v>
      </c>
      <c r="C649" s="15" t="s">
        <v>2141</v>
      </c>
      <c r="D649" s="15" t="s">
        <v>2128</v>
      </c>
      <c r="E649" s="15" t="s">
        <v>2129</v>
      </c>
      <c r="F649" s="15" t="s">
        <v>2124</v>
      </c>
      <c r="G649" s="15" t="s">
        <v>2130</v>
      </c>
      <c r="H649" s="15">
        <v>7112</v>
      </c>
      <c r="I649" s="15">
        <v>1302.51</v>
      </c>
    </row>
    <row r="650" spans="1:9">
      <c r="A650" s="13">
        <v>44929</v>
      </c>
      <c r="B650" s="91">
        <f t="shared" si="12"/>
        <v>2023</v>
      </c>
      <c r="C650" s="15" t="s">
        <v>107</v>
      </c>
      <c r="D650" s="15" t="s">
        <v>2142</v>
      </c>
      <c r="E650" s="15" t="s">
        <v>2151</v>
      </c>
      <c r="F650" s="15" t="s">
        <v>2124</v>
      </c>
      <c r="G650" s="15" t="s">
        <v>2125</v>
      </c>
      <c r="H650" s="15">
        <v>9856</v>
      </c>
      <c r="I650" s="15">
        <v>1116</v>
      </c>
    </row>
    <row r="651" spans="1:9">
      <c r="A651" s="13">
        <v>45581</v>
      </c>
      <c r="B651" s="91">
        <f t="shared" si="12"/>
        <v>2024</v>
      </c>
      <c r="C651" s="15" t="s">
        <v>2113</v>
      </c>
      <c r="D651" s="15" t="s">
        <v>2153</v>
      </c>
      <c r="E651" s="15" t="s">
        <v>2119</v>
      </c>
      <c r="F651" s="15" t="s">
        <v>2124</v>
      </c>
      <c r="G651" s="15" t="s">
        <v>2140</v>
      </c>
      <c r="H651" s="15">
        <v>2296</v>
      </c>
      <c r="I651" s="15">
        <v>459.92</v>
      </c>
    </row>
    <row r="652" spans="1:9">
      <c r="A652" s="13">
        <v>45118</v>
      </c>
      <c r="B652" s="91">
        <f t="shared" si="12"/>
        <v>2023</v>
      </c>
      <c r="C652" s="15" t="s">
        <v>104</v>
      </c>
      <c r="D652" s="15" t="s">
        <v>2135</v>
      </c>
      <c r="E652" s="15" t="s">
        <v>2144</v>
      </c>
      <c r="F652" s="15" t="s">
        <v>2116</v>
      </c>
      <c r="G652" s="15" t="s">
        <v>2127</v>
      </c>
      <c r="H652" s="15">
        <v>9288</v>
      </c>
      <c r="I652" s="15">
        <v>2374.13</v>
      </c>
    </row>
    <row r="653" spans="1:9">
      <c r="A653" s="13">
        <v>45557</v>
      </c>
      <c r="B653" s="91">
        <f t="shared" si="12"/>
        <v>2024</v>
      </c>
      <c r="C653" s="15" t="s">
        <v>2113</v>
      </c>
      <c r="D653" s="15" t="s">
        <v>2148</v>
      </c>
      <c r="E653" s="15" t="s">
        <v>2134</v>
      </c>
      <c r="F653" s="15" t="s">
        <v>2138</v>
      </c>
      <c r="G653" s="15" t="s">
        <v>2139</v>
      </c>
      <c r="H653" s="15">
        <v>1958</v>
      </c>
      <c r="I653" s="15">
        <v>527.21</v>
      </c>
    </row>
    <row r="654" spans="1:9">
      <c r="A654" s="13">
        <v>45057</v>
      </c>
      <c r="B654" s="91">
        <f t="shared" si="12"/>
        <v>2023</v>
      </c>
      <c r="C654" s="15" t="s">
        <v>107</v>
      </c>
      <c r="D654" s="15" t="s">
        <v>2118</v>
      </c>
      <c r="E654" s="15" t="s">
        <v>2144</v>
      </c>
      <c r="F654" s="15" t="s">
        <v>2116</v>
      </c>
      <c r="G654" s="15" t="s">
        <v>2117</v>
      </c>
      <c r="H654" s="15">
        <v>3398</v>
      </c>
      <c r="I654" s="15">
        <v>746.54</v>
      </c>
    </row>
    <row r="655" spans="1:9">
      <c r="A655" s="13">
        <v>44939</v>
      </c>
      <c r="B655" s="91">
        <f t="shared" si="12"/>
        <v>2023</v>
      </c>
      <c r="C655" s="15" t="s">
        <v>107</v>
      </c>
      <c r="D655" s="15" t="s">
        <v>2131</v>
      </c>
      <c r="E655" s="15" t="s">
        <v>2136</v>
      </c>
      <c r="F655" s="15" t="s">
        <v>2124</v>
      </c>
      <c r="G655" s="15" t="s">
        <v>2140</v>
      </c>
      <c r="H655" s="15">
        <v>8801</v>
      </c>
      <c r="I655" s="15">
        <v>2324.7800000000002</v>
      </c>
    </row>
    <row r="656" spans="1:9">
      <c r="A656" s="13">
        <v>45616</v>
      </c>
      <c r="B656" s="91">
        <f t="shared" si="12"/>
        <v>2024</v>
      </c>
      <c r="C656" s="15" t="s">
        <v>104</v>
      </c>
      <c r="D656" s="15" t="s">
        <v>2118</v>
      </c>
      <c r="E656" s="15" t="s">
        <v>2145</v>
      </c>
      <c r="F656" s="15" t="s">
        <v>2138</v>
      </c>
      <c r="G656" s="15" t="s">
        <v>2149</v>
      </c>
      <c r="H656" s="15">
        <v>6736</v>
      </c>
      <c r="I656" s="15">
        <v>735.13</v>
      </c>
    </row>
    <row r="657" spans="1:9">
      <c r="A657" s="13">
        <v>44732</v>
      </c>
      <c r="B657" s="91">
        <f t="shared" si="12"/>
        <v>2022</v>
      </c>
      <c r="C657" s="15" t="s">
        <v>2141</v>
      </c>
      <c r="D657" s="15" t="s">
        <v>2114</v>
      </c>
      <c r="E657" s="15" t="s">
        <v>2115</v>
      </c>
      <c r="F657" s="15" t="s">
        <v>2138</v>
      </c>
      <c r="G657" s="15" t="s">
        <v>2139</v>
      </c>
      <c r="H657" s="15">
        <v>7834</v>
      </c>
      <c r="I657" s="15">
        <v>837.16</v>
      </c>
    </row>
    <row r="658" spans="1:9">
      <c r="A658" s="13">
        <v>45080</v>
      </c>
      <c r="B658" s="91">
        <f t="shared" si="12"/>
        <v>2023</v>
      </c>
      <c r="C658" s="15" t="s">
        <v>107</v>
      </c>
      <c r="D658" s="15" t="s">
        <v>2142</v>
      </c>
      <c r="E658" s="15" t="s">
        <v>2115</v>
      </c>
      <c r="F658" s="15" t="s">
        <v>2116</v>
      </c>
      <c r="G658" s="15" t="s">
        <v>2127</v>
      </c>
      <c r="H658" s="15">
        <v>4391</v>
      </c>
      <c r="I658" s="15">
        <v>677.17</v>
      </c>
    </row>
    <row r="659" spans="1:9">
      <c r="A659" s="13">
        <v>45316</v>
      </c>
      <c r="B659" s="91">
        <f t="shared" si="12"/>
        <v>2024</v>
      </c>
      <c r="C659" s="15" t="s">
        <v>2141</v>
      </c>
      <c r="D659" s="15" t="s">
        <v>2135</v>
      </c>
      <c r="E659" s="15" t="s">
        <v>2129</v>
      </c>
      <c r="F659" s="15" t="s">
        <v>2120</v>
      </c>
      <c r="G659" s="15" t="s">
        <v>2132</v>
      </c>
      <c r="H659" s="15">
        <v>1499</v>
      </c>
      <c r="I659" s="15">
        <v>404.41</v>
      </c>
    </row>
    <row r="660" spans="1:9">
      <c r="A660" s="13">
        <v>45394</v>
      </c>
      <c r="B660" s="91">
        <f t="shared" si="12"/>
        <v>2024</v>
      </c>
      <c r="C660" s="15" t="s">
        <v>104</v>
      </c>
      <c r="D660" s="15" t="s">
        <v>2118</v>
      </c>
      <c r="E660" s="15" t="s">
        <v>2151</v>
      </c>
      <c r="F660" s="15" t="s">
        <v>2120</v>
      </c>
      <c r="G660" s="15" t="s">
        <v>2133</v>
      </c>
      <c r="H660" s="15">
        <v>5492</v>
      </c>
      <c r="I660" s="15">
        <v>1460.81</v>
      </c>
    </row>
    <row r="661" spans="1:9">
      <c r="A661" s="13">
        <v>45049</v>
      </c>
      <c r="B661" s="91">
        <f t="shared" si="12"/>
        <v>2023</v>
      </c>
      <c r="C661" s="15" t="s">
        <v>104</v>
      </c>
      <c r="D661" s="15" t="s">
        <v>2152</v>
      </c>
      <c r="E661" s="15" t="s">
        <v>2136</v>
      </c>
      <c r="F661" s="15" t="s">
        <v>2120</v>
      </c>
      <c r="G661" s="15" t="s">
        <v>2121</v>
      </c>
      <c r="H661" s="15">
        <v>4294</v>
      </c>
      <c r="I661" s="15">
        <v>782.97</v>
      </c>
    </row>
    <row r="662" spans="1:9">
      <c r="A662" s="13">
        <v>44707</v>
      </c>
      <c r="B662" s="91">
        <f t="shared" si="12"/>
        <v>2022</v>
      </c>
      <c r="C662" s="15" t="s">
        <v>107</v>
      </c>
      <c r="D662" s="15" t="s">
        <v>2131</v>
      </c>
      <c r="E662" s="15" t="s">
        <v>2151</v>
      </c>
      <c r="F662" s="15" t="s">
        <v>2138</v>
      </c>
      <c r="G662" s="15" t="s">
        <v>2146</v>
      </c>
      <c r="H662" s="15">
        <v>9778</v>
      </c>
      <c r="I662" s="15">
        <v>2822.98</v>
      </c>
    </row>
    <row r="663" spans="1:9">
      <c r="A663" s="13">
        <v>45308</v>
      </c>
      <c r="B663" s="91">
        <f t="shared" si="12"/>
        <v>2024</v>
      </c>
      <c r="C663" s="15" t="s">
        <v>2113</v>
      </c>
      <c r="D663" s="15" t="s">
        <v>2142</v>
      </c>
      <c r="E663" s="15" t="s">
        <v>2144</v>
      </c>
      <c r="F663" s="15" t="s">
        <v>2124</v>
      </c>
      <c r="G663" s="15" t="s">
        <v>2130</v>
      </c>
      <c r="H663" s="15">
        <v>4415</v>
      </c>
      <c r="I663" s="15">
        <v>588.59</v>
      </c>
    </row>
    <row r="664" spans="1:9">
      <c r="A664" s="13">
        <v>45104</v>
      </c>
      <c r="B664" s="91">
        <f t="shared" si="12"/>
        <v>2023</v>
      </c>
      <c r="C664" s="15" t="s">
        <v>104</v>
      </c>
      <c r="D664" s="15" t="s">
        <v>2126</v>
      </c>
      <c r="E664" s="15" t="s">
        <v>2144</v>
      </c>
      <c r="F664" s="15" t="s">
        <v>2124</v>
      </c>
      <c r="G664" s="15" t="s">
        <v>2140</v>
      </c>
      <c r="H664" s="15">
        <v>7197</v>
      </c>
      <c r="I664" s="15">
        <v>959.02</v>
      </c>
    </row>
    <row r="665" spans="1:9">
      <c r="A665" s="13">
        <v>45360</v>
      </c>
      <c r="B665" s="91">
        <f t="shared" si="12"/>
        <v>2024</v>
      </c>
      <c r="C665" s="15" t="s">
        <v>104</v>
      </c>
      <c r="D665" s="15" t="s">
        <v>2114</v>
      </c>
      <c r="E665" s="15" t="s">
        <v>2143</v>
      </c>
      <c r="F665" s="15" t="s">
        <v>2124</v>
      </c>
      <c r="G665" s="15" t="s">
        <v>2130</v>
      </c>
      <c r="H665" s="15">
        <v>9182</v>
      </c>
      <c r="I665" s="15">
        <v>1209.01</v>
      </c>
    </row>
    <row r="666" spans="1:9">
      <c r="A666" s="13">
        <v>44920</v>
      </c>
      <c r="B666" s="91">
        <f t="shared" si="12"/>
        <v>2022</v>
      </c>
      <c r="C666" s="15" t="s">
        <v>107</v>
      </c>
      <c r="D666" s="15" t="s">
        <v>2135</v>
      </c>
      <c r="E666" s="15" t="s">
        <v>2134</v>
      </c>
      <c r="F666" s="15" t="s">
        <v>2116</v>
      </c>
      <c r="G666" s="15" t="s">
        <v>2127</v>
      </c>
      <c r="H666" s="15">
        <v>9365</v>
      </c>
      <c r="I666" s="15">
        <v>2306.4699999999998</v>
      </c>
    </row>
    <row r="667" spans="1:9">
      <c r="A667" s="13">
        <v>45583</v>
      </c>
      <c r="B667" s="91">
        <f t="shared" si="12"/>
        <v>2024</v>
      </c>
      <c r="C667" s="15" t="s">
        <v>107</v>
      </c>
      <c r="D667" s="15" t="s">
        <v>2118</v>
      </c>
      <c r="E667" s="15" t="s">
        <v>2129</v>
      </c>
      <c r="F667" s="15" t="s">
        <v>2120</v>
      </c>
      <c r="G667" s="15" t="s">
        <v>2121</v>
      </c>
      <c r="H667" s="15">
        <v>8801</v>
      </c>
      <c r="I667" s="15">
        <v>1378.88</v>
      </c>
    </row>
    <row r="668" spans="1:9">
      <c r="A668" s="13">
        <v>44946</v>
      </c>
      <c r="B668" s="91">
        <f t="shared" si="12"/>
        <v>2023</v>
      </c>
      <c r="C668" s="15" t="s">
        <v>104</v>
      </c>
      <c r="D668" s="15" t="s">
        <v>2152</v>
      </c>
      <c r="E668" s="15" t="s">
        <v>2145</v>
      </c>
      <c r="F668" s="15" t="s">
        <v>2124</v>
      </c>
      <c r="G668" s="15" t="s">
        <v>2140</v>
      </c>
      <c r="H668" s="15">
        <v>3818</v>
      </c>
      <c r="I668" s="15">
        <v>843.22</v>
      </c>
    </row>
    <row r="669" spans="1:9">
      <c r="A669" s="13">
        <v>45272</v>
      </c>
      <c r="B669" s="91">
        <f t="shared" si="12"/>
        <v>2023</v>
      </c>
      <c r="C669" s="15" t="s">
        <v>2113</v>
      </c>
      <c r="D669" s="15" t="s">
        <v>2118</v>
      </c>
      <c r="E669" s="15" t="s">
        <v>2119</v>
      </c>
      <c r="F669" s="15" t="s">
        <v>2138</v>
      </c>
      <c r="G669" s="15" t="s">
        <v>2139</v>
      </c>
      <c r="H669" s="15">
        <v>1738</v>
      </c>
      <c r="I669" s="15">
        <v>248.34</v>
      </c>
    </row>
    <row r="670" spans="1:9">
      <c r="A670" s="13">
        <v>45504</v>
      </c>
      <c r="B670" s="91">
        <f t="shared" si="12"/>
        <v>2024</v>
      </c>
      <c r="C670" s="15" t="s">
        <v>107</v>
      </c>
      <c r="D670" s="15" t="s">
        <v>2131</v>
      </c>
      <c r="E670" s="15" t="s">
        <v>2143</v>
      </c>
      <c r="F670" s="15" t="s">
        <v>2138</v>
      </c>
      <c r="G670" s="15" t="s">
        <v>2139</v>
      </c>
      <c r="H670" s="15">
        <v>7459</v>
      </c>
      <c r="I670" s="15">
        <v>1903.42</v>
      </c>
    </row>
    <row r="671" spans="1:9">
      <c r="A671" s="13">
        <v>45355</v>
      </c>
      <c r="B671" s="91">
        <f t="shared" si="12"/>
        <v>2024</v>
      </c>
      <c r="C671" s="15" t="s">
        <v>107</v>
      </c>
      <c r="D671" s="15" t="s">
        <v>2142</v>
      </c>
      <c r="E671" s="15" t="s">
        <v>2145</v>
      </c>
      <c r="F671" s="15" t="s">
        <v>2124</v>
      </c>
      <c r="G671" s="15" t="s">
        <v>2130</v>
      </c>
      <c r="H671" s="15">
        <v>6966</v>
      </c>
      <c r="I671" s="15">
        <v>1062.3499999999999</v>
      </c>
    </row>
    <row r="672" spans="1:9">
      <c r="A672" s="13">
        <v>44736</v>
      </c>
      <c r="B672" s="91">
        <f t="shared" si="12"/>
        <v>2022</v>
      </c>
      <c r="C672" s="15" t="s">
        <v>107</v>
      </c>
      <c r="D672" s="15" t="s">
        <v>2142</v>
      </c>
      <c r="E672" s="15" t="s">
        <v>2119</v>
      </c>
      <c r="F672" s="15" t="s">
        <v>2116</v>
      </c>
      <c r="G672" s="15" t="s">
        <v>2117</v>
      </c>
      <c r="H672" s="15">
        <v>9020</v>
      </c>
      <c r="I672" s="15">
        <v>2628.35</v>
      </c>
    </row>
    <row r="673" spans="1:9">
      <c r="A673" s="13">
        <v>44734</v>
      </c>
      <c r="B673" s="91">
        <f t="shared" si="12"/>
        <v>2022</v>
      </c>
      <c r="C673" s="15" t="s">
        <v>2141</v>
      </c>
      <c r="D673" s="15" t="s">
        <v>2135</v>
      </c>
      <c r="E673" s="15" t="s">
        <v>2144</v>
      </c>
      <c r="F673" s="15" t="s">
        <v>2120</v>
      </c>
      <c r="G673" s="15" t="s">
        <v>2133</v>
      </c>
      <c r="H673" s="15">
        <v>5806</v>
      </c>
      <c r="I673" s="15">
        <v>1444.93</v>
      </c>
    </row>
    <row r="674" spans="1:9">
      <c r="A674" s="13">
        <v>45638</v>
      </c>
      <c r="B674" s="91">
        <f t="shared" si="12"/>
        <v>2024</v>
      </c>
      <c r="C674" s="15" t="s">
        <v>2113</v>
      </c>
      <c r="D674" s="15" t="s">
        <v>2148</v>
      </c>
      <c r="E674" s="15" t="s">
        <v>2115</v>
      </c>
      <c r="F674" s="15" t="s">
        <v>2116</v>
      </c>
      <c r="G674" s="15" t="s">
        <v>2117</v>
      </c>
      <c r="H674" s="15">
        <v>8926</v>
      </c>
      <c r="I674" s="15">
        <v>1373.6</v>
      </c>
    </row>
    <row r="675" spans="1:9">
      <c r="A675" s="13">
        <v>44691</v>
      </c>
      <c r="B675" s="91">
        <f t="shared" si="12"/>
        <v>2022</v>
      </c>
      <c r="C675" s="15" t="s">
        <v>2141</v>
      </c>
      <c r="D675" s="15" t="s">
        <v>2128</v>
      </c>
      <c r="E675" s="15" t="s">
        <v>2145</v>
      </c>
      <c r="F675" s="15" t="s">
        <v>2116</v>
      </c>
      <c r="G675" s="15" t="s">
        <v>2154</v>
      </c>
      <c r="H675" s="15">
        <v>3138</v>
      </c>
      <c r="I675" s="15">
        <v>628.97</v>
      </c>
    </row>
    <row r="676" spans="1:9">
      <c r="A676" s="13">
        <v>45380</v>
      </c>
      <c r="B676" s="91">
        <f t="shared" si="12"/>
        <v>2024</v>
      </c>
      <c r="C676" s="15" t="s">
        <v>107</v>
      </c>
      <c r="D676" s="15" t="s">
        <v>2142</v>
      </c>
      <c r="E676" s="15" t="s">
        <v>2123</v>
      </c>
      <c r="F676" s="15" t="s">
        <v>2124</v>
      </c>
      <c r="G676" s="15" t="s">
        <v>2140</v>
      </c>
      <c r="H676" s="15">
        <v>3994</v>
      </c>
      <c r="I676" s="15">
        <v>801.92</v>
      </c>
    </row>
    <row r="677" spans="1:9">
      <c r="A677" s="13">
        <v>45206</v>
      </c>
      <c r="B677" s="91">
        <f t="shared" si="12"/>
        <v>2023</v>
      </c>
      <c r="C677" s="15" t="s">
        <v>104</v>
      </c>
      <c r="D677" s="15" t="s">
        <v>2118</v>
      </c>
      <c r="E677" s="15" t="s">
        <v>2134</v>
      </c>
      <c r="F677" s="15" t="s">
        <v>2116</v>
      </c>
      <c r="G677" s="15" t="s">
        <v>2117</v>
      </c>
      <c r="H677" s="15">
        <v>4912</v>
      </c>
      <c r="I677" s="15">
        <v>1124.49</v>
      </c>
    </row>
    <row r="678" spans="1:9">
      <c r="A678" s="13">
        <v>45322</v>
      </c>
      <c r="B678" s="91">
        <f t="shared" si="12"/>
        <v>2024</v>
      </c>
      <c r="C678" s="15" t="s">
        <v>2113</v>
      </c>
      <c r="D678" s="15" t="s">
        <v>2128</v>
      </c>
      <c r="E678" s="15" t="s">
        <v>2134</v>
      </c>
      <c r="F678" s="15" t="s">
        <v>2124</v>
      </c>
      <c r="G678" s="15" t="s">
        <v>2125</v>
      </c>
      <c r="H678" s="15">
        <v>5079</v>
      </c>
      <c r="I678" s="15">
        <v>1382.76</v>
      </c>
    </row>
    <row r="679" spans="1:9">
      <c r="A679" s="13">
        <v>45528</v>
      </c>
      <c r="B679" s="91">
        <f t="shared" si="12"/>
        <v>2024</v>
      </c>
      <c r="C679" s="15" t="s">
        <v>2141</v>
      </c>
      <c r="D679" s="15" t="s">
        <v>2131</v>
      </c>
      <c r="E679" s="15" t="s">
        <v>2136</v>
      </c>
      <c r="F679" s="15" t="s">
        <v>2124</v>
      </c>
      <c r="G679" s="15" t="s">
        <v>2140</v>
      </c>
      <c r="H679" s="15">
        <v>1546</v>
      </c>
      <c r="I679" s="15">
        <v>345.82</v>
      </c>
    </row>
    <row r="680" spans="1:9">
      <c r="A680" s="13">
        <v>44911</v>
      </c>
      <c r="B680" s="91">
        <f t="shared" si="12"/>
        <v>2022</v>
      </c>
      <c r="C680" s="15" t="s">
        <v>2113</v>
      </c>
      <c r="D680" s="15" t="s">
        <v>2135</v>
      </c>
      <c r="E680" s="15" t="s">
        <v>2143</v>
      </c>
      <c r="F680" s="15" t="s">
        <v>2138</v>
      </c>
      <c r="G680" s="15" t="s">
        <v>2139</v>
      </c>
      <c r="H680" s="15">
        <v>7187</v>
      </c>
      <c r="I680" s="15">
        <v>1431.05</v>
      </c>
    </row>
    <row r="681" spans="1:9">
      <c r="A681" s="13">
        <v>44631</v>
      </c>
      <c r="B681" s="91">
        <f t="shared" si="12"/>
        <v>2022</v>
      </c>
      <c r="C681" s="15" t="s">
        <v>2113</v>
      </c>
      <c r="D681" s="15" t="s">
        <v>2142</v>
      </c>
      <c r="E681" s="15" t="s">
        <v>2145</v>
      </c>
      <c r="F681" s="15" t="s">
        <v>2116</v>
      </c>
      <c r="G681" s="15" t="s">
        <v>2154</v>
      </c>
      <c r="H681" s="15">
        <v>2424</v>
      </c>
      <c r="I681" s="15">
        <v>509.96</v>
      </c>
    </row>
    <row r="682" spans="1:9">
      <c r="A682" s="13">
        <v>45551</v>
      </c>
      <c r="B682" s="91">
        <f t="shared" si="12"/>
        <v>2024</v>
      </c>
      <c r="C682" s="15" t="s">
        <v>104</v>
      </c>
      <c r="D682" s="15" t="s">
        <v>2135</v>
      </c>
      <c r="E682" s="15" t="s">
        <v>2123</v>
      </c>
      <c r="F682" s="15" t="s">
        <v>2120</v>
      </c>
      <c r="G682" s="15" t="s">
        <v>2121</v>
      </c>
      <c r="H682" s="15">
        <v>9367</v>
      </c>
      <c r="I682" s="15">
        <v>2731.4</v>
      </c>
    </row>
    <row r="683" spans="1:9">
      <c r="A683" s="13">
        <v>44571</v>
      </c>
      <c r="B683" s="91">
        <f t="shared" si="12"/>
        <v>2022</v>
      </c>
      <c r="C683" s="15" t="s">
        <v>107</v>
      </c>
      <c r="D683" s="15" t="s">
        <v>2142</v>
      </c>
      <c r="E683" s="15" t="s">
        <v>2115</v>
      </c>
      <c r="F683" s="15" t="s">
        <v>2138</v>
      </c>
      <c r="G683" s="15" t="s">
        <v>2149</v>
      </c>
      <c r="H683" s="15">
        <v>4418</v>
      </c>
      <c r="I683" s="15">
        <v>654.03</v>
      </c>
    </row>
    <row r="684" spans="1:9">
      <c r="A684" s="13">
        <v>45573</v>
      </c>
      <c r="B684" s="91">
        <f t="shared" si="12"/>
        <v>2024</v>
      </c>
      <c r="C684" s="15" t="s">
        <v>107</v>
      </c>
      <c r="D684" s="15" t="s">
        <v>2142</v>
      </c>
      <c r="E684" s="15" t="s">
        <v>2129</v>
      </c>
      <c r="F684" s="15" t="s">
        <v>2116</v>
      </c>
      <c r="G684" s="15" t="s">
        <v>2154</v>
      </c>
      <c r="H684" s="15">
        <v>9678</v>
      </c>
      <c r="I684" s="15">
        <v>1738.24</v>
      </c>
    </row>
    <row r="685" spans="1:9">
      <c r="A685" s="13">
        <v>44694</v>
      </c>
      <c r="B685" s="91">
        <f t="shared" si="12"/>
        <v>2022</v>
      </c>
      <c r="C685" s="15" t="s">
        <v>2113</v>
      </c>
      <c r="D685" s="15" t="s">
        <v>2148</v>
      </c>
      <c r="E685" s="15" t="s">
        <v>2151</v>
      </c>
      <c r="F685" s="15" t="s">
        <v>2124</v>
      </c>
      <c r="G685" s="15" t="s">
        <v>2125</v>
      </c>
      <c r="H685" s="15">
        <v>6969</v>
      </c>
      <c r="I685" s="15">
        <v>1240.49</v>
      </c>
    </row>
    <row r="686" spans="1:9">
      <c r="A686" s="13">
        <v>45274</v>
      </c>
      <c r="B686" s="91">
        <f t="shared" si="12"/>
        <v>2023</v>
      </c>
      <c r="C686" s="15" t="s">
        <v>2141</v>
      </c>
      <c r="D686" s="15" t="s">
        <v>2153</v>
      </c>
      <c r="E686" s="15" t="s">
        <v>2123</v>
      </c>
      <c r="F686" s="15" t="s">
        <v>2116</v>
      </c>
      <c r="G686" s="15" t="s">
        <v>2127</v>
      </c>
      <c r="H686" s="15">
        <v>1207</v>
      </c>
      <c r="I686" s="15">
        <v>253.46</v>
      </c>
    </row>
    <row r="687" spans="1:9">
      <c r="A687" s="13">
        <v>44919</v>
      </c>
      <c r="B687" s="91">
        <f t="shared" si="12"/>
        <v>2022</v>
      </c>
      <c r="C687" s="15" t="s">
        <v>107</v>
      </c>
      <c r="D687" s="15" t="s">
        <v>2142</v>
      </c>
      <c r="E687" s="15" t="s">
        <v>2134</v>
      </c>
      <c r="F687" s="15" t="s">
        <v>2116</v>
      </c>
      <c r="G687" s="15" t="s">
        <v>2154</v>
      </c>
      <c r="H687" s="15">
        <v>4720</v>
      </c>
      <c r="I687" s="15">
        <v>691.82</v>
      </c>
    </row>
    <row r="688" spans="1:9">
      <c r="A688" s="13">
        <v>45517</v>
      </c>
      <c r="B688" s="91">
        <f t="shared" si="12"/>
        <v>2024</v>
      </c>
      <c r="C688" s="15" t="s">
        <v>2113</v>
      </c>
      <c r="D688" s="15" t="s">
        <v>2131</v>
      </c>
      <c r="E688" s="15" t="s">
        <v>2144</v>
      </c>
      <c r="F688" s="15" t="s">
        <v>2138</v>
      </c>
      <c r="G688" s="15" t="s">
        <v>2149</v>
      </c>
      <c r="H688" s="15">
        <v>3246</v>
      </c>
      <c r="I688" s="15">
        <v>501.36</v>
      </c>
    </row>
    <row r="689" spans="1:9">
      <c r="A689" s="13">
        <v>45647</v>
      </c>
      <c r="B689" s="91">
        <f t="shared" si="12"/>
        <v>2024</v>
      </c>
      <c r="C689" s="15" t="s">
        <v>2141</v>
      </c>
      <c r="D689" s="15" t="s">
        <v>2128</v>
      </c>
      <c r="E689" s="15" t="s">
        <v>2123</v>
      </c>
      <c r="F689" s="15" t="s">
        <v>2138</v>
      </c>
      <c r="G689" s="15" t="s">
        <v>2146</v>
      </c>
      <c r="H689" s="15">
        <v>3699</v>
      </c>
      <c r="I689" s="15">
        <v>716.78</v>
      </c>
    </row>
    <row r="690" spans="1:9">
      <c r="A690" s="13">
        <v>44599</v>
      </c>
      <c r="B690" s="91">
        <f t="shared" si="12"/>
        <v>2022</v>
      </c>
      <c r="C690" s="15" t="s">
        <v>2141</v>
      </c>
      <c r="D690" s="15" t="s">
        <v>2118</v>
      </c>
      <c r="E690" s="15" t="s">
        <v>2129</v>
      </c>
      <c r="F690" s="15" t="s">
        <v>2116</v>
      </c>
      <c r="G690" s="15" t="s">
        <v>2154</v>
      </c>
      <c r="H690" s="15">
        <v>4366</v>
      </c>
      <c r="I690" s="15">
        <v>712.99</v>
      </c>
    </row>
    <row r="691" spans="1:9">
      <c r="A691" s="13">
        <v>44626</v>
      </c>
      <c r="B691" s="91">
        <f t="shared" si="12"/>
        <v>2022</v>
      </c>
      <c r="C691" s="15" t="s">
        <v>107</v>
      </c>
      <c r="D691" s="15" t="s">
        <v>2135</v>
      </c>
      <c r="E691" s="15" t="s">
        <v>2151</v>
      </c>
      <c r="F691" s="15" t="s">
        <v>2120</v>
      </c>
      <c r="G691" s="15" t="s">
        <v>2133</v>
      </c>
      <c r="H691" s="15">
        <v>5849</v>
      </c>
      <c r="I691" s="15">
        <v>1149.8599999999999</v>
      </c>
    </row>
    <row r="692" spans="1:9">
      <c r="A692" s="13">
        <v>45179</v>
      </c>
      <c r="B692" s="91">
        <f t="shared" si="12"/>
        <v>2023</v>
      </c>
      <c r="C692" s="15" t="s">
        <v>2141</v>
      </c>
      <c r="D692" s="15" t="s">
        <v>2142</v>
      </c>
      <c r="E692" s="15" t="s">
        <v>2136</v>
      </c>
      <c r="F692" s="15" t="s">
        <v>2124</v>
      </c>
      <c r="G692" s="15" t="s">
        <v>2125</v>
      </c>
      <c r="H692" s="15">
        <v>7312</v>
      </c>
      <c r="I692" s="15">
        <v>1874.46</v>
      </c>
    </row>
    <row r="693" spans="1:9">
      <c r="A693" s="13">
        <v>45187</v>
      </c>
      <c r="B693" s="91">
        <f t="shared" si="12"/>
        <v>2023</v>
      </c>
      <c r="C693" s="15" t="s">
        <v>107</v>
      </c>
      <c r="D693" s="15" t="s">
        <v>2152</v>
      </c>
      <c r="E693" s="15" t="s">
        <v>2123</v>
      </c>
      <c r="F693" s="15" t="s">
        <v>2116</v>
      </c>
      <c r="G693" s="15" t="s">
        <v>2154</v>
      </c>
      <c r="H693" s="15">
        <v>1484</v>
      </c>
      <c r="I693" s="15">
        <v>260.75</v>
      </c>
    </row>
    <row r="694" spans="1:9">
      <c r="A694" s="13">
        <v>45002</v>
      </c>
      <c r="B694" s="91">
        <f t="shared" si="12"/>
        <v>2023</v>
      </c>
      <c r="C694" s="15" t="s">
        <v>2141</v>
      </c>
      <c r="D694" s="15" t="s">
        <v>2114</v>
      </c>
      <c r="E694" s="15" t="s">
        <v>2136</v>
      </c>
      <c r="F694" s="15" t="s">
        <v>2120</v>
      </c>
      <c r="G694" s="15" t="s">
        <v>2121</v>
      </c>
      <c r="H694" s="15">
        <v>4000</v>
      </c>
      <c r="I694" s="15">
        <v>805.72</v>
      </c>
    </row>
    <row r="695" spans="1:9">
      <c r="A695" s="13">
        <v>44668</v>
      </c>
      <c r="B695" s="91">
        <f t="shared" si="12"/>
        <v>2022</v>
      </c>
      <c r="C695" s="15" t="s">
        <v>107</v>
      </c>
      <c r="D695" s="15" t="s">
        <v>2153</v>
      </c>
      <c r="E695" s="15" t="s">
        <v>2134</v>
      </c>
      <c r="F695" s="15" t="s">
        <v>2124</v>
      </c>
      <c r="G695" s="15" t="s">
        <v>2130</v>
      </c>
      <c r="H695" s="15">
        <v>9793</v>
      </c>
      <c r="I695" s="15">
        <v>1292.0999999999999</v>
      </c>
    </row>
    <row r="696" spans="1:9">
      <c r="A696" s="13">
        <v>45241</v>
      </c>
      <c r="B696" s="91">
        <f t="shared" si="12"/>
        <v>2023</v>
      </c>
      <c r="C696" s="15" t="s">
        <v>2141</v>
      </c>
      <c r="D696" s="15" t="s">
        <v>2152</v>
      </c>
      <c r="E696" s="15" t="s">
        <v>2144</v>
      </c>
      <c r="F696" s="15" t="s">
        <v>2120</v>
      </c>
      <c r="G696" s="15" t="s">
        <v>2133</v>
      </c>
      <c r="H696" s="15">
        <v>4541</v>
      </c>
      <c r="I696" s="15">
        <v>1006.73</v>
      </c>
    </row>
    <row r="697" spans="1:9">
      <c r="A697" s="13">
        <v>45648</v>
      </c>
      <c r="B697" s="91">
        <f t="shared" si="12"/>
        <v>2024</v>
      </c>
      <c r="C697" s="15" t="s">
        <v>2141</v>
      </c>
      <c r="D697" s="15" t="s">
        <v>2114</v>
      </c>
      <c r="E697" s="15" t="s">
        <v>2145</v>
      </c>
      <c r="F697" s="15" t="s">
        <v>2138</v>
      </c>
      <c r="G697" s="15" t="s">
        <v>2146</v>
      </c>
      <c r="H697" s="15">
        <v>9882</v>
      </c>
      <c r="I697" s="15">
        <v>1929.59</v>
      </c>
    </row>
    <row r="698" spans="1:9">
      <c r="A698" s="13">
        <v>45209</v>
      </c>
      <c r="B698" s="91">
        <f t="shared" si="12"/>
        <v>2023</v>
      </c>
      <c r="C698" s="15" t="s">
        <v>2113</v>
      </c>
      <c r="D698" s="15" t="s">
        <v>2152</v>
      </c>
      <c r="E698" s="15" t="s">
        <v>2119</v>
      </c>
      <c r="F698" s="15" t="s">
        <v>2116</v>
      </c>
      <c r="G698" s="15" t="s">
        <v>2127</v>
      </c>
      <c r="H698" s="15">
        <v>8189</v>
      </c>
      <c r="I698" s="15">
        <v>1848.12</v>
      </c>
    </row>
    <row r="699" spans="1:9">
      <c r="A699" s="13">
        <v>44707</v>
      </c>
      <c r="B699" s="91">
        <f t="shared" si="12"/>
        <v>2022</v>
      </c>
      <c r="C699" s="15" t="s">
        <v>104</v>
      </c>
      <c r="D699" s="15" t="s">
        <v>2118</v>
      </c>
      <c r="E699" s="15" t="s">
        <v>2136</v>
      </c>
      <c r="F699" s="15" t="s">
        <v>2138</v>
      </c>
      <c r="G699" s="15" t="s">
        <v>2146</v>
      </c>
      <c r="H699" s="15">
        <v>2177</v>
      </c>
      <c r="I699" s="15">
        <v>646.87</v>
      </c>
    </row>
    <row r="700" spans="1:9">
      <c r="A700" s="13">
        <v>45103</v>
      </c>
      <c r="B700" s="91">
        <f t="shared" si="12"/>
        <v>2023</v>
      </c>
      <c r="C700" s="15" t="s">
        <v>107</v>
      </c>
      <c r="D700" s="15" t="s">
        <v>2153</v>
      </c>
      <c r="E700" s="15" t="s">
        <v>2123</v>
      </c>
      <c r="F700" s="15" t="s">
        <v>2124</v>
      </c>
      <c r="G700" s="15" t="s">
        <v>2140</v>
      </c>
      <c r="H700" s="15">
        <v>2304</v>
      </c>
      <c r="I700" s="15">
        <v>303.26</v>
      </c>
    </row>
    <row r="701" spans="1:9">
      <c r="A701" s="13">
        <v>45620</v>
      </c>
      <c r="B701" s="91">
        <f t="shared" si="12"/>
        <v>2024</v>
      </c>
      <c r="C701" s="15" t="s">
        <v>2113</v>
      </c>
      <c r="D701" s="15" t="s">
        <v>2135</v>
      </c>
      <c r="E701" s="15" t="s">
        <v>2144</v>
      </c>
      <c r="F701" s="15" t="s">
        <v>2138</v>
      </c>
      <c r="G701" s="15" t="s">
        <v>2139</v>
      </c>
      <c r="H701" s="15">
        <v>4020</v>
      </c>
      <c r="I701" s="15">
        <v>422.04</v>
      </c>
    </row>
    <row r="702" spans="1:9">
      <c r="A702" s="13">
        <v>45165</v>
      </c>
      <c r="B702" s="91">
        <f t="shared" si="12"/>
        <v>2023</v>
      </c>
      <c r="C702" s="15" t="s">
        <v>107</v>
      </c>
      <c r="D702" s="15" t="s">
        <v>2148</v>
      </c>
      <c r="E702" s="15" t="s">
        <v>2143</v>
      </c>
      <c r="F702" s="15" t="s">
        <v>2120</v>
      </c>
      <c r="G702" s="15" t="s">
        <v>2121</v>
      </c>
      <c r="H702" s="15">
        <v>9849</v>
      </c>
      <c r="I702" s="15">
        <v>1670.11</v>
      </c>
    </row>
    <row r="703" spans="1:9">
      <c r="A703" s="13">
        <v>44978</v>
      </c>
      <c r="B703" s="91">
        <f t="shared" si="12"/>
        <v>2023</v>
      </c>
      <c r="C703" s="15" t="s">
        <v>2141</v>
      </c>
      <c r="D703" s="15" t="s">
        <v>2142</v>
      </c>
      <c r="E703" s="15" t="s">
        <v>2144</v>
      </c>
      <c r="F703" s="15" t="s">
        <v>2138</v>
      </c>
      <c r="G703" s="15" t="s">
        <v>2146</v>
      </c>
      <c r="H703" s="15">
        <v>3135</v>
      </c>
      <c r="I703" s="15">
        <v>820.86</v>
      </c>
    </row>
    <row r="704" spans="1:9">
      <c r="A704" s="13">
        <v>44782</v>
      </c>
      <c r="B704" s="91">
        <f t="shared" si="12"/>
        <v>2022</v>
      </c>
      <c r="C704" s="15" t="s">
        <v>2141</v>
      </c>
      <c r="D704" s="15" t="s">
        <v>2142</v>
      </c>
      <c r="E704" s="15" t="s">
        <v>2145</v>
      </c>
      <c r="F704" s="15" t="s">
        <v>2124</v>
      </c>
      <c r="G704" s="15" t="s">
        <v>2125</v>
      </c>
      <c r="H704" s="15">
        <v>3492</v>
      </c>
      <c r="I704" s="15">
        <v>352.03</v>
      </c>
    </row>
    <row r="705" spans="1:9">
      <c r="A705" s="13">
        <v>45550</v>
      </c>
      <c r="B705" s="91">
        <f t="shared" si="12"/>
        <v>2024</v>
      </c>
      <c r="C705" s="15" t="s">
        <v>104</v>
      </c>
      <c r="D705" s="15" t="s">
        <v>2131</v>
      </c>
      <c r="E705" s="15" t="s">
        <v>2119</v>
      </c>
      <c r="F705" s="15" t="s">
        <v>2138</v>
      </c>
      <c r="G705" s="15" t="s">
        <v>2146</v>
      </c>
      <c r="H705" s="15">
        <v>4505</v>
      </c>
      <c r="I705" s="15">
        <v>625.82000000000005</v>
      </c>
    </row>
    <row r="706" spans="1:9">
      <c r="A706" s="13">
        <v>44670</v>
      </c>
      <c r="B706" s="91">
        <f t="shared" si="12"/>
        <v>2022</v>
      </c>
      <c r="C706" s="15" t="s">
        <v>2113</v>
      </c>
      <c r="D706" s="15" t="s">
        <v>2118</v>
      </c>
      <c r="E706" s="15" t="s">
        <v>2115</v>
      </c>
      <c r="F706" s="15" t="s">
        <v>2120</v>
      </c>
      <c r="G706" s="15" t="s">
        <v>2121</v>
      </c>
      <c r="H706" s="15">
        <v>4670</v>
      </c>
      <c r="I706" s="15">
        <v>690.67</v>
      </c>
    </row>
    <row r="707" spans="1:9">
      <c r="A707" s="13">
        <v>45188</v>
      </c>
      <c r="B707" s="91">
        <f t="shared" ref="B707:B770" si="13">YEAR(A707)</f>
        <v>2023</v>
      </c>
      <c r="C707" s="15" t="s">
        <v>2113</v>
      </c>
      <c r="D707" s="15" t="s">
        <v>2126</v>
      </c>
      <c r="E707" s="15" t="s">
        <v>2144</v>
      </c>
      <c r="F707" s="15" t="s">
        <v>2116</v>
      </c>
      <c r="G707" s="15" t="s">
        <v>2154</v>
      </c>
      <c r="H707" s="15">
        <v>4437</v>
      </c>
      <c r="I707" s="15">
        <v>959.03</v>
      </c>
    </row>
    <row r="708" spans="1:9">
      <c r="A708" s="13">
        <v>44621</v>
      </c>
      <c r="B708" s="91">
        <f t="shared" si="13"/>
        <v>2022</v>
      </c>
      <c r="C708" s="15" t="s">
        <v>2113</v>
      </c>
      <c r="D708" s="15" t="s">
        <v>2142</v>
      </c>
      <c r="E708" s="15" t="s">
        <v>2129</v>
      </c>
      <c r="F708" s="15" t="s">
        <v>2138</v>
      </c>
      <c r="G708" s="15" t="s">
        <v>2139</v>
      </c>
      <c r="H708" s="15">
        <v>9499</v>
      </c>
      <c r="I708" s="15">
        <v>2510.52</v>
      </c>
    </row>
    <row r="709" spans="1:9">
      <c r="A709" s="13">
        <v>44866</v>
      </c>
      <c r="B709" s="91">
        <f t="shared" si="13"/>
        <v>2022</v>
      </c>
      <c r="C709" s="15" t="s">
        <v>2141</v>
      </c>
      <c r="D709" s="15" t="s">
        <v>2148</v>
      </c>
      <c r="E709" s="15" t="s">
        <v>2134</v>
      </c>
      <c r="F709" s="15" t="s">
        <v>2124</v>
      </c>
      <c r="G709" s="15" t="s">
        <v>2130</v>
      </c>
      <c r="H709" s="15">
        <v>2687</v>
      </c>
      <c r="I709" s="15">
        <v>318.97000000000003</v>
      </c>
    </row>
    <row r="710" spans="1:9">
      <c r="A710" s="13">
        <v>45238</v>
      </c>
      <c r="B710" s="91">
        <f t="shared" si="13"/>
        <v>2023</v>
      </c>
      <c r="C710" s="15" t="s">
        <v>2113</v>
      </c>
      <c r="D710" s="15" t="s">
        <v>2128</v>
      </c>
      <c r="E710" s="15" t="s">
        <v>2136</v>
      </c>
      <c r="F710" s="15" t="s">
        <v>2124</v>
      </c>
      <c r="G710" s="15" t="s">
        <v>2130</v>
      </c>
      <c r="H710" s="15">
        <v>6879</v>
      </c>
      <c r="I710" s="15">
        <v>1352.9</v>
      </c>
    </row>
    <row r="711" spans="1:9">
      <c r="A711" s="13">
        <v>44991</v>
      </c>
      <c r="B711" s="91">
        <f t="shared" si="13"/>
        <v>2023</v>
      </c>
      <c r="C711" s="15" t="s">
        <v>104</v>
      </c>
      <c r="D711" s="15" t="s">
        <v>2128</v>
      </c>
      <c r="E711" s="15" t="s">
        <v>2119</v>
      </c>
      <c r="F711" s="15" t="s">
        <v>2116</v>
      </c>
      <c r="G711" s="15" t="s">
        <v>2117</v>
      </c>
      <c r="H711" s="15">
        <v>3318</v>
      </c>
      <c r="I711" s="15">
        <v>435.92</v>
      </c>
    </row>
    <row r="712" spans="1:9">
      <c r="A712" s="13">
        <v>45592</v>
      </c>
      <c r="B712" s="91">
        <f t="shared" si="13"/>
        <v>2024</v>
      </c>
      <c r="C712" s="15" t="s">
        <v>2141</v>
      </c>
      <c r="D712" s="15" t="s">
        <v>2118</v>
      </c>
      <c r="E712" s="15" t="s">
        <v>2145</v>
      </c>
      <c r="F712" s="15" t="s">
        <v>2116</v>
      </c>
      <c r="G712" s="15" t="s">
        <v>2117</v>
      </c>
      <c r="H712" s="15">
        <v>3929</v>
      </c>
      <c r="I712" s="15">
        <v>473.56</v>
      </c>
    </row>
    <row r="713" spans="1:9">
      <c r="A713" s="13">
        <v>45498</v>
      </c>
      <c r="B713" s="91">
        <f t="shared" si="13"/>
        <v>2024</v>
      </c>
      <c r="C713" s="15" t="s">
        <v>2141</v>
      </c>
      <c r="D713" s="15" t="s">
        <v>2148</v>
      </c>
      <c r="E713" s="15" t="s">
        <v>2129</v>
      </c>
      <c r="F713" s="15" t="s">
        <v>2120</v>
      </c>
      <c r="G713" s="15" t="s">
        <v>2121</v>
      </c>
      <c r="H713" s="15">
        <v>7023</v>
      </c>
      <c r="I713" s="15">
        <v>866.54</v>
      </c>
    </row>
    <row r="714" spans="1:9">
      <c r="A714" s="13">
        <v>45058</v>
      </c>
      <c r="B714" s="91">
        <f t="shared" si="13"/>
        <v>2023</v>
      </c>
      <c r="C714" s="15" t="s">
        <v>107</v>
      </c>
      <c r="D714" s="15" t="s">
        <v>2126</v>
      </c>
      <c r="E714" s="15" t="s">
        <v>2115</v>
      </c>
      <c r="F714" s="15" t="s">
        <v>2120</v>
      </c>
      <c r="G714" s="15" t="s">
        <v>2132</v>
      </c>
      <c r="H714" s="15">
        <v>5011</v>
      </c>
      <c r="I714" s="15">
        <v>1085.3900000000001</v>
      </c>
    </row>
    <row r="715" spans="1:9">
      <c r="A715" s="13">
        <v>45323</v>
      </c>
      <c r="B715" s="91">
        <f t="shared" si="13"/>
        <v>2024</v>
      </c>
      <c r="C715" s="15" t="s">
        <v>104</v>
      </c>
      <c r="D715" s="15" t="s">
        <v>2131</v>
      </c>
      <c r="E715" s="15" t="s">
        <v>2136</v>
      </c>
      <c r="F715" s="15" t="s">
        <v>2116</v>
      </c>
      <c r="G715" s="15" t="s">
        <v>2117</v>
      </c>
      <c r="H715" s="15">
        <v>9934</v>
      </c>
      <c r="I715" s="15">
        <v>2956.83</v>
      </c>
    </row>
    <row r="716" spans="1:9">
      <c r="A716" s="13">
        <v>45235</v>
      </c>
      <c r="B716" s="91">
        <f t="shared" si="13"/>
        <v>2023</v>
      </c>
      <c r="C716" s="15" t="s">
        <v>107</v>
      </c>
      <c r="D716" s="15" t="s">
        <v>2114</v>
      </c>
      <c r="E716" s="15" t="s">
        <v>2115</v>
      </c>
      <c r="F716" s="15" t="s">
        <v>2138</v>
      </c>
      <c r="G716" s="15" t="s">
        <v>2146</v>
      </c>
      <c r="H716" s="15">
        <v>5645</v>
      </c>
      <c r="I716" s="15">
        <v>1284.23</v>
      </c>
    </row>
    <row r="717" spans="1:9">
      <c r="A717" s="13">
        <v>45229</v>
      </c>
      <c r="B717" s="91">
        <f t="shared" si="13"/>
        <v>2023</v>
      </c>
      <c r="C717" s="15" t="s">
        <v>107</v>
      </c>
      <c r="D717" s="15" t="s">
        <v>2114</v>
      </c>
      <c r="E717" s="15" t="s">
        <v>2129</v>
      </c>
      <c r="F717" s="15" t="s">
        <v>2116</v>
      </c>
      <c r="G717" s="15" t="s">
        <v>2154</v>
      </c>
      <c r="H717" s="15">
        <v>7280</v>
      </c>
      <c r="I717" s="15">
        <v>832.49</v>
      </c>
    </row>
    <row r="718" spans="1:9">
      <c r="A718" s="13">
        <v>44846</v>
      </c>
      <c r="B718" s="91">
        <f t="shared" si="13"/>
        <v>2022</v>
      </c>
      <c r="C718" s="15" t="s">
        <v>2113</v>
      </c>
      <c r="D718" s="15" t="s">
        <v>2142</v>
      </c>
      <c r="E718" s="15" t="s">
        <v>2143</v>
      </c>
      <c r="F718" s="15" t="s">
        <v>2138</v>
      </c>
      <c r="G718" s="15" t="s">
        <v>2139</v>
      </c>
      <c r="H718" s="15">
        <v>3287</v>
      </c>
      <c r="I718" s="15">
        <v>797.37</v>
      </c>
    </row>
    <row r="719" spans="1:9">
      <c r="A719" s="13">
        <v>45008</v>
      </c>
      <c r="B719" s="91">
        <f t="shared" si="13"/>
        <v>2023</v>
      </c>
      <c r="C719" s="15" t="s">
        <v>2141</v>
      </c>
      <c r="D719" s="15" t="s">
        <v>2126</v>
      </c>
      <c r="E719" s="15" t="s">
        <v>2134</v>
      </c>
      <c r="F719" s="15" t="s">
        <v>2116</v>
      </c>
      <c r="G719" s="15" t="s">
        <v>2154</v>
      </c>
      <c r="H719" s="15">
        <v>2116</v>
      </c>
      <c r="I719" s="15">
        <v>369.79</v>
      </c>
    </row>
    <row r="720" spans="1:9">
      <c r="A720" s="13">
        <v>45287</v>
      </c>
      <c r="B720" s="91">
        <f t="shared" si="13"/>
        <v>2023</v>
      </c>
      <c r="C720" s="15" t="s">
        <v>2141</v>
      </c>
      <c r="D720" s="15" t="s">
        <v>2126</v>
      </c>
      <c r="E720" s="15" t="s">
        <v>2151</v>
      </c>
      <c r="F720" s="15" t="s">
        <v>2124</v>
      </c>
      <c r="G720" s="15" t="s">
        <v>2125</v>
      </c>
      <c r="H720" s="15">
        <v>8896</v>
      </c>
      <c r="I720" s="15">
        <v>1243.56</v>
      </c>
    </row>
    <row r="721" spans="1:9">
      <c r="A721" s="13">
        <v>45099</v>
      </c>
      <c r="B721" s="91">
        <f t="shared" si="13"/>
        <v>2023</v>
      </c>
      <c r="C721" s="15" t="s">
        <v>2141</v>
      </c>
      <c r="D721" s="15" t="s">
        <v>2142</v>
      </c>
      <c r="E721" s="15" t="s">
        <v>2144</v>
      </c>
      <c r="F721" s="15" t="s">
        <v>2120</v>
      </c>
      <c r="G721" s="15" t="s">
        <v>2132</v>
      </c>
      <c r="H721" s="15">
        <v>8263</v>
      </c>
      <c r="I721" s="15">
        <v>901.99</v>
      </c>
    </row>
    <row r="722" spans="1:9">
      <c r="A722" s="13">
        <v>45430</v>
      </c>
      <c r="B722" s="91">
        <f t="shared" si="13"/>
        <v>2024</v>
      </c>
      <c r="C722" s="15" t="s">
        <v>2141</v>
      </c>
      <c r="D722" s="15" t="s">
        <v>2118</v>
      </c>
      <c r="E722" s="15" t="s">
        <v>2134</v>
      </c>
      <c r="F722" s="15" t="s">
        <v>2120</v>
      </c>
      <c r="G722" s="15" t="s">
        <v>2132</v>
      </c>
      <c r="H722" s="15">
        <v>8683</v>
      </c>
      <c r="I722" s="15">
        <v>2258.7199999999998</v>
      </c>
    </row>
    <row r="723" spans="1:9">
      <c r="A723" s="13">
        <v>44971</v>
      </c>
      <c r="B723" s="91">
        <f t="shared" si="13"/>
        <v>2023</v>
      </c>
      <c r="C723" s="15" t="s">
        <v>107</v>
      </c>
      <c r="D723" s="15" t="s">
        <v>2142</v>
      </c>
      <c r="E723" s="15" t="s">
        <v>2115</v>
      </c>
      <c r="F723" s="15" t="s">
        <v>2124</v>
      </c>
      <c r="G723" s="15" t="s">
        <v>2125</v>
      </c>
      <c r="H723" s="15">
        <v>4729</v>
      </c>
      <c r="I723" s="15">
        <v>657.31</v>
      </c>
    </row>
    <row r="724" spans="1:9">
      <c r="A724" s="13">
        <v>44886</v>
      </c>
      <c r="B724" s="91">
        <f t="shared" si="13"/>
        <v>2022</v>
      </c>
      <c r="C724" s="15" t="s">
        <v>104</v>
      </c>
      <c r="D724" s="15" t="s">
        <v>2148</v>
      </c>
      <c r="E724" s="15" t="s">
        <v>2151</v>
      </c>
      <c r="F724" s="15" t="s">
        <v>2138</v>
      </c>
      <c r="G724" s="15" t="s">
        <v>2139</v>
      </c>
      <c r="H724" s="15">
        <v>6440</v>
      </c>
      <c r="I724" s="15">
        <v>1721.99</v>
      </c>
    </row>
    <row r="725" spans="1:9">
      <c r="A725" s="13">
        <v>45326</v>
      </c>
      <c r="B725" s="91">
        <f t="shared" si="13"/>
        <v>2024</v>
      </c>
      <c r="C725" s="15" t="s">
        <v>104</v>
      </c>
      <c r="D725" s="15" t="s">
        <v>2152</v>
      </c>
      <c r="E725" s="15" t="s">
        <v>2134</v>
      </c>
      <c r="F725" s="15" t="s">
        <v>2116</v>
      </c>
      <c r="G725" s="15" t="s">
        <v>2117</v>
      </c>
      <c r="H725" s="15">
        <v>5764</v>
      </c>
      <c r="I725" s="15">
        <v>1675.96</v>
      </c>
    </row>
    <row r="726" spans="1:9">
      <c r="A726" s="13">
        <v>45619</v>
      </c>
      <c r="B726" s="91">
        <f t="shared" si="13"/>
        <v>2024</v>
      </c>
      <c r="C726" s="15" t="s">
        <v>107</v>
      </c>
      <c r="D726" s="15" t="s">
        <v>2135</v>
      </c>
      <c r="E726" s="15" t="s">
        <v>2144</v>
      </c>
      <c r="F726" s="15" t="s">
        <v>2138</v>
      </c>
      <c r="G726" s="15" t="s">
        <v>2139</v>
      </c>
      <c r="H726" s="15">
        <v>7723</v>
      </c>
      <c r="I726" s="15">
        <v>915.48</v>
      </c>
    </row>
    <row r="727" spans="1:9">
      <c r="A727" s="13">
        <v>44636</v>
      </c>
      <c r="B727" s="91">
        <f t="shared" si="13"/>
        <v>2022</v>
      </c>
      <c r="C727" s="15" t="s">
        <v>2113</v>
      </c>
      <c r="D727" s="15" t="s">
        <v>2135</v>
      </c>
      <c r="E727" s="15" t="s">
        <v>2119</v>
      </c>
      <c r="F727" s="15" t="s">
        <v>2120</v>
      </c>
      <c r="G727" s="15" t="s">
        <v>2121</v>
      </c>
      <c r="H727" s="15">
        <v>2688</v>
      </c>
      <c r="I727" s="15">
        <v>665.91</v>
      </c>
    </row>
    <row r="728" spans="1:9">
      <c r="A728" s="13">
        <v>45340</v>
      </c>
      <c r="B728" s="91">
        <f t="shared" si="13"/>
        <v>2024</v>
      </c>
      <c r="C728" s="15" t="s">
        <v>2113</v>
      </c>
      <c r="D728" s="15" t="s">
        <v>2126</v>
      </c>
      <c r="E728" s="15" t="s">
        <v>2123</v>
      </c>
      <c r="F728" s="15" t="s">
        <v>2116</v>
      </c>
      <c r="G728" s="15" t="s">
        <v>2154</v>
      </c>
      <c r="H728" s="15">
        <v>1154</v>
      </c>
      <c r="I728" s="15">
        <v>268.97000000000003</v>
      </c>
    </row>
    <row r="729" spans="1:9">
      <c r="A729" s="13">
        <v>44699</v>
      </c>
      <c r="B729" s="91">
        <f t="shared" si="13"/>
        <v>2022</v>
      </c>
      <c r="C729" s="15" t="s">
        <v>2141</v>
      </c>
      <c r="D729" s="15" t="s">
        <v>2131</v>
      </c>
      <c r="E729" s="15" t="s">
        <v>2143</v>
      </c>
      <c r="F729" s="15" t="s">
        <v>2116</v>
      </c>
      <c r="G729" s="15" t="s">
        <v>2154</v>
      </c>
      <c r="H729" s="15">
        <v>1146</v>
      </c>
      <c r="I729" s="15">
        <v>314.88</v>
      </c>
    </row>
    <row r="730" spans="1:9">
      <c r="A730" s="13">
        <v>45077</v>
      </c>
      <c r="B730" s="91">
        <f t="shared" si="13"/>
        <v>2023</v>
      </c>
      <c r="C730" s="15" t="s">
        <v>104</v>
      </c>
      <c r="D730" s="15" t="s">
        <v>2135</v>
      </c>
      <c r="E730" s="15" t="s">
        <v>2143</v>
      </c>
      <c r="F730" s="15" t="s">
        <v>2120</v>
      </c>
      <c r="G730" s="15" t="s">
        <v>2132</v>
      </c>
      <c r="H730" s="15">
        <v>4917</v>
      </c>
      <c r="I730" s="15">
        <v>1247.6300000000001</v>
      </c>
    </row>
    <row r="731" spans="1:9">
      <c r="A731" s="13">
        <v>44866</v>
      </c>
      <c r="B731" s="91">
        <f t="shared" si="13"/>
        <v>2022</v>
      </c>
      <c r="C731" s="15" t="s">
        <v>107</v>
      </c>
      <c r="D731" s="15" t="s">
        <v>2148</v>
      </c>
      <c r="E731" s="15" t="s">
        <v>2145</v>
      </c>
      <c r="F731" s="15" t="s">
        <v>2138</v>
      </c>
      <c r="G731" s="15" t="s">
        <v>2146</v>
      </c>
      <c r="H731" s="15">
        <v>9108</v>
      </c>
      <c r="I731" s="15">
        <v>1392.23</v>
      </c>
    </row>
    <row r="732" spans="1:9">
      <c r="A732" s="13">
        <v>44870</v>
      </c>
      <c r="B732" s="91">
        <f t="shared" si="13"/>
        <v>2022</v>
      </c>
      <c r="C732" s="15" t="s">
        <v>107</v>
      </c>
      <c r="D732" s="15" t="s">
        <v>2126</v>
      </c>
      <c r="E732" s="15" t="s">
        <v>2145</v>
      </c>
      <c r="F732" s="15" t="s">
        <v>2124</v>
      </c>
      <c r="G732" s="15" t="s">
        <v>2140</v>
      </c>
      <c r="H732" s="15">
        <v>8543</v>
      </c>
      <c r="I732" s="15">
        <v>1245.52</v>
      </c>
    </row>
    <row r="733" spans="1:9">
      <c r="A733" s="13">
        <v>44985</v>
      </c>
      <c r="B733" s="91">
        <f t="shared" si="13"/>
        <v>2023</v>
      </c>
      <c r="C733" s="15" t="s">
        <v>104</v>
      </c>
      <c r="D733" s="15" t="s">
        <v>2148</v>
      </c>
      <c r="E733" s="15" t="s">
        <v>2144</v>
      </c>
      <c r="F733" s="15" t="s">
        <v>2120</v>
      </c>
      <c r="G733" s="15" t="s">
        <v>2132</v>
      </c>
      <c r="H733" s="15">
        <v>3668</v>
      </c>
      <c r="I733" s="15">
        <v>1039.81</v>
      </c>
    </row>
    <row r="734" spans="1:9">
      <c r="A734" s="13">
        <v>44840</v>
      </c>
      <c r="B734" s="91">
        <f t="shared" si="13"/>
        <v>2022</v>
      </c>
      <c r="C734" s="15" t="s">
        <v>104</v>
      </c>
      <c r="D734" s="15" t="s">
        <v>2131</v>
      </c>
      <c r="E734" s="15" t="s">
        <v>2115</v>
      </c>
      <c r="F734" s="15" t="s">
        <v>2138</v>
      </c>
      <c r="G734" s="15" t="s">
        <v>2146</v>
      </c>
      <c r="H734" s="15">
        <v>5933</v>
      </c>
      <c r="I734" s="15">
        <v>980.31</v>
      </c>
    </row>
    <row r="735" spans="1:9">
      <c r="A735" s="13">
        <v>45186</v>
      </c>
      <c r="B735" s="91">
        <f t="shared" si="13"/>
        <v>2023</v>
      </c>
      <c r="C735" s="15" t="s">
        <v>2141</v>
      </c>
      <c r="D735" s="15" t="s">
        <v>2135</v>
      </c>
      <c r="E735" s="15" t="s">
        <v>2136</v>
      </c>
      <c r="F735" s="15" t="s">
        <v>2120</v>
      </c>
      <c r="G735" s="15" t="s">
        <v>2121</v>
      </c>
      <c r="H735" s="15">
        <v>3049</v>
      </c>
      <c r="I735" s="15">
        <v>672.02</v>
      </c>
    </row>
    <row r="736" spans="1:9">
      <c r="A736" s="13">
        <v>44715</v>
      </c>
      <c r="B736" s="91">
        <f t="shared" si="13"/>
        <v>2022</v>
      </c>
      <c r="C736" s="15" t="s">
        <v>107</v>
      </c>
      <c r="D736" s="15" t="s">
        <v>2126</v>
      </c>
      <c r="E736" s="15" t="s">
        <v>2115</v>
      </c>
      <c r="F736" s="15" t="s">
        <v>2116</v>
      </c>
      <c r="G736" s="15" t="s">
        <v>2154</v>
      </c>
      <c r="H736" s="15">
        <v>3132</v>
      </c>
      <c r="I736" s="15">
        <v>592.19000000000005</v>
      </c>
    </row>
    <row r="737" spans="1:9">
      <c r="A737" s="13">
        <v>44723</v>
      </c>
      <c r="B737" s="91">
        <f t="shared" si="13"/>
        <v>2022</v>
      </c>
      <c r="C737" s="15" t="s">
        <v>2141</v>
      </c>
      <c r="D737" s="15" t="s">
        <v>2126</v>
      </c>
      <c r="E737" s="15" t="s">
        <v>2144</v>
      </c>
      <c r="F737" s="15" t="s">
        <v>2124</v>
      </c>
      <c r="G737" s="15" t="s">
        <v>2140</v>
      </c>
      <c r="H737" s="15">
        <v>7177</v>
      </c>
      <c r="I737" s="15">
        <v>1951.05</v>
      </c>
    </row>
    <row r="738" spans="1:9">
      <c r="A738" s="13">
        <v>45337</v>
      </c>
      <c r="B738" s="91">
        <f t="shared" si="13"/>
        <v>2024</v>
      </c>
      <c r="C738" s="15" t="s">
        <v>104</v>
      </c>
      <c r="D738" s="15" t="s">
        <v>2153</v>
      </c>
      <c r="E738" s="15" t="s">
        <v>2134</v>
      </c>
      <c r="F738" s="15" t="s">
        <v>2116</v>
      </c>
      <c r="G738" s="15" t="s">
        <v>2127</v>
      </c>
      <c r="H738" s="15">
        <v>9760</v>
      </c>
      <c r="I738" s="15">
        <v>2340.6</v>
      </c>
    </row>
    <row r="739" spans="1:9">
      <c r="A739" s="13">
        <v>45475</v>
      </c>
      <c r="B739" s="91">
        <f t="shared" si="13"/>
        <v>2024</v>
      </c>
      <c r="C739" s="15" t="s">
        <v>107</v>
      </c>
      <c r="D739" s="15" t="s">
        <v>2135</v>
      </c>
      <c r="E739" s="15" t="s">
        <v>2129</v>
      </c>
      <c r="F739" s="15" t="s">
        <v>2116</v>
      </c>
      <c r="G739" s="15" t="s">
        <v>2127</v>
      </c>
      <c r="H739" s="15">
        <v>8178</v>
      </c>
      <c r="I739" s="15">
        <v>2072.5700000000002</v>
      </c>
    </row>
    <row r="740" spans="1:9">
      <c r="A740" s="13">
        <v>45246</v>
      </c>
      <c r="B740" s="91">
        <f t="shared" si="13"/>
        <v>2023</v>
      </c>
      <c r="C740" s="15" t="s">
        <v>107</v>
      </c>
      <c r="D740" s="15" t="s">
        <v>2152</v>
      </c>
      <c r="E740" s="15" t="s">
        <v>2134</v>
      </c>
      <c r="F740" s="15" t="s">
        <v>2116</v>
      </c>
      <c r="G740" s="15" t="s">
        <v>2117</v>
      </c>
      <c r="H740" s="15">
        <v>1860</v>
      </c>
      <c r="I740" s="15">
        <v>553.9</v>
      </c>
    </row>
    <row r="741" spans="1:9">
      <c r="A741" s="13">
        <v>45608</v>
      </c>
      <c r="B741" s="91">
        <f t="shared" si="13"/>
        <v>2024</v>
      </c>
      <c r="C741" s="15" t="s">
        <v>104</v>
      </c>
      <c r="D741" s="15" t="s">
        <v>2153</v>
      </c>
      <c r="E741" s="15" t="s">
        <v>2134</v>
      </c>
      <c r="F741" s="15" t="s">
        <v>2120</v>
      </c>
      <c r="G741" s="15" t="s">
        <v>2132</v>
      </c>
      <c r="H741" s="15">
        <v>3458</v>
      </c>
      <c r="I741" s="15">
        <v>617.03</v>
      </c>
    </row>
    <row r="742" spans="1:9">
      <c r="A742" s="13">
        <v>45360</v>
      </c>
      <c r="B742" s="91">
        <f t="shared" si="13"/>
        <v>2024</v>
      </c>
      <c r="C742" s="15" t="s">
        <v>104</v>
      </c>
      <c r="D742" s="15" t="s">
        <v>2148</v>
      </c>
      <c r="E742" s="15" t="s">
        <v>2144</v>
      </c>
      <c r="F742" s="15" t="s">
        <v>2120</v>
      </c>
      <c r="G742" s="15" t="s">
        <v>2132</v>
      </c>
      <c r="H742" s="15">
        <v>1267</v>
      </c>
      <c r="I742" s="15">
        <v>323.79000000000002</v>
      </c>
    </row>
    <row r="743" spans="1:9">
      <c r="A743" s="13">
        <v>45632</v>
      </c>
      <c r="B743" s="91">
        <f t="shared" si="13"/>
        <v>2024</v>
      </c>
      <c r="C743" s="15" t="s">
        <v>104</v>
      </c>
      <c r="D743" s="15" t="s">
        <v>2118</v>
      </c>
      <c r="E743" s="15" t="s">
        <v>2145</v>
      </c>
      <c r="F743" s="15" t="s">
        <v>2120</v>
      </c>
      <c r="G743" s="15" t="s">
        <v>2121</v>
      </c>
      <c r="H743" s="15">
        <v>7707</v>
      </c>
      <c r="I743" s="15">
        <v>2085.29</v>
      </c>
    </row>
    <row r="744" spans="1:9">
      <c r="A744" s="13">
        <v>45630</v>
      </c>
      <c r="B744" s="91">
        <f t="shared" si="13"/>
        <v>2024</v>
      </c>
      <c r="C744" s="15" t="s">
        <v>107</v>
      </c>
      <c r="D744" s="15" t="s">
        <v>2131</v>
      </c>
      <c r="E744" s="15" t="s">
        <v>2129</v>
      </c>
      <c r="F744" s="15" t="s">
        <v>2116</v>
      </c>
      <c r="G744" s="15" t="s">
        <v>2154</v>
      </c>
      <c r="H744" s="15">
        <v>1151</v>
      </c>
      <c r="I744" s="15">
        <v>245.45</v>
      </c>
    </row>
    <row r="745" spans="1:9">
      <c r="A745" s="13">
        <v>45637</v>
      </c>
      <c r="B745" s="91">
        <f t="shared" si="13"/>
        <v>2024</v>
      </c>
      <c r="C745" s="15" t="s">
        <v>2113</v>
      </c>
      <c r="D745" s="15" t="s">
        <v>2148</v>
      </c>
      <c r="E745" s="15" t="s">
        <v>2136</v>
      </c>
      <c r="F745" s="15" t="s">
        <v>2138</v>
      </c>
      <c r="G745" s="15" t="s">
        <v>2146</v>
      </c>
      <c r="H745" s="15">
        <v>8454</v>
      </c>
      <c r="I745" s="15">
        <v>2048.6799999999998</v>
      </c>
    </row>
    <row r="746" spans="1:9">
      <c r="A746" s="13">
        <v>44694</v>
      </c>
      <c r="B746" s="91">
        <f t="shared" si="13"/>
        <v>2022</v>
      </c>
      <c r="C746" s="15" t="s">
        <v>107</v>
      </c>
      <c r="D746" s="15" t="s">
        <v>2118</v>
      </c>
      <c r="E746" s="15" t="s">
        <v>2145</v>
      </c>
      <c r="F746" s="15" t="s">
        <v>2120</v>
      </c>
      <c r="G746" s="15" t="s">
        <v>2133</v>
      </c>
      <c r="H746" s="15">
        <v>1945</v>
      </c>
      <c r="I746" s="15">
        <v>530.87</v>
      </c>
    </row>
    <row r="747" spans="1:9">
      <c r="A747" s="13">
        <v>45269</v>
      </c>
      <c r="B747" s="91">
        <f t="shared" si="13"/>
        <v>2023</v>
      </c>
      <c r="C747" s="15" t="s">
        <v>107</v>
      </c>
      <c r="D747" s="15" t="s">
        <v>2128</v>
      </c>
      <c r="E747" s="15" t="s">
        <v>2134</v>
      </c>
      <c r="F747" s="15" t="s">
        <v>2120</v>
      </c>
      <c r="G747" s="15" t="s">
        <v>2132</v>
      </c>
      <c r="H747" s="15">
        <v>9481</v>
      </c>
      <c r="I747" s="15">
        <v>1960.44</v>
      </c>
    </row>
    <row r="748" spans="1:9">
      <c r="A748" s="13">
        <v>45232</v>
      </c>
      <c r="B748" s="91">
        <f t="shared" si="13"/>
        <v>2023</v>
      </c>
      <c r="C748" s="15" t="s">
        <v>107</v>
      </c>
      <c r="D748" s="15" t="s">
        <v>2126</v>
      </c>
      <c r="E748" s="15" t="s">
        <v>2119</v>
      </c>
      <c r="F748" s="15" t="s">
        <v>2120</v>
      </c>
      <c r="G748" s="15" t="s">
        <v>2133</v>
      </c>
      <c r="H748" s="15">
        <v>4144</v>
      </c>
      <c r="I748" s="15">
        <v>669.2</v>
      </c>
    </row>
    <row r="749" spans="1:9">
      <c r="A749" s="13">
        <v>45108</v>
      </c>
      <c r="B749" s="91">
        <f t="shared" si="13"/>
        <v>2023</v>
      </c>
      <c r="C749" s="15" t="s">
        <v>2113</v>
      </c>
      <c r="D749" s="15" t="s">
        <v>2152</v>
      </c>
      <c r="E749" s="15" t="s">
        <v>2129</v>
      </c>
      <c r="F749" s="15" t="s">
        <v>2116</v>
      </c>
      <c r="G749" s="15" t="s">
        <v>2154</v>
      </c>
      <c r="H749" s="15">
        <v>5489</v>
      </c>
      <c r="I749" s="15">
        <v>1494.21</v>
      </c>
    </row>
    <row r="750" spans="1:9">
      <c r="A750" s="13">
        <v>45175</v>
      </c>
      <c r="B750" s="91">
        <f t="shared" si="13"/>
        <v>2023</v>
      </c>
      <c r="C750" s="15" t="s">
        <v>2141</v>
      </c>
      <c r="D750" s="15" t="s">
        <v>2114</v>
      </c>
      <c r="E750" s="15" t="s">
        <v>2151</v>
      </c>
      <c r="F750" s="15" t="s">
        <v>2138</v>
      </c>
      <c r="G750" s="15" t="s">
        <v>2149</v>
      </c>
      <c r="H750" s="15">
        <v>7068</v>
      </c>
      <c r="I750" s="15">
        <v>790.74</v>
      </c>
    </row>
    <row r="751" spans="1:9">
      <c r="A751" s="13">
        <v>45423</v>
      </c>
      <c r="B751" s="91">
        <f t="shared" si="13"/>
        <v>2024</v>
      </c>
      <c r="C751" s="15" t="s">
        <v>2141</v>
      </c>
      <c r="D751" s="15" t="s">
        <v>2148</v>
      </c>
      <c r="E751" s="15" t="s">
        <v>2143</v>
      </c>
      <c r="F751" s="15" t="s">
        <v>2138</v>
      </c>
      <c r="G751" s="15" t="s">
        <v>2146</v>
      </c>
      <c r="H751" s="15">
        <v>4400</v>
      </c>
      <c r="I751" s="15">
        <v>865.35</v>
      </c>
    </row>
    <row r="752" spans="1:9">
      <c r="A752" s="13">
        <v>45210</v>
      </c>
      <c r="B752" s="91">
        <f t="shared" si="13"/>
        <v>2023</v>
      </c>
      <c r="C752" s="15" t="s">
        <v>2141</v>
      </c>
      <c r="D752" s="15" t="s">
        <v>2131</v>
      </c>
      <c r="E752" s="15" t="s">
        <v>2123</v>
      </c>
      <c r="F752" s="15" t="s">
        <v>2116</v>
      </c>
      <c r="G752" s="15" t="s">
        <v>2117</v>
      </c>
      <c r="H752" s="15">
        <v>6655</v>
      </c>
      <c r="I752" s="15">
        <v>1589.86</v>
      </c>
    </row>
    <row r="753" spans="1:9">
      <c r="A753" s="13">
        <v>45594</v>
      </c>
      <c r="B753" s="91">
        <f t="shared" si="13"/>
        <v>2024</v>
      </c>
      <c r="C753" s="15" t="s">
        <v>104</v>
      </c>
      <c r="D753" s="15" t="s">
        <v>2131</v>
      </c>
      <c r="E753" s="15" t="s">
        <v>2136</v>
      </c>
      <c r="F753" s="15" t="s">
        <v>2138</v>
      </c>
      <c r="G753" s="15" t="s">
        <v>2149</v>
      </c>
      <c r="H753" s="15">
        <v>2569</v>
      </c>
      <c r="I753" s="15">
        <v>496.78</v>
      </c>
    </row>
    <row r="754" spans="1:9">
      <c r="A754" s="13">
        <v>45620</v>
      </c>
      <c r="B754" s="91">
        <f t="shared" si="13"/>
        <v>2024</v>
      </c>
      <c r="C754" s="15" t="s">
        <v>104</v>
      </c>
      <c r="D754" s="15" t="s">
        <v>2128</v>
      </c>
      <c r="E754" s="15" t="s">
        <v>2119</v>
      </c>
      <c r="F754" s="15" t="s">
        <v>2124</v>
      </c>
      <c r="G754" s="15" t="s">
        <v>2130</v>
      </c>
      <c r="H754" s="15">
        <v>7037</v>
      </c>
      <c r="I754" s="15">
        <v>1927.17</v>
      </c>
    </row>
    <row r="755" spans="1:9">
      <c r="A755" s="13">
        <v>45333</v>
      </c>
      <c r="B755" s="91">
        <f t="shared" si="13"/>
        <v>2024</v>
      </c>
      <c r="C755" s="15" t="s">
        <v>107</v>
      </c>
      <c r="D755" s="15" t="s">
        <v>2142</v>
      </c>
      <c r="E755" s="15" t="s">
        <v>2145</v>
      </c>
      <c r="F755" s="15" t="s">
        <v>2120</v>
      </c>
      <c r="G755" s="15" t="s">
        <v>2133</v>
      </c>
      <c r="H755" s="15">
        <v>7612</v>
      </c>
      <c r="I755" s="15">
        <v>1094.96</v>
      </c>
    </row>
    <row r="756" spans="1:9">
      <c r="A756" s="13">
        <v>44995</v>
      </c>
      <c r="B756" s="91">
        <f t="shared" si="13"/>
        <v>2023</v>
      </c>
      <c r="C756" s="15" t="s">
        <v>104</v>
      </c>
      <c r="D756" s="15" t="s">
        <v>2131</v>
      </c>
      <c r="E756" s="15" t="s">
        <v>2115</v>
      </c>
      <c r="F756" s="15" t="s">
        <v>2138</v>
      </c>
      <c r="G756" s="15" t="s">
        <v>2146</v>
      </c>
      <c r="H756" s="15">
        <v>3511</v>
      </c>
      <c r="I756" s="15">
        <v>482.44</v>
      </c>
    </row>
    <row r="757" spans="1:9">
      <c r="A757" s="13">
        <v>45503</v>
      </c>
      <c r="B757" s="91">
        <f t="shared" si="13"/>
        <v>2024</v>
      </c>
      <c r="C757" s="15" t="s">
        <v>107</v>
      </c>
      <c r="D757" s="15" t="s">
        <v>2118</v>
      </c>
      <c r="E757" s="15" t="s">
        <v>2145</v>
      </c>
      <c r="F757" s="15" t="s">
        <v>2120</v>
      </c>
      <c r="G757" s="15" t="s">
        <v>2121</v>
      </c>
      <c r="H757" s="15">
        <v>4282</v>
      </c>
      <c r="I757" s="15">
        <v>727.23</v>
      </c>
    </row>
    <row r="758" spans="1:9">
      <c r="A758" s="13">
        <v>44684</v>
      </c>
      <c r="B758" s="91">
        <f t="shared" si="13"/>
        <v>2022</v>
      </c>
      <c r="C758" s="15" t="s">
        <v>2113</v>
      </c>
      <c r="D758" s="15" t="s">
        <v>2142</v>
      </c>
      <c r="E758" s="15" t="s">
        <v>2115</v>
      </c>
      <c r="F758" s="15" t="s">
        <v>2116</v>
      </c>
      <c r="G758" s="15" t="s">
        <v>2154</v>
      </c>
      <c r="H758" s="15">
        <v>9054</v>
      </c>
      <c r="I758" s="15">
        <v>2088.48</v>
      </c>
    </row>
    <row r="759" spans="1:9">
      <c r="A759" s="13">
        <v>44697</v>
      </c>
      <c r="B759" s="91">
        <f t="shared" si="13"/>
        <v>2022</v>
      </c>
      <c r="C759" s="15" t="s">
        <v>104</v>
      </c>
      <c r="D759" s="15" t="s">
        <v>2153</v>
      </c>
      <c r="E759" s="15" t="s">
        <v>2134</v>
      </c>
      <c r="F759" s="15" t="s">
        <v>2120</v>
      </c>
      <c r="G759" s="15" t="s">
        <v>2133</v>
      </c>
      <c r="H759" s="15">
        <v>3077</v>
      </c>
      <c r="I759" s="15">
        <v>912.46</v>
      </c>
    </row>
    <row r="760" spans="1:9">
      <c r="A760" s="13">
        <v>45106</v>
      </c>
      <c r="B760" s="91">
        <f t="shared" si="13"/>
        <v>2023</v>
      </c>
      <c r="C760" s="15" t="s">
        <v>107</v>
      </c>
      <c r="D760" s="15" t="s">
        <v>2131</v>
      </c>
      <c r="E760" s="15" t="s">
        <v>2151</v>
      </c>
      <c r="F760" s="15" t="s">
        <v>2116</v>
      </c>
      <c r="G760" s="15" t="s">
        <v>2117</v>
      </c>
      <c r="H760" s="15">
        <v>6738</v>
      </c>
      <c r="I760" s="15">
        <v>1357.66</v>
      </c>
    </row>
    <row r="761" spans="1:9">
      <c r="A761" s="13">
        <v>44770</v>
      </c>
      <c r="B761" s="91">
        <f t="shared" si="13"/>
        <v>2022</v>
      </c>
      <c r="C761" s="15" t="s">
        <v>2113</v>
      </c>
      <c r="D761" s="15" t="s">
        <v>2135</v>
      </c>
      <c r="E761" s="15" t="s">
        <v>2119</v>
      </c>
      <c r="F761" s="15" t="s">
        <v>2124</v>
      </c>
      <c r="G761" s="15" t="s">
        <v>2125</v>
      </c>
      <c r="H761" s="15">
        <v>3913</v>
      </c>
      <c r="I761" s="15">
        <v>401.72</v>
      </c>
    </row>
    <row r="762" spans="1:9">
      <c r="A762" s="13">
        <v>45186</v>
      </c>
      <c r="B762" s="91">
        <f t="shared" si="13"/>
        <v>2023</v>
      </c>
      <c r="C762" s="15" t="s">
        <v>2141</v>
      </c>
      <c r="D762" s="15" t="s">
        <v>2128</v>
      </c>
      <c r="E762" s="15" t="s">
        <v>2115</v>
      </c>
      <c r="F762" s="15" t="s">
        <v>2120</v>
      </c>
      <c r="G762" s="15" t="s">
        <v>2121</v>
      </c>
      <c r="H762" s="15">
        <v>2911</v>
      </c>
      <c r="I762" s="15">
        <v>675.81</v>
      </c>
    </row>
    <row r="763" spans="1:9">
      <c r="A763" s="13">
        <v>45613</v>
      </c>
      <c r="B763" s="91">
        <f t="shared" si="13"/>
        <v>2024</v>
      </c>
      <c r="C763" s="15" t="s">
        <v>107</v>
      </c>
      <c r="D763" s="15" t="s">
        <v>2152</v>
      </c>
      <c r="E763" s="15" t="s">
        <v>2144</v>
      </c>
      <c r="F763" s="15" t="s">
        <v>2124</v>
      </c>
      <c r="G763" s="15" t="s">
        <v>2140</v>
      </c>
      <c r="H763" s="15">
        <v>5502</v>
      </c>
      <c r="I763" s="15">
        <v>692.3</v>
      </c>
    </row>
    <row r="764" spans="1:9">
      <c r="A764" s="13">
        <v>45039</v>
      </c>
      <c r="B764" s="91">
        <f t="shared" si="13"/>
        <v>2023</v>
      </c>
      <c r="C764" s="15" t="s">
        <v>2113</v>
      </c>
      <c r="D764" s="15" t="s">
        <v>2114</v>
      </c>
      <c r="E764" s="15" t="s">
        <v>2115</v>
      </c>
      <c r="F764" s="15" t="s">
        <v>2116</v>
      </c>
      <c r="G764" s="15" t="s">
        <v>2154</v>
      </c>
      <c r="H764" s="15">
        <v>4959</v>
      </c>
      <c r="I764" s="15">
        <v>851.54</v>
      </c>
    </row>
    <row r="765" spans="1:9">
      <c r="A765" s="13">
        <v>45117</v>
      </c>
      <c r="B765" s="91">
        <f t="shared" si="13"/>
        <v>2023</v>
      </c>
      <c r="C765" s="15" t="s">
        <v>2141</v>
      </c>
      <c r="D765" s="15" t="s">
        <v>2128</v>
      </c>
      <c r="E765" s="15" t="s">
        <v>2134</v>
      </c>
      <c r="F765" s="15" t="s">
        <v>2138</v>
      </c>
      <c r="G765" s="15" t="s">
        <v>2139</v>
      </c>
      <c r="H765" s="15">
        <v>5716</v>
      </c>
      <c r="I765" s="15">
        <v>1154.47</v>
      </c>
    </row>
    <row r="766" spans="1:9">
      <c r="A766" s="13">
        <v>44945</v>
      </c>
      <c r="B766" s="91">
        <f t="shared" si="13"/>
        <v>2023</v>
      </c>
      <c r="C766" s="15" t="s">
        <v>2113</v>
      </c>
      <c r="D766" s="15" t="s">
        <v>2118</v>
      </c>
      <c r="E766" s="15" t="s">
        <v>2129</v>
      </c>
      <c r="F766" s="15" t="s">
        <v>2124</v>
      </c>
      <c r="G766" s="15" t="s">
        <v>2130</v>
      </c>
      <c r="H766" s="15">
        <v>8183</v>
      </c>
      <c r="I766" s="15">
        <v>1812.6</v>
      </c>
    </row>
    <row r="767" spans="1:9">
      <c r="A767" s="13">
        <v>45481</v>
      </c>
      <c r="B767" s="91">
        <f t="shared" si="13"/>
        <v>2024</v>
      </c>
      <c r="C767" s="15" t="s">
        <v>107</v>
      </c>
      <c r="D767" s="15" t="s">
        <v>2118</v>
      </c>
      <c r="E767" s="15" t="s">
        <v>2134</v>
      </c>
      <c r="F767" s="15" t="s">
        <v>2124</v>
      </c>
      <c r="G767" s="15" t="s">
        <v>2140</v>
      </c>
      <c r="H767" s="15">
        <v>2428</v>
      </c>
      <c r="I767" s="15">
        <v>624.95000000000005</v>
      </c>
    </row>
    <row r="768" spans="1:9">
      <c r="A768" s="13">
        <v>45401</v>
      </c>
      <c r="B768" s="91">
        <f t="shared" si="13"/>
        <v>2024</v>
      </c>
      <c r="C768" s="15" t="s">
        <v>2141</v>
      </c>
      <c r="D768" s="15" t="s">
        <v>2148</v>
      </c>
      <c r="E768" s="15" t="s">
        <v>2134</v>
      </c>
      <c r="F768" s="15" t="s">
        <v>2120</v>
      </c>
      <c r="G768" s="15" t="s">
        <v>2132</v>
      </c>
      <c r="H768" s="15">
        <v>8543</v>
      </c>
      <c r="I768" s="15">
        <v>856.32</v>
      </c>
    </row>
    <row r="769" spans="1:9">
      <c r="A769" s="13">
        <v>45410</v>
      </c>
      <c r="B769" s="91">
        <f t="shared" si="13"/>
        <v>2024</v>
      </c>
      <c r="C769" s="15" t="s">
        <v>2113</v>
      </c>
      <c r="D769" s="15" t="s">
        <v>2131</v>
      </c>
      <c r="E769" s="15" t="s">
        <v>2134</v>
      </c>
      <c r="F769" s="15" t="s">
        <v>2138</v>
      </c>
      <c r="G769" s="15" t="s">
        <v>2139</v>
      </c>
      <c r="H769" s="15">
        <v>7515</v>
      </c>
      <c r="I769" s="15">
        <v>1070.92</v>
      </c>
    </row>
    <row r="770" spans="1:9">
      <c r="A770" s="13">
        <v>45653</v>
      </c>
      <c r="B770" s="91">
        <f t="shared" si="13"/>
        <v>2024</v>
      </c>
      <c r="C770" s="15" t="s">
        <v>2141</v>
      </c>
      <c r="D770" s="15" t="s">
        <v>2126</v>
      </c>
      <c r="E770" s="15" t="s">
        <v>2136</v>
      </c>
      <c r="F770" s="15" t="s">
        <v>2120</v>
      </c>
      <c r="G770" s="15" t="s">
        <v>2133</v>
      </c>
      <c r="H770" s="15">
        <v>8718</v>
      </c>
      <c r="I770" s="15">
        <v>1679.24</v>
      </c>
    </row>
    <row r="771" spans="1:9">
      <c r="A771" s="13">
        <v>44770</v>
      </c>
      <c r="B771" s="91">
        <f t="shared" ref="B771:B834" si="14">YEAR(A771)</f>
        <v>2022</v>
      </c>
      <c r="C771" s="15" t="s">
        <v>2141</v>
      </c>
      <c r="D771" s="15" t="s">
        <v>2142</v>
      </c>
      <c r="E771" s="15" t="s">
        <v>2145</v>
      </c>
      <c r="F771" s="15" t="s">
        <v>2138</v>
      </c>
      <c r="G771" s="15" t="s">
        <v>2146</v>
      </c>
      <c r="H771" s="15">
        <v>2496</v>
      </c>
      <c r="I771" s="15">
        <v>458.15</v>
      </c>
    </row>
    <row r="772" spans="1:9">
      <c r="A772" s="13">
        <v>45283</v>
      </c>
      <c r="B772" s="91">
        <f t="shared" si="14"/>
        <v>2023</v>
      </c>
      <c r="C772" s="15" t="s">
        <v>104</v>
      </c>
      <c r="D772" s="15" t="s">
        <v>2128</v>
      </c>
      <c r="E772" s="15" t="s">
        <v>2129</v>
      </c>
      <c r="F772" s="15" t="s">
        <v>2138</v>
      </c>
      <c r="G772" s="15" t="s">
        <v>2146</v>
      </c>
      <c r="H772" s="15">
        <v>1536</v>
      </c>
      <c r="I772" s="15">
        <v>446.84</v>
      </c>
    </row>
    <row r="773" spans="1:9">
      <c r="A773" s="13">
        <v>45584</v>
      </c>
      <c r="B773" s="91">
        <f t="shared" si="14"/>
        <v>2024</v>
      </c>
      <c r="C773" s="15" t="s">
        <v>104</v>
      </c>
      <c r="D773" s="15" t="s">
        <v>2126</v>
      </c>
      <c r="E773" s="15" t="s">
        <v>2151</v>
      </c>
      <c r="F773" s="15" t="s">
        <v>2116</v>
      </c>
      <c r="G773" s="15" t="s">
        <v>2154</v>
      </c>
      <c r="H773" s="15">
        <v>3172</v>
      </c>
      <c r="I773" s="15">
        <v>341.01</v>
      </c>
    </row>
    <row r="774" spans="1:9">
      <c r="A774" s="13">
        <v>44731</v>
      </c>
      <c r="B774" s="91">
        <f t="shared" si="14"/>
        <v>2022</v>
      </c>
      <c r="C774" s="15" t="s">
        <v>104</v>
      </c>
      <c r="D774" s="15" t="s">
        <v>2135</v>
      </c>
      <c r="E774" s="15" t="s">
        <v>2115</v>
      </c>
      <c r="F774" s="15" t="s">
        <v>2120</v>
      </c>
      <c r="G774" s="15" t="s">
        <v>2132</v>
      </c>
      <c r="H774" s="15">
        <v>4161</v>
      </c>
      <c r="I774" s="15">
        <v>420.23</v>
      </c>
    </row>
    <row r="775" spans="1:9">
      <c r="A775" s="13">
        <v>44795</v>
      </c>
      <c r="B775" s="91">
        <f t="shared" si="14"/>
        <v>2022</v>
      </c>
      <c r="C775" s="15" t="s">
        <v>107</v>
      </c>
      <c r="D775" s="15" t="s">
        <v>2152</v>
      </c>
      <c r="E775" s="15" t="s">
        <v>2145</v>
      </c>
      <c r="F775" s="15" t="s">
        <v>2124</v>
      </c>
      <c r="G775" s="15" t="s">
        <v>2130</v>
      </c>
      <c r="H775" s="15">
        <v>3754</v>
      </c>
      <c r="I775" s="15">
        <v>721.43</v>
      </c>
    </row>
    <row r="776" spans="1:9">
      <c r="A776" s="13">
        <v>44949</v>
      </c>
      <c r="B776" s="91">
        <f t="shared" si="14"/>
        <v>2023</v>
      </c>
      <c r="C776" s="15" t="s">
        <v>2141</v>
      </c>
      <c r="D776" s="15" t="s">
        <v>2153</v>
      </c>
      <c r="E776" s="15" t="s">
        <v>2119</v>
      </c>
      <c r="F776" s="15" t="s">
        <v>2124</v>
      </c>
      <c r="G776" s="15" t="s">
        <v>2140</v>
      </c>
      <c r="H776" s="15">
        <v>4408</v>
      </c>
      <c r="I776" s="15">
        <v>830.66</v>
      </c>
    </row>
    <row r="777" spans="1:9">
      <c r="A777" s="13">
        <v>45291</v>
      </c>
      <c r="B777" s="91">
        <f t="shared" si="14"/>
        <v>2023</v>
      </c>
      <c r="C777" s="15" t="s">
        <v>2141</v>
      </c>
      <c r="D777" s="15" t="s">
        <v>2152</v>
      </c>
      <c r="E777" s="15" t="s">
        <v>2129</v>
      </c>
      <c r="F777" s="15" t="s">
        <v>2120</v>
      </c>
      <c r="G777" s="15" t="s">
        <v>2133</v>
      </c>
      <c r="H777" s="15">
        <v>4998</v>
      </c>
      <c r="I777" s="15">
        <v>984.68</v>
      </c>
    </row>
    <row r="778" spans="1:9">
      <c r="A778" s="13">
        <v>45095</v>
      </c>
      <c r="B778" s="91">
        <f t="shared" si="14"/>
        <v>2023</v>
      </c>
      <c r="C778" s="15" t="s">
        <v>107</v>
      </c>
      <c r="D778" s="15" t="s">
        <v>2153</v>
      </c>
      <c r="E778" s="15" t="s">
        <v>2115</v>
      </c>
      <c r="F778" s="15" t="s">
        <v>2138</v>
      </c>
      <c r="G778" s="15" t="s">
        <v>2146</v>
      </c>
      <c r="H778" s="15">
        <v>3029</v>
      </c>
      <c r="I778" s="15">
        <v>405.03</v>
      </c>
    </row>
    <row r="779" spans="1:9">
      <c r="A779" s="13">
        <v>45084</v>
      </c>
      <c r="B779" s="91">
        <f t="shared" si="14"/>
        <v>2023</v>
      </c>
      <c r="C779" s="15" t="s">
        <v>2141</v>
      </c>
      <c r="D779" s="15" t="s">
        <v>2142</v>
      </c>
      <c r="E779" s="15" t="s">
        <v>2134</v>
      </c>
      <c r="F779" s="15" t="s">
        <v>2120</v>
      </c>
      <c r="G779" s="15" t="s">
        <v>2121</v>
      </c>
      <c r="H779" s="15">
        <v>9667</v>
      </c>
      <c r="I779" s="15">
        <v>2094.48</v>
      </c>
    </row>
    <row r="780" spans="1:9">
      <c r="A780" s="13">
        <v>44925</v>
      </c>
      <c r="B780" s="91">
        <f t="shared" si="14"/>
        <v>2022</v>
      </c>
      <c r="C780" s="15" t="s">
        <v>104</v>
      </c>
      <c r="D780" s="15" t="s">
        <v>2148</v>
      </c>
      <c r="E780" s="15" t="s">
        <v>2144</v>
      </c>
      <c r="F780" s="15" t="s">
        <v>2116</v>
      </c>
      <c r="G780" s="15" t="s">
        <v>2127</v>
      </c>
      <c r="H780" s="15">
        <v>6430</v>
      </c>
      <c r="I780" s="15">
        <v>983.62</v>
      </c>
    </row>
    <row r="781" spans="1:9">
      <c r="A781" s="13">
        <v>44785</v>
      </c>
      <c r="B781" s="91">
        <f t="shared" si="14"/>
        <v>2022</v>
      </c>
      <c r="C781" s="15" t="s">
        <v>2141</v>
      </c>
      <c r="D781" s="15" t="s">
        <v>2131</v>
      </c>
      <c r="E781" s="15" t="s">
        <v>2145</v>
      </c>
      <c r="F781" s="15" t="s">
        <v>2120</v>
      </c>
      <c r="G781" s="15" t="s">
        <v>2121</v>
      </c>
      <c r="H781" s="15">
        <v>7558</v>
      </c>
      <c r="I781" s="15">
        <v>948.52</v>
      </c>
    </row>
    <row r="782" spans="1:9">
      <c r="A782" s="13">
        <v>44594</v>
      </c>
      <c r="B782" s="91">
        <f t="shared" si="14"/>
        <v>2022</v>
      </c>
      <c r="C782" s="15" t="s">
        <v>104</v>
      </c>
      <c r="D782" s="15" t="s">
        <v>2135</v>
      </c>
      <c r="E782" s="15" t="s">
        <v>2143</v>
      </c>
      <c r="F782" s="15" t="s">
        <v>2124</v>
      </c>
      <c r="G782" s="15" t="s">
        <v>2130</v>
      </c>
      <c r="H782" s="15">
        <v>6194</v>
      </c>
      <c r="I782" s="15">
        <v>941.71</v>
      </c>
    </row>
    <row r="783" spans="1:9">
      <c r="A783" s="13">
        <v>45014</v>
      </c>
      <c r="B783" s="91">
        <f t="shared" si="14"/>
        <v>2023</v>
      </c>
      <c r="C783" s="15" t="s">
        <v>2141</v>
      </c>
      <c r="D783" s="15" t="s">
        <v>2126</v>
      </c>
      <c r="E783" s="15" t="s">
        <v>2145</v>
      </c>
      <c r="F783" s="15" t="s">
        <v>2124</v>
      </c>
      <c r="G783" s="15" t="s">
        <v>2125</v>
      </c>
      <c r="H783" s="15">
        <v>8294</v>
      </c>
      <c r="I783" s="15">
        <v>1050.19</v>
      </c>
    </row>
    <row r="784" spans="1:9">
      <c r="A784" s="13">
        <v>45001</v>
      </c>
      <c r="B784" s="91">
        <f t="shared" si="14"/>
        <v>2023</v>
      </c>
      <c r="C784" s="15" t="s">
        <v>2113</v>
      </c>
      <c r="D784" s="15" t="s">
        <v>2126</v>
      </c>
      <c r="E784" s="15" t="s">
        <v>2144</v>
      </c>
      <c r="F784" s="15" t="s">
        <v>2120</v>
      </c>
      <c r="G784" s="15" t="s">
        <v>2133</v>
      </c>
      <c r="H784" s="15">
        <v>7107</v>
      </c>
      <c r="I784" s="15">
        <v>941.01</v>
      </c>
    </row>
    <row r="785" spans="1:9">
      <c r="A785" s="13">
        <v>44983</v>
      </c>
      <c r="B785" s="91">
        <f t="shared" si="14"/>
        <v>2023</v>
      </c>
      <c r="C785" s="15" t="s">
        <v>107</v>
      </c>
      <c r="D785" s="15" t="s">
        <v>2152</v>
      </c>
      <c r="E785" s="15" t="s">
        <v>2119</v>
      </c>
      <c r="F785" s="15" t="s">
        <v>2124</v>
      </c>
      <c r="G785" s="15" t="s">
        <v>2125</v>
      </c>
      <c r="H785" s="15">
        <v>8479</v>
      </c>
      <c r="I785" s="15">
        <v>2179.75</v>
      </c>
    </row>
    <row r="786" spans="1:9">
      <c r="A786" s="13">
        <v>45030</v>
      </c>
      <c r="B786" s="91">
        <f t="shared" si="14"/>
        <v>2023</v>
      </c>
      <c r="C786" s="15" t="s">
        <v>2113</v>
      </c>
      <c r="D786" s="15" t="s">
        <v>2126</v>
      </c>
      <c r="E786" s="15" t="s">
        <v>2151</v>
      </c>
      <c r="F786" s="15" t="s">
        <v>2120</v>
      </c>
      <c r="G786" s="15" t="s">
        <v>2132</v>
      </c>
      <c r="H786" s="15">
        <v>6488</v>
      </c>
      <c r="I786" s="15">
        <v>1738.21</v>
      </c>
    </row>
    <row r="787" spans="1:9">
      <c r="A787" s="13">
        <v>45316</v>
      </c>
      <c r="B787" s="91">
        <f t="shared" si="14"/>
        <v>2024</v>
      </c>
      <c r="C787" s="15" t="s">
        <v>2113</v>
      </c>
      <c r="D787" s="15" t="s">
        <v>2148</v>
      </c>
      <c r="E787" s="15" t="s">
        <v>2129</v>
      </c>
      <c r="F787" s="15" t="s">
        <v>2138</v>
      </c>
      <c r="G787" s="15" t="s">
        <v>2139</v>
      </c>
      <c r="H787" s="15">
        <v>7049</v>
      </c>
      <c r="I787" s="15">
        <v>1689.73</v>
      </c>
    </row>
    <row r="788" spans="1:9">
      <c r="A788" s="13">
        <v>45032</v>
      </c>
      <c r="B788" s="91">
        <f t="shared" si="14"/>
        <v>2023</v>
      </c>
      <c r="C788" s="15" t="s">
        <v>107</v>
      </c>
      <c r="D788" s="15" t="s">
        <v>2114</v>
      </c>
      <c r="E788" s="15" t="s">
        <v>2144</v>
      </c>
      <c r="F788" s="15" t="s">
        <v>2138</v>
      </c>
      <c r="G788" s="15" t="s">
        <v>2149</v>
      </c>
      <c r="H788" s="15">
        <v>3199</v>
      </c>
      <c r="I788" s="15">
        <v>547.11</v>
      </c>
    </row>
    <row r="789" spans="1:9">
      <c r="A789" s="13">
        <v>44672</v>
      </c>
      <c r="B789" s="91">
        <f t="shared" si="14"/>
        <v>2022</v>
      </c>
      <c r="C789" s="15" t="s">
        <v>107</v>
      </c>
      <c r="D789" s="15" t="s">
        <v>2114</v>
      </c>
      <c r="E789" s="15" t="s">
        <v>2145</v>
      </c>
      <c r="F789" s="15" t="s">
        <v>2120</v>
      </c>
      <c r="G789" s="15" t="s">
        <v>2132</v>
      </c>
      <c r="H789" s="15">
        <v>4913</v>
      </c>
      <c r="I789" s="15">
        <v>1231.22</v>
      </c>
    </row>
    <row r="790" spans="1:9">
      <c r="A790" s="13">
        <v>45013</v>
      </c>
      <c r="B790" s="91">
        <f t="shared" si="14"/>
        <v>2023</v>
      </c>
      <c r="C790" s="15" t="s">
        <v>104</v>
      </c>
      <c r="D790" s="15" t="s">
        <v>2153</v>
      </c>
      <c r="E790" s="15" t="s">
        <v>2145</v>
      </c>
      <c r="F790" s="15" t="s">
        <v>2120</v>
      </c>
      <c r="G790" s="15" t="s">
        <v>2133</v>
      </c>
      <c r="H790" s="15">
        <v>3623</v>
      </c>
      <c r="I790" s="15">
        <v>1077.67</v>
      </c>
    </row>
    <row r="791" spans="1:9">
      <c r="A791" s="13">
        <v>45553</v>
      </c>
      <c r="B791" s="91">
        <f t="shared" si="14"/>
        <v>2024</v>
      </c>
      <c r="C791" s="15" t="s">
        <v>2113</v>
      </c>
      <c r="D791" s="15" t="s">
        <v>2142</v>
      </c>
      <c r="E791" s="15" t="s">
        <v>2151</v>
      </c>
      <c r="F791" s="15" t="s">
        <v>2124</v>
      </c>
      <c r="G791" s="15" t="s">
        <v>2140</v>
      </c>
      <c r="H791" s="15">
        <v>9718</v>
      </c>
      <c r="I791" s="15">
        <v>2488.89</v>
      </c>
    </row>
    <row r="792" spans="1:9">
      <c r="A792" s="13">
        <v>44690</v>
      </c>
      <c r="B792" s="91">
        <f t="shared" si="14"/>
        <v>2022</v>
      </c>
      <c r="C792" s="15" t="s">
        <v>107</v>
      </c>
      <c r="D792" s="15" t="s">
        <v>2128</v>
      </c>
      <c r="E792" s="15" t="s">
        <v>2151</v>
      </c>
      <c r="F792" s="15" t="s">
        <v>2138</v>
      </c>
      <c r="G792" s="15" t="s">
        <v>2139</v>
      </c>
      <c r="H792" s="15">
        <v>5396</v>
      </c>
      <c r="I792" s="15">
        <v>873.46</v>
      </c>
    </row>
    <row r="793" spans="1:9">
      <c r="A793" s="13">
        <v>45581</v>
      </c>
      <c r="B793" s="91">
        <f t="shared" si="14"/>
        <v>2024</v>
      </c>
      <c r="C793" s="15" t="s">
        <v>107</v>
      </c>
      <c r="D793" s="15" t="s">
        <v>2142</v>
      </c>
      <c r="E793" s="15" t="s">
        <v>2129</v>
      </c>
      <c r="F793" s="15" t="s">
        <v>2138</v>
      </c>
      <c r="G793" s="15" t="s">
        <v>2149</v>
      </c>
      <c r="H793" s="15">
        <v>7423</v>
      </c>
      <c r="I793" s="15">
        <v>1615.07</v>
      </c>
    </row>
    <row r="794" spans="1:9">
      <c r="A794" s="13">
        <v>44731</v>
      </c>
      <c r="B794" s="91">
        <f t="shared" si="14"/>
        <v>2022</v>
      </c>
      <c r="C794" s="15" t="s">
        <v>107</v>
      </c>
      <c r="D794" s="15" t="s">
        <v>2118</v>
      </c>
      <c r="E794" s="15" t="s">
        <v>2143</v>
      </c>
      <c r="F794" s="15" t="s">
        <v>2138</v>
      </c>
      <c r="G794" s="15" t="s">
        <v>2146</v>
      </c>
      <c r="H794" s="15">
        <v>8547</v>
      </c>
      <c r="I794" s="15">
        <v>1823.02</v>
      </c>
    </row>
    <row r="795" spans="1:9">
      <c r="A795" s="13">
        <v>45072</v>
      </c>
      <c r="B795" s="91">
        <f t="shared" si="14"/>
        <v>2023</v>
      </c>
      <c r="C795" s="15" t="s">
        <v>107</v>
      </c>
      <c r="D795" s="15" t="s">
        <v>2128</v>
      </c>
      <c r="E795" s="15" t="s">
        <v>2144</v>
      </c>
      <c r="F795" s="15" t="s">
        <v>2124</v>
      </c>
      <c r="G795" s="15" t="s">
        <v>2125</v>
      </c>
      <c r="H795" s="15">
        <v>7275</v>
      </c>
      <c r="I795" s="15">
        <v>1238.58</v>
      </c>
    </row>
    <row r="796" spans="1:9">
      <c r="A796" s="13">
        <v>45250</v>
      </c>
      <c r="B796" s="91">
        <f t="shared" si="14"/>
        <v>2023</v>
      </c>
      <c r="C796" s="15" t="s">
        <v>2141</v>
      </c>
      <c r="D796" s="15" t="s">
        <v>2135</v>
      </c>
      <c r="E796" s="15" t="s">
        <v>2144</v>
      </c>
      <c r="F796" s="15" t="s">
        <v>2116</v>
      </c>
      <c r="G796" s="15" t="s">
        <v>2154</v>
      </c>
      <c r="H796" s="15">
        <v>3122</v>
      </c>
      <c r="I796" s="15">
        <v>913.49</v>
      </c>
    </row>
    <row r="797" spans="1:9">
      <c r="A797" s="13">
        <v>45351</v>
      </c>
      <c r="B797" s="91">
        <f t="shared" si="14"/>
        <v>2024</v>
      </c>
      <c r="C797" s="15" t="s">
        <v>107</v>
      </c>
      <c r="D797" s="15" t="s">
        <v>2128</v>
      </c>
      <c r="E797" s="15" t="s">
        <v>2115</v>
      </c>
      <c r="F797" s="15" t="s">
        <v>2138</v>
      </c>
      <c r="G797" s="15" t="s">
        <v>2146</v>
      </c>
      <c r="H797" s="15">
        <v>3301</v>
      </c>
      <c r="I797" s="15">
        <v>602.36</v>
      </c>
    </row>
    <row r="798" spans="1:9">
      <c r="A798" s="13">
        <v>44621</v>
      </c>
      <c r="B798" s="91">
        <f t="shared" si="14"/>
        <v>2022</v>
      </c>
      <c r="C798" s="15" t="s">
        <v>2141</v>
      </c>
      <c r="D798" s="15" t="s">
        <v>2153</v>
      </c>
      <c r="E798" s="15" t="s">
        <v>2123</v>
      </c>
      <c r="F798" s="15" t="s">
        <v>2124</v>
      </c>
      <c r="G798" s="15" t="s">
        <v>2125</v>
      </c>
      <c r="H798" s="15">
        <v>1188</v>
      </c>
      <c r="I798" s="15">
        <v>235.58</v>
      </c>
    </row>
    <row r="799" spans="1:9">
      <c r="A799" s="13">
        <v>45018</v>
      </c>
      <c r="B799" s="91">
        <f t="shared" si="14"/>
        <v>2023</v>
      </c>
      <c r="C799" s="15" t="s">
        <v>2113</v>
      </c>
      <c r="D799" s="15" t="s">
        <v>2152</v>
      </c>
      <c r="E799" s="15" t="s">
        <v>2129</v>
      </c>
      <c r="F799" s="15" t="s">
        <v>2138</v>
      </c>
      <c r="G799" s="15" t="s">
        <v>2146</v>
      </c>
      <c r="H799" s="15">
        <v>5163</v>
      </c>
      <c r="I799" s="15">
        <v>622.55999999999995</v>
      </c>
    </row>
    <row r="800" spans="1:9">
      <c r="A800" s="13">
        <v>45104</v>
      </c>
      <c r="B800" s="91">
        <f t="shared" si="14"/>
        <v>2023</v>
      </c>
      <c r="C800" s="15" t="s">
        <v>104</v>
      </c>
      <c r="D800" s="15" t="s">
        <v>2152</v>
      </c>
      <c r="E800" s="15" t="s">
        <v>2134</v>
      </c>
      <c r="F800" s="15" t="s">
        <v>2124</v>
      </c>
      <c r="G800" s="15" t="s">
        <v>2125</v>
      </c>
      <c r="H800" s="15">
        <v>3163</v>
      </c>
      <c r="I800" s="15">
        <v>939.79</v>
      </c>
    </row>
    <row r="801" spans="1:9">
      <c r="A801" s="13">
        <v>45085</v>
      </c>
      <c r="B801" s="91">
        <f t="shared" si="14"/>
        <v>2023</v>
      </c>
      <c r="C801" s="15" t="s">
        <v>2141</v>
      </c>
      <c r="D801" s="15" t="s">
        <v>2114</v>
      </c>
      <c r="E801" s="15" t="s">
        <v>2143</v>
      </c>
      <c r="F801" s="15" t="s">
        <v>2120</v>
      </c>
      <c r="G801" s="15" t="s">
        <v>2133</v>
      </c>
      <c r="H801" s="15">
        <v>2664</v>
      </c>
      <c r="I801" s="15">
        <v>517</v>
      </c>
    </row>
    <row r="802" spans="1:9">
      <c r="A802" s="13">
        <v>44738</v>
      </c>
      <c r="B802" s="91">
        <f t="shared" si="14"/>
        <v>2022</v>
      </c>
      <c r="C802" s="15" t="s">
        <v>2141</v>
      </c>
      <c r="D802" s="15" t="s">
        <v>2118</v>
      </c>
      <c r="E802" s="15" t="s">
        <v>2134</v>
      </c>
      <c r="F802" s="15" t="s">
        <v>2116</v>
      </c>
      <c r="G802" s="15" t="s">
        <v>2117</v>
      </c>
      <c r="H802" s="15">
        <v>4637</v>
      </c>
      <c r="I802" s="15">
        <v>954</v>
      </c>
    </row>
    <row r="803" spans="1:9">
      <c r="A803" s="13">
        <v>45297</v>
      </c>
      <c r="B803" s="91">
        <f t="shared" si="14"/>
        <v>2024</v>
      </c>
      <c r="C803" s="15" t="s">
        <v>2141</v>
      </c>
      <c r="D803" s="15" t="s">
        <v>2142</v>
      </c>
      <c r="E803" s="15" t="s">
        <v>2119</v>
      </c>
      <c r="F803" s="15" t="s">
        <v>2116</v>
      </c>
      <c r="G803" s="15" t="s">
        <v>2154</v>
      </c>
      <c r="H803" s="15">
        <v>8429</v>
      </c>
      <c r="I803" s="15">
        <v>872.59</v>
      </c>
    </row>
    <row r="804" spans="1:9">
      <c r="A804" s="13">
        <v>45599</v>
      </c>
      <c r="B804" s="91">
        <f t="shared" si="14"/>
        <v>2024</v>
      </c>
      <c r="C804" s="15" t="s">
        <v>107</v>
      </c>
      <c r="D804" s="15" t="s">
        <v>2142</v>
      </c>
      <c r="E804" s="15" t="s">
        <v>2123</v>
      </c>
      <c r="F804" s="15" t="s">
        <v>2138</v>
      </c>
      <c r="G804" s="15" t="s">
        <v>2139</v>
      </c>
      <c r="H804" s="15">
        <v>1554</v>
      </c>
      <c r="I804" s="15">
        <v>305.95</v>
      </c>
    </row>
    <row r="805" spans="1:9">
      <c r="A805" s="13">
        <v>45157</v>
      </c>
      <c r="B805" s="91">
        <f t="shared" si="14"/>
        <v>2023</v>
      </c>
      <c r="C805" s="15" t="s">
        <v>104</v>
      </c>
      <c r="D805" s="15" t="s">
        <v>2152</v>
      </c>
      <c r="E805" s="15" t="s">
        <v>2119</v>
      </c>
      <c r="F805" s="15" t="s">
        <v>2120</v>
      </c>
      <c r="G805" s="15" t="s">
        <v>2132</v>
      </c>
      <c r="H805" s="15">
        <v>9582</v>
      </c>
      <c r="I805" s="15">
        <v>1772.05</v>
      </c>
    </row>
    <row r="806" spans="1:9">
      <c r="A806" s="13">
        <v>44924</v>
      </c>
      <c r="B806" s="91">
        <f t="shared" si="14"/>
        <v>2022</v>
      </c>
      <c r="C806" s="15" t="s">
        <v>2113</v>
      </c>
      <c r="D806" s="15" t="s">
        <v>2114</v>
      </c>
      <c r="E806" s="15" t="s">
        <v>2145</v>
      </c>
      <c r="F806" s="15" t="s">
        <v>2124</v>
      </c>
      <c r="G806" s="15" t="s">
        <v>2125</v>
      </c>
      <c r="H806" s="15">
        <v>1179</v>
      </c>
      <c r="I806" s="15">
        <v>237.15</v>
      </c>
    </row>
    <row r="807" spans="1:9">
      <c r="A807" s="13">
        <v>45199</v>
      </c>
      <c r="B807" s="91">
        <f t="shared" si="14"/>
        <v>2023</v>
      </c>
      <c r="C807" s="15" t="s">
        <v>2141</v>
      </c>
      <c r="D807" s="15" t="s">
        <v>2114</v>
      </c>
      <c r="E807" s="15" t="s">
        <v>2143</v>
      </c>
      <c r="F807" s="15" t="s">
        <v>2124</v>
      </c>
      <c r="G807" s="15" t="s">
        <v>2125</v>
      </c>
      <c r="H807" s="15">
        <v>1501</v>
      </c>
      <c r="I807" s="15">
        <v>397.81</v>
      </c>
    </row>
    <row r="808" spans="1:9">
      <c r="A808" s="13">
        <v>44852</v>
      </c>
      <c r="B808" s="91">
        <f t="shared" si="14"/>
        <v>2022</v>
      </c>
      <c r="C808" s="15" t="s">
        <v>2141</v>
      </c>
      <c r="D808" s="15" t="s">
        <v>2135</v>
      </c>
      <c r="E808" s="15" t="s">
        <v>2136</v>
      </c>
      <c r="F808" s="15" t="s">
        <v>2138</v>
      </c>
      <c r="G808" s="15" t="s">
        <v>2149</v>
      </c>
      <c r="H808" s="15">
        <v>4131</v>
      </c>
      <c r="I808" s="15">
        <v>447.03</v>
      </c>
    </row>
    <row r="809" spans="1:9">
      <c r="A809" s="13">
        <v>45271</v>
      </c>
      <c r="B809" s="91">
        <f t="shared" si="14"/>
        <v>2023</v>
      </c>
      <c r="C809" s="15" t="s">
        <v>107</v>
      </c>
      <c r="D809" s="15" t="s">
        <v>2114</v>
      </c>
      <c r="E809" s="15" t="s">
        <v>2143</v>
      </c>
      <c r="F809" s="15" t="s">
        <v>2120</v>
      </c>
      <c r="G809" s="15" t="s">
        <v>2121</v>
      </c>
      <c r="H809" s="15">
        <v>8832</v>
      </c>
      <c r="I809" s="15">
        <v>888.92</v>
      </c>
    </row>
    <row r="810" spans="1:9">
      <c r="A810" s="13">
        <v>44895</v>
      </c>
      <c r="B810" s="91">
        <f t="shared" si="14"/>
        <v>2022</v>
      </c>
      <c r="C810" s="15" t="s">
        <v>2113</v>
      </c>
      <c r="D810" s="15" t="s">
        <v>2131</v>
      </c>
      <c r="E810" s="15" t="s">
        <v>2129</v>
      </c>
      <c r="F810" s="15" t="s">
        <v>2120</v>
      </c>
      <c r="G810" s="15" t="s">
        <v>2132</v>
      </c>
      <c r="H810" s="15">
        <v>4934</v>
      </c>
      <c r="I810" s="15">
        <v>824.24</v>
      </c>
    </row>
    <row r="811" spans="1:9">
      <c r="A811" s="13">
        <v>44670</v>
      </c>
      <c r="B811" s="91">
        <f t="shared" si="14"/>
        <v>2022</v>
      </c>
      <c r="C811" s="15" t="s">
        <v>2141</v>
      </c>
      <c r="D811" s="15" t="s">
        <v>2142</v>
      </c>
      <c r="E811" s="15" t="s">
        <v>2115</v>
      </c>
      <c r="F811" s="15" t="s">
        <v>2124</v>
      </c>
      <c r="G811" s="15" t="s">
        <v>2125</v>
      </c>
      <c r="H811" s="15">
        <v>3874</v>
      </c>
      <c r="I811" s="15">
        <v>879.69</v>
      </c>
    </row>
    <row r="812" spans="1:9">
      <c r="A812" s="13">
        <v>45655</v>
      </c>
      <c r="B812" s="91">
        <f t="shared" si="14"/>
        <v>2024</v>
      </c>
      <c r="C812" s="15" t="s">
        <v>104</v>
      </c>
      <c r="D812" s="15" t="s">
        <v>2128</v>
      </c>
      <c r="E812" s="15" t="s">
        <v>2151</v>
      </c>
      <c r="F812" s="15" t="s">
        <v>2120</v>
      </c>
      <c r="G812" s="15" t="s">
        <v>2121</v>
      </c>
      <c r="H812" s="15">
        <v>1423</v>
      </c>
      <c r="I812" s="15">
        <v>407.84</v>
      </c>
    </row>
    <row r="813" spans="1:9">
      <c r="A813" s="13">
        <v>44715</v>
      </c>
      <c r="B813" s="91">
        <f t="shared" si="14"/>
        <v>2022</v>
      </c>
      <c r="C813" s="15" t="s">
        <v>104</v>
      </c>
      <c r="D813" s="15" t="s">
        <v>2152</v>
      </c>
      <c r="E813" s="15" t="s">
        <v>2119</v>
      </c>
      <c r="F813" s="15" t="s">
        <v>2120</v>
      </c>
      <c r="G813" s="15" t="s">
        <v>2132</v>
      </c>
      <c r="H813" s="15">
        <v>3736</v>
      </c>
      <c r="I813" s="15">
        <v>1026.52</v>
      </c>
    </row>
    <row r="814" spans="1:9">
      <c r="A814" s="13">
        <v>44749</v>
      </c>
      <c r="B814" s="91">
        <f t="shared" si="14"/>
        <v>2022</v>
      </c>
      <c r="C814" s="15" t="s">
        <v>2141</v>
      </c>
      <c r="D814" s="15" t="s">
        <v>2135</v>
      </c>
      <c r="E814" s="15" t="s">
        <v>2143</v>
      </c>
      <c r="F814" s="15" t="s">
        <v>2116</v>
      </c>
      <c r="G814" s="15" t="s">
        <v>2154</v>
      </c>
      <c r="H814" s="15">
        <v>1053</v>
      </c>
      <c r="I814" s="15">
        <v>231.32</v>
      </c>
    </row>
    <row r="815" spans="1:9">
      <c r="A815" s="13">
        <v>45018</v>
      </c>
      <c r="B815" s="91">
        <f t="shared" si="14"/>
        <v>2023</v>
      </c>
      <c r="C815" s="15" t="s">
        <v>107</v>
      </c>
      <c r="D815" s="15" t="s">
        <v>2114</v>
      </c>
      <c r="E815" s="15" t="s">
        <v>2119</v>
      </c>
      <c r="F815" s="15" t="s">
        <v>2120</v>
      </c>
      <c r="G815" s="15" t="s">
        <v>2133</v>
      </c>
      <c r="H815" s="15">
        <v>5747</v>
      </c>
      <c r="I815" s="15">
        <v>576.19000000000005</v>
      </c>
    </row>
    <row r="816" spans="1:9">
      <c r="A816" s="13">
        <v>44673</v>
      </c>
      <c r="B816" s="91">
        <f t="shared" si="14"/>
        <v>2022</v>
      </c>
      <c r="C816" s="15" t="s">
        <v>2141</v>
      </c>
      <c r="D816" s="15" t="s">
        <v>2128</v>
      </c>
      <c r="E816" s="15" t="s">
        <v>2145</v>
      </c>
      <c r="F816" s="15" t="s">
        <v>2138</v>
      </c>
      <c r="G816" s="15" t="s">
        <v>2149</v>
      </c>
      <c r="H816" s="15">
        <v>4133</v>
      </c>
      <c r="I816" s="15">
        <v>1141.47</v>
      </c>
    </row>
    <row r="817" spans="1:9">
      <c r="A817" s="13">
        <v>45616</v>
      </c>
      <c r="B817" s="91">
        <f t="shared" si="14"/>
        <v>2024</v>
      </c>
      <c r="C817" s="15" t="s">
        <v>2113</v>
      </c>
      <c r="D817" s="15" t="s">
        <v>2148</v>
      </c>
      <c r="E817" s="15" t="s">
        <v>2129</v>
      </c>
      <c r="F817" s="15" t="s">
        <v>2120</v>
      </c>
      <c r="G817" s="15" t="s">
        <v>2132</v>
      </c>
      <c r="H817" s="15">
        <v>2934</v>
      </c>
      <c r="I817" s="15">
        <v>726.44</v>
      </c>
    </row>
    <row r="818" spans="1:9">
      <c r="A818" s="13">
        <v>44920</v>
      </c>
      <c r="B818" s="91">
        <f t="shared" si="14"/>
        <v>2022</v>
      </c>
      <c r="C818" s="15" t="s">
        <v>2113</v>
      </c>
      <c r="D818" s="15" t="s">
        <v>2152</v>
      </c>
      <c r="E818" s="15" t="s">
        <v>2144</v>
      </c>
      <c r="F818" s="15" t="s">
        <v>2120</v>
      </c>
      <c r="G818" s="15" t="s">
        <v>2121</v>
      </c>
      <c r="H818" s="15">
        <v>8671</v>
      </c>
      <c r="I818" s="15">
        <v>1668.36</v>
      </c>
    </row>
    <row r="819" spans="1:9">
      <c r="A819" s="13">
        <v>45506</v>
      </c>
      <c r="B819" s="91">
        <f t="shared" si="14"/>
        <v>2024</v>
      </c>
      <c r="C819" s="15" t="s">
        <v>107</v>
      </c>
      <c r="D819" s="15" t="s">
        <v>2126</v>
      </c>
      <c r="E819" s="15" t="s">
        <v>2145</v>
      </c>
      <c r="F819" s="15" t="s">
        <v>2116</v>
      </c>
      <c r="G819" s="15" t="s">
        <v>2154</v>
      </c>
      <c r="H819" s="15">
        <v>9716</v>
      </c>
      <c r="I819" s="15">
        <v>1617.96</v>
      </c>
    </row>
    <row r="820" spans="1:9">
      <c r="A820" s="13">
        <v>45472</v>
      </c>
      <c r="B820" s="91">
        <f t="shared" si="14"/>
        <v>2024</v>
      </c>
      <c r="C820" s="15" t="s">
        <v>107</v>
      </c>
      <c r="D820" s="15" t="s">
        <v>2131</v>
      </c>
      <c r="E820" s="15" t="s">
        <v>2151</v>
      </c>
      <c r="F820" s="15" t="s">
        <v>2138</v>
      </c>
      <c r="G820" s="15" t="s">
        <v>2139</v>
      </c>
      <c r="H820" s="15">
        <v>9347</v>
      </c>
      <c r="I820" s="15">
        <v>1185.8499999999999</v>
      </c>
    </row>
    <row r="821" spans="1:9">
      <c r="A821" s="13">
        <v>45043</v>
      </c>
      <c r="B821" s="91">
        <f t="shared" si="14"/>
        <v>2023</v>
      </c>
      <c r="C821" s="15" t="s">
        <v>107</v>
      </c>
      <c r="D821" s="15" t="s">
        <v>2126</v>
      </c>
      <c r="E821" s="15" t="s">
        <v>2129</v>
      </c>
      <c r="F821" s="15" t="s">
        <v>2124</v>
      </c>
      <c r="G821" s="15" t="s">
        <v>2130</v>
      </c>
      <c r="H821" s="15">
        <v>1857</v>
      </c>
      <c r="I821" s="15">
        <v>243.17</v>
      </c>
    </row>
    <row r="822" spans="1:9">
      <c r="A822" s="13">
        <v>45580</v>
      </c>
      <c r="B822" s="91">
        <f t="shared" si="14"/>
        <v>2024</v>
      </c>
      <c r="C822" s="15" t="s">
        <v>107</v>
      </c>
      <c r="D822" s="15" t="s">
        <v>2126</v>
      </c>
      <c r="E822" s="15" t="s">
        <v>2143</v>
      </c>
      <c r="F822" s="15" t="s">
        <v>2124</v>
      </c>
      <c r="G822" s="15" t="s">
        <v>2130</v>
      </c>
      <c r="H822" s="15">
        <v>8989</v>
      </c>
      <c r="I822" s="15">
        <v>2639.3</v>
      </c>
    </row>
    <row r="823" spans="1:9">
      <c r="A823" s="13">
        <v>45239</v>
      </c>
      <c r="B823" s="91">
        <f t="shared" si="14"/>
        <v>2023</v>
      </c>
      <c r="C823" s="15" t="s">
        <v>104</v>
      </c>
      <c r="D823" s="15" t="s">
        <v>2135</v>
      </c>
      <c r="E823" s="15" t="s">
        <v>2144</v>
      </c>
      <c r="F823" s="15" t="s">
        <v>2116</v>
      </c>
      <c r="G823" s="15" t="s">
        <v>2154</v>
      </c>
      <c r="H823" s="15">
        <v>1703</v>
      </c>
      <c r="I823" s="15">
        <v>501.31</v>
      </c>
    </row>
    <row r="824" spans="1:9">
      <c r="A824" s="13">
        <v>45115</v>
      </c>
      <c r="B824" s="91">
        <f t="shared" si="14"/>
        <v>2023</v>
      </c>
      <c r="C824" s="15" t="s">
        <v>104</v>
      </c>
      <c r="D824" s="15" t="s">
        <v>2114</v>
      </c>
      <c r="E824" s="15" t="s">
        <v>2123</v>
      </c>
      <c r="F824" s="15" t="s">
        <v>2116</v>
      </c>
      <c r="G824" s="15" t="s">
        <v>2117</v>
      </c>
      <c r="H824" s="15">
        <v>7104</v>
      </c>
      <c r="I824" s="15">
        <v>1807.1</v>
      </c>
    </row>
    <row r="825" spans="1:9">
      <c r="A825" s="13">
        <v>44590</v>
      </c>
      <c r="B825" s="91">
        <f t="shared" si="14"/>
        <v>2022</v>
      </c>
      <c r="C825" s="15" t="s">
        <v>2141</v>
      </c>
      <c r="D825" s="15" t="s">
        <v>2128</v>
      </c>
      <c r="E825" s="15" t="s">
        <v>2119</v>
      </c>
      <c r="F825" s="15" t="s">
        <v>2124</v>
      </c>
      <c r="G825" s="15" t="s">
        <v>2125</v>
      </c>
      <c r="H825" s="15">
        <v>2431</v>
      </c>
      <c r="I825" s="15">
        <v>482.41</v>
      </c>
    </row>
    <row r="826" spans="1:9">
      <c r="A826" s="13">
        <v>44911</v>
      </c>
      <c r="B826" s="91">
        <f t="shared" si="14"/>
        <v>2022</v>
      </c>
      <c r="C826" s="15" t="s">
        <v>2141</v>
      </c>
      <c r="D826" s="15" t="s">
        <v>2142</v>
      </c>
      <c r="E826" s="15" t="s">
        <v>2123</v>
      </c>
      <c r="F826" s="15" t="s">
        <v>2124</v>
      </c>
      <c r="G826" s="15" t="s">
        <v>2140</v>
      </c>
      <c r="H826" s="15">
        <v>8664</v>
      </c>
      <c r="I826" s="15">
        <v>1237.47</v>
      </c>
    </row>
    <row r="827" spans="1:9">
      <c r="A827" s="13">
        <v>45262</v>
      </c>
      <c r="B827" s="91">
        <f t="shared" si="14"/>
        <v>2023</v>
      </c>
      <c r="C827" s="15" t="s">
        <v>2141</v>
      </c>
      <c r="D827" s="15" t="s">
        <v>2148</v>
      </c>
      <c r="E827" s="15" t="s">
        <v>2129</v>
      </c>
      <c r="F827" s="15" t="s">
        <v>2116</v>
      </c>
      <c r="G827" s="15" t="s">
        <v>2117</v>
      </c>
      <c r="H827" s="15">
        <v>5162</v>
      </c>
      <c r="I827" s="15">
        <v>581.39</v>
      </c>
    </row>
    <row r="828" spans="1:9">
      <c r="A828" s="13">
        <v>44906</v>
      </c>
      <c r="B828" s="91">
        <f t="shared" si="14"/>
        <v>2022</v>
      </c>
      <c r="C828" s="15" t="s">
        <v>2141</v>
      </c>
      <c r="D828" s="15" t="s">
        <v>2142</v>
      </c>
      <c r="E828" s="15" t="s">
        <v>2115</v>
      </c>
      <c r="F828" s="15" t="s">
        <v>2124</v>
      </c>
      <c r="G828" s="15" t="s">
        <v>2140</v>
      </c>
      <c r="H828" s="15">
        <v>2859</v>
      </c>
      <c r="I828" s="15">
        <v>701.33</v>
      </c>
    </row>
    <row r="829" spans="1:9">
      <c r="A829" s="13">
        <v>45609</v>
      </c>
      <c r="B829" s="91">
        <f t="shared" si="14"/>
        <v>2024</v>
      </c>
      <c r="C829" s="15" t="s">
        <v>104</v>
      </c>
      <c r="D829" s="15" t="s">
        <v>2114</v>
      </c>
      <c r="E829" s="15" t="s">
        <v>2119</v>
      </c>
      <c r="F829" s="15" t="s">
        <v>2116</v>
      </c>
      <c r="G829" s="15" t="s">
        <v>2154</v>
      </c>
      <c r="H829" s="15">
        <v>7344</v>
      </c>
      <c r="I829" s="15">
        <v>960.46</v>
      </c>
    </row>
    <row r="830" spans="1:9">
      <c r="A830" s="13">
        <v>45211</v>
      </c>
      <c r="B830" s="91">
        <f t="shared" si="14"/>
        <v>2023</v>
      </c>
      <c r="C830" s="15" t="s">
        <v>104</v>
      </c>
      <c r="D830" s="15" t="s">
        <v>2152</v>
      </c>
      <c r="E830" s="15" t="s">
        <v>2145</v>
      </c>
      <c r="F830" s="15" t="s">
        <v>2116</v>
      </c>
      <c r="G830" s="15" t="s">
        <v>2154</v>
      </c>
      <c r="H830" s="15">
        <v>8706</v>
      </c>
      <c r="I830" s="15">
        <v>1370.7</v>
      </c>
    </row>
    <row r="831" spans="1:9">
      <c r="A831" s="13">
        <v>44846</v>
      </c>
      <c r="B831" s="91">
        <f t="shared" si="14"/>
        <v>2022</v>
      </c>
      <c r="C831" s="15" t="s">
        <v>104</v>
      </c>
      <c r="D831" s="15" t="s">
        <v>2152</v>
      </c>
      <c r="E831" s="15" t="s">
        <v>2134</v>
      </c>
      <c r="F831" s="15" t="s">
        <v>2124</v>
      </c>
      <c r="G831" s="15" t="s">
        <v>2125</v>
      </c>
      <c r="H831" s="15">
        <v>5722</v>
      </c>
      <c r="I831" s="15">
        <v>930.02</v>
      </c>
    </row>
    <row r="832" spans="1:9">
      <c r="A832" s="13">
        <v>45237</v>
      </c>
      <c r="B832" s="91">
        <f t="shared" si="14"/>
        <v>2023</v>
      </c>
      <c r="C832" s="15" t="s">
        <v>2113</v>
      </c>
      <c r="D832" s="15" t="s">
        <v>2114</v>
      </c>
      <c r="E832" s="15" t="s">
        <v>2134</v>
      </c>
      <c r="F832" s="15" t="s">
        <v>2116</v>
      </c>
      <c r="G832" s="15" t="s">
        <v>2127</v>
      </c>
      <c r="H832" s="15">
        <v>2441</v>
      </c>
      <c r="I832" s="15">
        <v>298.51</v>
      </c>
    </row>
    <row r="833" spans="1:9">
      <c r="A833" s="13">
        <v>45575</v>
      </c>
      <c r="B833" s="91">
        <f t="shared" si="14"/>
        <v>2024</v>
      </c>
      <c r="C833" s="15" t="s">
        <v>2113</v>
      </c>
      <c r="D833" s="15" t="s">
        <v>2131</v>
      </c>
      <c r="E833" s="15" t="s">
        <v>2115</v>
      </c>
      <c r="F833" s="15" t="s">
        <v>2116</v>
      </c>
      <c r="G833" s="15" t="s">
        <v>2117</v>
      </c>
      <c r="H833" s="15">
        <v>1181</v>
      </c>
      <c r="I833" s="15">
        <v>268</v>
      </c>
    </row>
    <row r="834" spans="1:9">
      <c r="A834" s="13">
        <v>44847</v>
      </c>
      <c r="B834" s="91">
        <f t="shared" si="14"/>
        <v>2022</v>
      </c>
      <c r="C834" s="15" t="s">
        <v>104</v>
      </c>
      <c r="D834" s="15" t="s">
        <v>2152</v>
      </c>
      <c r="E834" s="15" t="s">
        <v>2115</v>
      </c>
      <c r="F834" s="15" t="s">
        <v>2120</v>
      </c>
      <c r="G834" s="15" t="s">
        <v>2121</v>
      </c>
      <c r="H834" s="15">
        <v>8411</v>
      </c>
      <c r="I834" s="15">
        <v>2471.83</v>
      </c>
    </row>
    <row r="835" spans="1:9">
      <c r="A835" s="13">
        <v>44790</v>
      </c>
      <c r="B835" s="91">
        <f t="shared" ref="B835:B898" si="15">YEAR(A835)</f>
        <v>2022</v>
      </c>
      <c r="C835" s="15" t="s">
        <v>107</v>
      </c>
      <c r="D835" s="15" t="s">
        <v>2131</v>
      </c>
      <c r="E835" s="15" t="s">
        <v>2145</v>
      </c>
      <c r="F835" s="15" t="s">
        <v>2116</v>
      </c>
      <c r="G835" s="15" t="s">
        <v>2117</v>
      </c>
      <c r="H835" s="15">
        <v>2431</v>
      </c>
      <c r="I835" s="15">
        <v>372.71</v>
      </c>
    </row>
    <row r="836" spans="1:9">
      <c r="A836" s="13">
        <v>44722</v>
      </c>
      <c r="B836" s="91">
        <f t="shared" si="15"/>
        <v>2022</v>
      </c>
      <c r="C836" s="15" t="s">
        <v>2113</v>
      </c>
      <c r="D836" s="15" t="s">
        <v>2126</v>
      </c>
      <c r="E836" s="15" t="s">
        <v>2136</v>
      </c>
      <c r="F836" s="15" t="s">
        <v>2138</v>
      </c>
      <c r="G836" s="15" t="s">
        <v>2146</v>
      </c>
      <c r="H836" s="15">
        <v>5103</v>
      </c>
      <c r="I836" s="15">
        <v>576.4</v>
      </c>
    </row>
    <row r="837" spans="1:9">
      <c r="A837" s="13">
        <v>45129</v>
      </c>
      <c r="B837" s="91">
        <f t="shared" si="15"/>
        <v>2023</v>
      </c>
      <c r="C837" s="15" t="s">
        <v>107</v>
      </c>
      <c r="D837" s="15" t="s">
        <v>2114</v>
      </c>
      <c r="E837" s="15" t="s">
        <v>2129</v>
      </c>
      <c r="F837" s="15" t="s">
        <v>2124</v>
      </c>
      <c r="G837" s="15" t="s">
        <v>2140</v>
      </c>
      <c r="H837" s="15">
        <v>6882</v>
      </c>
      <c r="I837" s="15">
        <v>1294.23</v>
      </c>
    </row>
    <row r="838" spans="1:9">
      <c r="A838" s="13">
        <v>44662</v>
      </c>
      <c r="B838" s="91">
        <f t="shared" si="15"/>
        <v>2022</v>
      </c>
      <c r="C838" s="15" t="s">
        <v>2113</v>
      </c>
      <c r="D838" s="15" t="s">
        <v>2128</v>
      </c>
      <c r="E838" s="15" t="s">
        <v>2145</v>
      </c>
      <c r="F838" s="15" t="s">
        <v>2138</v>
      </c>
      <c r="G838" s="15" t="s">
        <v>2139</v>
      </c>
      <c r="H838" s="15">
        <v>4118</v>
      </c>
      <c r="I838" s="15">
        <v>1162.03</v>
      </c>
    </row>
    <row r="839" spans="1:9">
      <c r="A839" s="13">
        <v>45534</v>
      </c>
      <c r="B839" s="91">
        <f t="shared" si="15"/>
        <v>2024</v>
      </c>
      <c r="C839" s="15" t="s">
        <v>104</v>
      </c>
      <c r="D839" s="15" t="s">
        <v>2142</v>
      </c>
      <c r="E839" s="15" t="s">
        <v>2115</v>
      </c>
      <c r="F839" s="15" t="s">
        <v>2120</v>
      </c>
      <c r="G839" s="15" t="s">
        <v>2133</v>
      </c>
      <c r="H839" s="15">
        <v>9547</v>
      </c>
      <c r="I839" s="15">
        <v>1734.38</v>
      </c>
    </row>
    <row r="840" spans="1:9">
      <c r="A840" s="13">
        <v>45264</v>
      </c>
      <c r="B840" s="91">
        <f t="shared" si="15"/>
        <v>2023</v>
      </c>
      <c r="C840" s="15" t="s">
        <v>2113</v>
      </c>
      <c r="D840" s="15" t="s">
        <v>2114</v>
      </c>
      <c r="E840" s="15" t="s">
        <v>2129</v>
      </c>
      <c r="F840" s="15" t="s">
        <v>2116</v>
      </c>
      <c r="G840" s="15" t="s">
        <v>2127</v>
      </c>
      <c r="H840" s="15">
        <v>7729</v>
      </c>
      <c r="I840" s="15">
        <v>1136.69</v>
      </c>
    </row>
    <row r="841" spans="1:9">
      <c r="A841" s="13">
        <v>45099</v>
      </c>
      <c r="B841" s="91">
        <f t="shared" si="15"/>
        <v>2023</v>
      </c>
      <c r="C841" s="15" t="s">
        <v>107</v>
      </c>
      <c r="D841" s="15" t="s">
        <v>2126</v>
      </c>
      <c r="E841" s="15" t="s">
        <v>2145</v>
      </c>
      <c r="F841" s="15" t="s">
        <v>2124</v>
      </c>
      <c r="G841" s="15" t="s">
        <v>2140</v>
      </c>
      <c r="H841" s="15">
        <v>8087</v>
      </c>
      <c r="I841" s="15">
        <v>1993.86</v>
      </c>
    </row>
    <row r="842" spans="1:9">
      <c r="A842" s="13">
        <v>45603</v>
      </c>
      <c r="B842" s="91">
        <f t="shared" si="15"/>
        <v>2024</v>
      </c>
      <c r="C842" s="15" t="s">
        <v>107</v>
      </c>
      <c r="D842" s="15" t="s">
        <v>2114</v>
      </c>
      <c r="E842" s="15" t="s">
        <v>2123</v>
      </c>
      <c r="F842" s="15" t="s">
        <v>2124</v>
      </c>
      <c r="G842" s="15" t="s">
        <v>2130</v>
      </c>
      <c r="H842" s="15">
        <v>5078</v>
      </c>
      <c r="I842" s="15">
        <v>509.82</v>
      </c>
    </row>
    <row r="843" spans="1:9">
      <c r="A843" s="13">
        <v>45543</v>
      </c>
      <c r="B843" s="91">
        <f t="shared" si="15"/>
        <v>2024</v>
      </c>
      <c r="C843" s="15" t="s">
        <v>107</v>
      </c>
      <c r="D843" s="15" t="s">
        <v>2126</v>
      </c>
      <c r="E843" s="15" t="s">
        <v>2115</v>
      </c>
      <c r="F843" s="15" t="s">
        <v>2124</v>
      </c>
      <c r="G843" s="15" t="s">
        <v>2130</v>
      </c>
      <c r="H843" s="15">
        <v>7814</v>
      </c>
      <c r="I843" s="15">
        <v>1739.06</v>
      </c>
    </row>
    <row r="844" spans="1:9">
      <c r="A844" s="13">
        <v>44635</v>
      </c>
      <c r="B844" s="91">
        <f t="shared" si="15"/>
        <v>2022</v>
      </c>
      <c r="C844" s="15" t="s">
        <v>107</v>
      </c>
      <c r="D844" s="15" t="s">
        <v>2153</v>
      </c>
      <c r="E844" s="15" t="s">
        <v>2129</v>
      </c>
      <c r="F844" s="15" t="s">
        <v>2124</v>
      </c>
      <c r="G844" s="15" t="s">
        <v>2130</v>
      </c>
      <c r="H844" s="15">
        <v>1485</v>
      </c>
      <c r="I844" s="15">
        <v>251.8</v>
      </c>
    </row>
    <row r="845" spans="1:9">
      <c r="A845" s="13">
        <v>45194</v>
      </c>
      <c r="B845" s="91">
        <f t="shared" si="15"/>
        <v>2023</v>
      </c>
      <c r="C845" s="15" t="s">
        <v>2141</v>
      </c>
      <c r="D845" s="15" t="s">
        <v>2114</v>
      </c>
      <c r="E845" s="15" t="s">
        <v>2119</v>
      </c>
      <c r="F845" s="15" t="s">
        <v>2124</v>
      </c>
      <c r="G845" s="15" t="s">
        <v>2130</v>
      </c>
      <c r="H845" s="15">
        <v>8515</v>
      </c>
      <c r="I845" s="15">
        <v>1439.7</v>
      </c>
    </row>
    <row r="846" spans="1:9">
      <c r="A846" s="13">
        <v>45305</v>
      </c>
      <c r="B846" s="91">
        <f t="shared" si="15"/>
        <v>2024</v>
      </c>
      <c r="C846" s="15" t="s">
        <v>2141</v>
      </c>
      <c r="D846" s="15" t="s">
        <v>2118</v>
      </c>
      <c r="E846" s="15" t="s">
        <v>2123</v>
      </c>
      <c r="F846" s="15" t="s">
        <v>2116</v>
      </c>
      <c r="G846" s="15" t="s">
        <v>2117</v>
      </c>
      <c r="H846" s="15">
        <v>1279</v>
      </c>
      <c r="I846" s="15">
        <v>259.69</v>
      </c>
    </row>
    <row r="847" spans="1:9">
      <c r="A847" s="13">
        <v>44768</v>
      </c>
      <c r="B847" s="91">
        <f t="shared" si="15"/>
        <v>2022</v>
      </c>
      <c r="C847" s="15" t="s">
        <v>104</v>
      </c>
      <c r="D847" s="15" t="s">
        <v>2131</v>
      </c>
      <c r="E847" s="15" t="s">
        <v>2119</v>
      </c>
      <c r="F847" s="15" t="s">
        <v>2120</v>
      </c>
      <c r="G847" s="15" t="s">
        <v>2121</v>
      </c>
      <c r="H847" s="15">
        <v>2412</v>
      </c>
      <c r="I847" s="15">
        <v>325.64</v>
      </c>
    </row>
    <row r="848" spans="1:9">
      <c r="A848" s="13">
        <v>44876</v>
      </c>
      <c r="B848" s="91">
        <f t="shared" si="15"/>
        <v>2022</v>
      </c>
      <c r="C848" s="15" t="s">
        <v>107</v>
      </c>
      <c r="D848" s="15" t="s">
        <v>2128</v>
      </c>
      <c r="E848" s="15" t="s">
        <v>2123</v>
      </c>
      <c r="F848" s="15" t="s">
        <v>2138</v>
      </c>
      <c r="G848" s="15" t="s">
        <v>2146</v>
      </c>
      <c r="H848" s="15">
        <v>6269</v>
      </c>
      <c r="I848" s="15">
        <v>1025.55</v>
      </c>
    </row>
    <row r="849" spans="1:9">
      <c r="A849" s="13">
        <v>45526</v>
      </c>
      <c r="B849" s="91">
        <f t="shared" si="15"/>
        <v>2024</v>
      </c>
      <c r="C849" s="15" t="s">
        <v>104</v>
      </c>
      <c r="D849" s="15" t="s">
        <v>2142</v>
      </c>
      <c r="E849" s="15" t="s">
        <v>2151</v>
      </c>
      <c r="F849" s="15" t="s">
        <v>2138</v>
      </c>
      <c r="G849" s="15" t="s">
        <v>2146</v>
      </c>
      <c r="H849" s="15">
        <v>8012</v>
      </c>
      <c r="I849" s="15">
        <v>1500.99</v>
      </c>
    </row>
    <row r="850" spans="1:9">
      <c r="A850" s="13">
        <v>45616</v>
      </c>
      <c r="B850" s="91">
        <f t="shared" si="15"/>
        <v>2024</v>
      </c>
      <c r="C850" s="15" t="s">
        <v>2113</v>
      </c>
      <c r="D850" s="15" t="s">
        <v>2131</v>
      </c>
      <c r="E850" s="15" t="s">
        <v>2151</v>
      </c>
      <c r="F850" s="15" t="s">
        <v>2124</v>
      </c>
      <c r="G850" s="15" t="s">
        <v>2130</v>
      </c>
      <c r="H850" s="15">
        <v>1990</v>
      </c>
      <c r="I850" s="15">
        <v>332.51</v>
      </c>
    </row>
    <row r="851" spans="1:9">
      <c r="A851" s="13">
        <v>44563</v>
      </c>
      <c r="B851" s="91">
        <f t="shared" si="15"/>
        <v>2022</v>
      </c>
      <c r="C851" s="15" t="s">
        <v>104</v>
      </c>
      <c r="D851" s="15" t="s">
        <v>2142</v>
      </c>
      <c r="E851" s="15" t="s">
        <v>2129</v>
      </c>
      <c r="F851" s="15" t="s">
        <v>2138</v>
      </c>
      <c r="G851" s="15" t="s">
        <v>2139</v>
      </c>
      <c r="H851" s="15">
        <v>9584</v>
      </c>
      <c r="I851" s="15">
        <v>2272.9</v>
      </c>
    </row>
    <row r="852" spans="1:9">
      <c r="A852" s="13">
        <v>44744</v>
      </c>
      <c r="B852" s="91">
        <f t="shared" si="15"/>
        <v>2022</v>
      </c>
      <c r="C852" s="15" t="s">
        <v>2113</v>
      </c>
      <c r="D852" s="15" t="s">
        <v>2128</v>
      </c>
      <c r="E852" s="15" t="s">
        <v>2134</v>
      </c>
      <c r="F852" s="15" t="s">
        <v>2116</v>
      </c>
      <c r="G852" s="15" t="s">
        <v>2117</v>
      </c>
      <c r="H852" s="15">
        <v>5468</v>
      </c>
      <c r="I852" s="15">
        <v>846.63</v>
      </c>
    </row>
    <row r="853" spans="1:9">
      <c r="A853" s="13">
        <v>45022</v>
      </c>
      <c r="B853" s="91">
        <f t="shared" si="15"/>
        <v>2023</v>
      </c>
      <c r="C853" s="15" t="s">
        <v>2113</v>
      </c>
      <c r="D853" s="15" t="s">
        <v>2126</v>
      </c>
      <c r="E853" s="15" t="s">
        <v>2151</v>
      </c>
      <c r="F853" s="15" t="s">
        <v>2138</v>
      </c>
      <c r="G853" s="15" t="s">
        <v>2146</v>
      </c>
      <c r="H853" s="15">
        <v>2645</v>
      </c>
      <c r="I853" s="15">
        <v>487.73</v>
      </c>
    </row>
    <row r="854" spans="1:9">
      <c r="A854" s="13">
        <v>45549</v>
      </c>
      <c r="B854" s="91">
        <f t="shared" si="15"/>
        <v>2024</v>
      </c>
      <c r="C854" s="15" t="s">
        <v>104</v>
      </c>
      <c r="D854" s="15" t="s">
        <v>2135</v>
      </c>
      <c r="E854" s="15" t="s">
        <v>2119</v>
      </c>
      <c r="F854" s="15" t="s">
        <v>2120</v>
      </c>
      <c r="G854" s="15" t="s">
        <v>2133</v>
      </c>
      <c r="H854" s="15">
        <v>4129</v>
      </c>
      <c r="I854" s="15">
        <v>905.98</v>
      </c>
    </row>
    <row r="855" spans="1:9">
      <c r="A855" s="13">
        <v>44951</v>
      </c>
      <c r="B855" s="91">
        <f t="shared" si="15"/>
        <v>2023</v>
      </c>
      <c r="C855" s="15" t="s">
        <v>107</v>
      </c>
      <c r="D855" s="15" t="s">
        <v>2148</v>
      </c>
      <c r="E855" s="15" t="s">
        <v>2134</v>
      </c>
      <c r="F855" s="15" t="s">
        <v>2116</v>
      </c>
      <c r="G855" s="15" t="s">
        <v>2154</v>
      </c>
      <c r="H855" s="15">
        <v>9558</v>
      </c>
      <c r="I855" s="15">
        <v>2337.9699999999998</v>
      </c>
    </row>
    <row r="856" spans="1:9">
      <c r="A856" s="13">
        <v>45098</v>
      </c>
      <c r="B856" s="91">
        <f t="shared" si="15"/>
        <v>2023</v>
      </c>
      <c r="C856" s="15" t="s">
        <v>104</v>
      </c>
      <c r="D856" s="15" t="s">
        <v>2135</v>
      </c>
      <c r="E856" s="15" t="s">
        <v>2143</v>
      </c>
      <c r="F856" s="15" t="s">
        <v>2116</v>
      </c>
      <c r="G856" s="15" t="s">
        <v>2117</v>
      </c>
      <c r="H856" s="15">
        <v>5990</v>
      </c>
      <c r="I856" s="15">
        <v>916.32</v>
      </c>
    </row>
    <row r="857" spans="1:9">
      <c r="A857" s="13">
        <v>45276</v>
      </c>
      <c r="B857" s="91">
        <f t="shared" si="15"/>
        <v>2023</v>
      </c>
      <c r="C857" s="15" t="s">
        <v>2113</v>
      </c>
      <c r="D857" s="15" t="s">
        <v>2135</v>
      </c>
      <c r="E857" s="15" t="s">
        <v>2115</v>
      </c>
      <c r="F857" s="15" t="s">
        <v>2138</v>
      </c>
      <c r="G857" s="15" t="s">
        <v>2139</v>
      </c>
      <c r="H857" s="15">
        <v>9258</v>
      </c>
      <c r="I857" s="15">
        <v>1645.31</v>
      </c>
    </row>
    <row r="858" spans="1:9">
      <c r="A858" s="13">
        <v>45041</v>
      </c>
      <c r="B858" s="91">
        <f t="shared" si="15"/>
        <v>2023</v>
      </c>
      <c r="C858" s="15" t="s">
        <v>2141</v>
      </c>
      <c r="D858" s="15" t="s">
        <v>2126</v>
      </c>
      <c r="E858" s="15" t="s">
        <v>2129</v>
      </c>
      <c r="F858" s="15" t="s">
        <v>2138</v>
      </c>
      <c r="G858" s="15" t="s">
        <v>2139</v>
      </c>
      <c r="H858" s="15">
        <v>3649</v>
      </c>
      <c r="I858" s="15">
        <v>669.31</v>
      </c>
    </row>
    <row r="859" spans="1:9">
      <c r="A859" s="13">
        <v>45461</v>
      </c>
      <c r="B859" s="91">
        <f t="shared" si="15"/>
        <v>2024</v>
      </c>
      <c r="C859" s="15" t="s">
        <v>104</v>
      </c>
      <c r="D859" s="15" t="s">
        <v>2128</v>
      </c>
      <c r="E859" s="15" t="s">
        <v>2123</v>
      </c>
      <c r="F859" s="15" t="s">
        <v>2120</v>
      </c>
      <c r="G859" s="15" t="s">
        <v>2133</v>
      </c>
      <c r="H859" s="15">
        <v>9942</v>
      </c>
      <c r="I859" s="15">
        <v>2699.27</v>
      </c>
    </row>
    <row r="860" spans="1:9">
      <c r="A860" s="13">
        <v>45344</v>
      </c>
      <c r="B860" s="91">
        <f t="shared" si="15"/>
        <v>2024</v>
      </c>
      <c r="C860" s="15" t="s">
        <v>104</v>
      </c>
      <c r="D860" s="15" t="s">
        <v>2128</v>
      </c>
      <c r="E860" s="15" t="s">
        <v>2115</v>
      </c>
      <c r="F860" s="15" t="s">
        <v>2124</v>
      </c>
      <c r="G860" s="15" t="s">
        <v>2140</v>
      </c>
      <c r="H860" s="15">
        <v>3498</v>
      </c>
      <c r="I860" s="15">
        <v>647.84</v>
      </c>
    </row>
    <row r="861" spans="1:9">
      <c r="A861" s="13">
        <v>45407</v>
      </c>
      <c r="B861" s="91">
        <f t="shared" si="15"/>
        <v>2024</v>
      </c>
      <c r="C861" s="15" t="s">
        <v>2141</v>
      </c>
      <c r="D861" s="15" t="s">
        <v>2126</v>
      </c>
      <c r="E861" s="15" t="s">
        <v>2144</v>
      </c>
      <c r="F861" s="15" t="s">
        <v>2116</v>
      </c>
      <c r="G861" s="15" t="s">
        <v>2117</v>
      </c>
      <c r="H861" s="15">
        <v>9582</v>
      </c>
      <c r="I861" s="15">
        <v>1922.91</v>
      </c>
    </row>
    <row r="862" spans="1:9">
      <c r="A862" s="13">
        <v>44686</v>
      </c>
      <c r="B862" s="91">
        <f t="shared" si="15"/>
        <v>2022</v>
      </c>
      <c r="C862" s="15" t="s">
        <v>2141</v>
      </c>
      <c r="D862" s="15" t="s">
        <v>2142</v>
      </c>
      <c r="E862" s="15" t="s">
        <v>2151</v>
      </c>
      <c r="F862" s="15" t="s">
        <v>2124</v>
      </c>
      <c r="G862" s="15" t="s">
        <v>2140</v>
      </c>
      <c r="H862" s="15">
        <v>8055</v>
      </c>
      <c r="I862" s="15">
        <v>1576.44</v>
      </c>
    </row>
    <row r="863" spans="1:9">
      <c r="A863" s="13">
        <v>44715</v>
      </c>
      <c r="B863" s="91">
        <f t="shared" si="15"/>
        <v>2022</v>
      </c>
      <c r="C863" s="15" t="s">
        <v>104</v>
      </c>
      <c r="D863" s="15" t="s">
        <v>2128</v>
      </c>
      <c r="E863" s="15" t="s">
        <v>2134</v>
      </c>
      <c r="F863" s="15" t="s">
        <v>2120</v>
      </c>
      <c r="G863" s="15" t="s">
        <v>2133</v>
      </c>
      <c r="H863" s="15">
        <v>2186</v>
      </c>
      <c r="I863" s="15">
        <v>379.27</v>
      </c>
    </row>
    <row r="864" spans="1:9">
      <c r="A864" s="13">
        <v>45636</v>
      </c>
      <c r="B864" s="91">
        <f t="shared" si="15"/>
        <v>2024</v>
      </c>
      <c r="C864" s="15" t="s">
        <v>2113</v>
      </c>
      <c r="D864" s="15" t="s">
        <v>2135</v>
      </c>
      <c r="E864" s="15" t="s">
        <v>2143</v>
      </c>
      <c r="F864" s="15" t="s">
        <v>2120</v>
      </c>
      <c r="G864" s="15" t="s">
        <v>2121</v>
      </c>
      <c r="H864" s="15">
        <v>1107</v>
      </c>
      <c r="I864" s="15">
        <v>261.68</v>
      </c>
    </row>
    <row r="865" spans="1:9">
      <c r="A865" s="13">
        <v>45347</v>
      </c>
      <c r="B865" s="91">
        <f t="shared" si="15"/>
        <v>2024</v>
      </c>
      <c r="C865" s="15" t="s">
        <v>107</v>
      </c>
      <c r="D865" s="15" t="s">
        <v>2152</v>
      </c>
      <c r="E865" s="15" t="s">
        <v>2143</v>
      </c>
      <c r="F865" s="15" t="s">
        <v>2138</v>
      </c>
      <c r="G865" s="15" t="s">
        <v>2139</v>
      </c>
      <c r="H865" s="15">
        <v>1811</v>
      </c>
      <c r="I865" s="15">
        <v>374.5</v>
      </c>
    </row>
    <row r="866" spans="1:9">
      <c r="A866" s="13">
        <v>44956</v>
      </c>
      <c r="B866" s="91">
        <f t="shared" si="15"/>
        <v>2023</v>
      </c>
      <c r="C866" s="15" t="s">
        <v>104</v>
      </c>
      <c r="D866" s="15" t="s">
        <v>2118</v>
      </c>
      <c r="E866" s="15" t="s">
        <v>2143</v>
      </c>
      <c r="F866" s="15" t="s">
        <v>2116</v>
      </c>
      <c r="G866" s="15" t="s">
        <v>2154</v>
      </c>
      <c r="H866" s="15">
        <v>4516</v>
      </c>
      <c r="I866" s="15">
        <v>658.95</v>
      </c>
    </row>
    <row r="867" spans="1:9">
      <c r="A867" s="13">
        <v>45101</v>
      </c>
      <c r="B867" s="91">
        <f t="shared" si="15"/>
        <v>2023</v>
      </c>
      <c r="C867" s="15" t="s">
        <v>104</v>
      </c>
      <c r="D867" s="15" t="s">
        <v>2114</v>
      </c>
      <c r="E867" s="15" t="s">
        <v>2134</v>
      </c>
      <c r="F867" s="15" t="s">
        <v>2116</v>
      </c>
      <c r="G867" s="15" t="s">
        <v>2117</v>
      </c>
      <c r="H867" s="15">
        <v>5169</v>
      </c>
      <c r="I867" s="15">
        <v>851</v>
      </c>
    </row>
    <row r="868" spans="1:9">
      <c r="A868" s="13">
        <v>45496</v>
      </c>
      <c r="B868" s="91">
        <f t="shared" si="15"/>
        <v>2024</v>
      </c>
      <c r="C868" s="15" t="s">
        <v>2141</v>
      </c>
      <c r="D868" s="15" t="s">
        <v>2152</v>
      </c>
      <c r="E868" s="15" t="s">
        <v>2129</v>
      </c>
      <c r="F868" s="15" t="s">
        <v>2120</v>
      </c>
      <c r="G868" s="15" t="s">
        <v>2132</v>
      </c>
      <c r="H868" s="15">
        <v>9395</v>
      </c>
      <c r="I868" s="15">
        <v>1414.97</v>
      </c>
    </row>
    <row r="869" spans="1:9">
      <c r="A869" s="13">
        <v>45652</v>
      </c>
      <c r="B869" s="91">
        <f t="shared" si="15"/>
        <v>2024</v>
      </c>
      <c r="C869" s="15" t="s">
        <v>104</v>
      </c>
      <c r="D869" s="15" t="s">
        <v>2148</v>
      </c>
      <c r="E869" s="15" t="s">
        <v>2136</v>
      </c>
      <c r="F869" s="15" t="s">
        <v>2124</v>
      </c>
      <c r="G869" s="15" t="s">
        <v>2140</v>
      </c>
      <c r="H869" s="15">
        <v>2031</v>
      </c>
      <c r="I869" s="15">
        <v>323.23</v>
      </c>
    </row>
    <row r="870" spans="1:9">
      <c r="A870" s="13">
        <v>45330</v>
      </c>
      <c r="B870" s="91">
        <f t="shared" si="15"/>
        <v>2024</v>
      </c>
      <c r="C870" s="15" t="s">
        <v>104</v>
      </c>
      <c r="D870" s="15" t="s">
        <v>2142</v>
      </c>
      <c r="E870" s="15" t="s">
        <v>2123</v>
      </c>
      <c r="F870" s="15" t="s">
        <v>2116</v>
      </c>
      <c r="G870" s="15" t="s">
        <v>2154</v>
      </c>
      <c r="H870" s="15">
        <v>9338</v>
      </c>
      <c r="I870" s="15">
        <v>1240.81</v>
      </c>
    </row>
    <row r="871" spans="1:9">
      <c r="A871" s="13">
        <v>45560</v>
      </c>
      <c r="B871" s="91">
        <f t="shared" si="15"/>
        <v>2024</v>
      </c>
      <c r="C871" s="15" t="s">
        <v>2141</v>
      </c>
      <c r="D871" s="15" t="s">
        <v>2131</v>
      </c>
      <c r="E871" s="15" t="s">
        <v>2119</v>
      </c>
      <c r="F871" s="15" t="s">
        <v>2120</v>
      </c>
      <c r="G871" s="15" t="s">
        <v>2121</v>
      </c>
      <c r="H871" s="15">
        <v>4172</v>
      </c>
      <c r="I871" s="15">
        <v>738.25</v>
      </c>
    </row>
    <row r="872" spans="1:9">
      <c r="A872" s="13">
        <v>45189</v>
      </c>
      <c r="B872" s="91">
        <f t="shared" si="15"/>
        <v>2023</v>
      </c>
      <c r="C872" s="15" t="s">
        <v>107</v>
      </c>
      <c r="D872" s="15" t="s">
        <v>2153</v>
      </c>
      <c r="E872" s="15" t="s">
        <v>2119</v>
      </c>
      <c r="F872" s="15" t="s">
        <v>2120</v>
      </c>
      <c r="G872" s="15" t="s">
        <v>2133</v>
      </c>
      <c r="H872" s="15">
        <v>7112</v>
      </c>
      <c r="I872" s="15">
        <v>2101.39</v>
      </c>
    </row>
    <row r="873" spans="1:9">
      <c r="A873" s="13">
        <v>44715</v>
      </c>
      <c r="B873" s="91">
        <f t="shared" si="15"/>
        <v>2022</v>
      </c>
      <c r="C873" s="15" t="s">
        <v>2141</v>
      </c>
      <c r="D873" s="15" t="s">
        <v>2153</v>
      </c>
      <c r="E873" s="15" t="s">
        <v>2123</v>
      </c>
      <c r="F873" s="15" t="s">
        <v>2138</v>
      </c>
      <c r="G873" s="15" t="s">
        <v>2146</v>
      </c>
      <c r="H873" s="15">
        <v>2230</v>
      </c>
      <c r="I873" s="15">
        <v>271.56</v>
      </c>
    </row>
    <row r="874" spans="1:9">
      <c r="A874" s="13">
        <v>45072</v>
      </c>
      <c r="B874" s="91">
        <f t="shared" si="15"/>
        <v>2023</v>
      </c>
      <c r="C874" s="15" t="s">
        <v>2141</v>
      </c>
      <c r="D874" s="15" t="s">
        <v>2142</v>
      </c>
      <c r="E874" s="15" t="s">
        <v>2119</v>
      </c>
      <c r="F874" s="15" t="s">
        <v>2124</v>
      </c>
      <c r="G874" s="15" t="s">
        <v>2130</v>
      </c>
      <c r="H874" s="15">
        <v>8628</v>
      </c>
      <c r="I874" s="15">
        <v>1188.9100000000001</v>
      </c>
    </row>
    <row r="875" spans="1:9">
      <c r="A875" s="13">
        <v>44623</v>
      </c>
      <c r="B875" s="91">
        <f t="shared" si="15"/>
        <v>2022</v>
      </c>
      <c r="C875" s="15" t="s">
        <v>104</v>
      </c>
      <c r="D875" s="15" t="s">
        <v>2142</v>
      </c>
      <c r="E875" s="15" t="s">
        <v>2115</v>
      </c>
      <c r="F875" s="15" t="s">
        <v>2138</v>
      </c>
      <c r="G875" s="15" t="s">
        <v>2149</v>
      </c>
      <c r="H875" s="15">
        <v>5049</v>
      </c>
      <c r="I875" s="15">
        <v>1159.1099999999999</v>
      </c>
    </row>
    <row r="876" spans="1:9">
      <c r="A876" s="13">
        <v>45357</v>
      </c>
      <c r="B876" s="91">
        <f t="shared" si="15"/>
        <v>2024</v>
      </c>
      <c r="C876" s="15" t="s">
        <v>104</v>
      </c>
      <c r="D876" s="15" t="s">
        <v>2152</v>
      </c>
      <c r="E876" s="15" t="s">
        <v>2115</v>
      </c>
      <c r="F876" s="15" t="s">
        <v>2124</v>
      </c>
      <c r="G876" s="15" t="s">
        <v>2125</v>
      </c>
      <c r="H876" s="15">
        <v>9720</v>
      </c>
      <c r="I876" s="15">
        <v>1266.3599999999999</v>
      </c>
    </row>
    <row r="877" spans="1:9">
      <c r="A877" s="13">
        <v>45339</v>
      </c>
      <c r="B877" s="91">
        <f t="shared" si="15"/>
        <v>2024</v>
      </c>
      <c r="C877" s="15" t="s">
        <v>107</v>
      </c>
      <c r="D877" s="15" t="s">
        <v>2128</v>
      </c>
      <c r="E877" s="15" t="s">
        <v>2151</v>
      </c>
      <c r="F877" s="15" t="s">
        <v>2120</v>
      </c>
      <c r="G877" s="15" t="s">
        <v>2133</v>
      </c>
      <c r="H877" s="15">
        <v>8162</v>
      </c>
      <c r="I877" s="15">
        <v>2111.96</v>
      </c>
    </row>
    <row r="878" spans="1:9">
      <c r="A878" s="13">
        <v>44677</v>
      </c>
      <c r="B878" s="91">
        <f t="shared" si="15"/>
        <v>2022</v>
      </c>
      <c r="C878" s="15" t="s">
        <v>2141</v>
      </c>
      <c r="D878" s="15" t="s">
        <v>2131</v>
      </c>
      <c r="E878" s="15" t="s">
        <v>2129</v>
      </c>
      <c r="F878" s="15" t="s">
        <v>2124</v>
      </c>
      <c r="G878" s="15" t="s">
        <v>2125</v>
      </c>
      <c r="H878" s="15">
        <v>9088</v>
      </c>
      <c r="I878" s="15">
        <v>2225.5</v>
      </c>
    </row>
    <row r="879" spans="1:9">
      <c r="A879" s="13">
        <v>45609</v>
      </c>
      <c r="B879" s="91">
        <f t="shared" si="15"/>
        <v>2024</v>
      </c>
      <c r="C879" s="15" t="s">
        <v>2141</v>
      </c>
      <c r="D879" s="15" t="s">
        <v>2131</v>
      </c>
      <c r="E879" s="15" t="s">
        <v>2123</v>
      </c>
      <c r="F879" s="15" t="s">
        <v>2116</v>
      </c>
      <c r="G879" s="15" t="s">
        <v>2127</v>
      </c>
      <c r="H879" s="15">
        <v>9959</v>
      </c>
      <c r="I879" s="15">
        <v>1640.65</v>
      </c>
    </row>
    <row r="880" spans="1:9">
      <c r="A880" s="13">
        <v>45246</v>
      </c>
      <c r="B880" s="91">
        <f t="shared" si="15"/>
        <v>2023</v>
      </c>
      <c r="C880" s="15" t="s">
        <v>104</v>
      </c>
      <c r="D880" s="15" t="s">
        <v>2131</v>
      </c>
      <c r="E880" s="15" t="s">
        <v>2136</v>
      </c>
      <c r="F880" s="15" t="s">
        <v>2120</v>
      </c>
      <c r="G880" s="15" t="s">
        <v>2132</v>
      </c>
      <c r="H880" s="15">
        <v>4965</v>
      </c>
      <c r="I880" s="15">
        <v>1237.1300000000001</v>
      </c>
    </row>
    <row r="881" spans="1:9">
      <c r="A881" s="13">
        <v>44850</v>
      </c>
      <c r="B881" s="91">
        <f t="shared" si="15"/>
        <v>2022</v>
      </c>
      <c r="C881" s="15" t="s">
        <v>107</v>
      </c>
      <c r="D881" s="15" t="s">
        <v>2128</v>
      </c>
      <c r="E881" s="15" t="s">
        <v>2119</v>
      </c>
      <c r="F881" s="15" t="s">
        <v>2138</v>
      </c>
      <c r="G881" s="15" t="s">
        <v>2149</v>
      </c>
      <c r="H881" s="15">
        <v>8316</v>
      </c>
      <c r="I881" s="15">
        <v>2261.48</v>
      </c>
    </row>
    <row r="882" spans="1:9">
      <c r="A882" s="13">
        <v>45550</v>
      </c>
      <c r="B882" s="91">
        <f t="shared" si="15"/>
        <v>2024</v>
      </c>
      <c r="C882" s="15" t="s">
        <v>2141</v>
      </c>
      <c r="D882" s="15" t="s">
        <v>2148</v>
      </c>
      <c r="E882" s="15" t="s">
        <v>2151</v>
      </c>
      <c r="F882" s="15" t="s">
        <v>2120</v>
      </c>
      <c r="G882" s="15" t="s">
        <v>2133</v>
      </c>
      <c r="H882" s="15">
        <v>2892</v>
      </c>
      <c r="I882" s="15">
        <v>821.02</v>
      </c>
    </row>
    <row r="883" spans="1:9">
      <c r="A883" s="13">
        <v>45479</v>
      </c>
      <c r="B883" s="91">
        <f t="shared" si="15"/>
        <v>2024</v>
      </c>
      <c r="C883" s="15" t="s">
        <v>107</v>
      </c>
      <c r="D883" s="15" t="s">
        <v>2148</v>
      </c>
      <c r="E883" s="15" t="s">
        <v>2134</v>
      </c>
      <c r="F883" s="15" t="s">
        <v>2120</v>
      </c>
      <c r="G883" s="15" t="s">
        <v>2132</v>
      </c>
      <c r="H883" s="15">
        <v>7212</v>
      </c>
      <c r="I883" s="15">
        <v>2144.62</v>
      </c>
    </row>
    <row r="884" spans="1:9">
      <c r="A884" s="13">
        <v>45036</v>
      </c>
      <c r="B884" s="91">
        <f t="shared" si="15"/>
        <v>2023</v>
      </c>
      <c r="C884" s="15" t="s">
        <v>2141</v>
      </c>
      <c r="D884" s="15" t="s">
        <v>2114</v>
      </c>
      <c r="E884" s="15" t="s">
        <v>2115</v>
      </c>
      <c r="F884" s="15" t="s">
        <v>2120</v>
      </c>
      <c r="G884" s="15" t="s">
        <v>2133</v>
      </c>
      <c r="H884" s="15">
        <v>9034</v>
      </c>
      <c r="I884" s="15">
        <v>2315.63</v>
      </c>
    </row>
    <row r="885" spans="1:9">
      <c r="A885" s="13">
        <v>44740</v>
      </c>
      <c r="B885" s="91">
        <f t="shared" si="15"/>
        <v>2022</v>
      </c>
      <c r="C885" s="15" t="s">
        <v>2113</v>
      </c>
      <c r="D885" s="15" t="s">
        <v>2131</v>
      </c>
      <c r="E885" s="15" t="s">
        <v>2115</v>
      </c>
      <c r="F885" s="15" t="s">
        <v>2124</v>
      </c>
      <c r="G885" s="15" t="s">
        <v>2140</v>
      </c>
      <c r="H885" s="15">
        <v>4768</v>
      </c>
      <c r="I885" s="15">
        <v>910.01</v>
      </c>
    </row>
    <row r="886" spans="1:9">
      <c r="A886" s="13">
        <v>45059</v>
      </c>
      <c r="B886" s="91">
        <f t="shared" si="15"/>
        <v>2023</v>
      </c>
      <c r="C886" s="15" t="s">
        <v>2113</v>
      </c>
      <c r="D886" s="15" t="s">
        <v>2114</v>
      </c>
      <c r="E886" s="15" t="s">
        <v>2145</v>
      </c>
      <c r="F886" s="15" t="s">
        <v>2138</v>
      </c>
      <c r="G886" s="15" t="s">
        <v>2149</v>
      </c>
      <c r="H886" s="15">
        <v>9015</v>
      </c>
      <c r="I886" s="15">
        <v>1143.8</v>
      </c>
    </row>
    <row r="887" spans="1:9">
      <c r="A887" s="13">
        <v>45475</v>
      </c>
      <c r="B887" s="91">
        <f t="shared" si="15"/>
        <v>2024</v>
      </c>
      <c r="C887" s="15" t="s">
        <v>104</v>
      </c>
      <c r="D887" s="15" t="s">
        <v>2153</v>
      </c>
      <c r="E887" s="15" t="s">
        <v>2134</v>
      </c>
      <c r="F887" s="15" t="s">
        <v>2116</v>
      </c>
      <c r="G887" s="15" t="s">
        <v>2154</v>
      </c>
      <c r="H887" s="15">
        <v>7937</v>
      </c>
      <c r="I887" s="15">
        <v>2328.08</v>
      </c>
    </row>
    <row r="888" spans="1:9">
      <c r="A888" s="13">
        <v>45389</v>
      </c>
      <c r="B888" s="91">
        <f t="shared" si="15"/>
        <v>2024</v>
      </c>
      <c r="C888" s="15" t="s">
        <v>104</v>
      </c>
      <c r="D888" s="15" t="s">
        <v>2118</v>
      </c>
      <c r="E888" s="15" t="s">
        <v>2123</v>
      </c>
      <c r="F888" s="15" t="s">
        <v>2116</v>
      </c>
      <c r="G888" s="15" t="s">
        <v>2154</v>
      </c>
      <c r="H888" s="15">
        <v>3499</v>
      </c>
      <c r="I888" s="15">
        <v>511.7</v>
      </c>
    </row>
    <row r="889" spans="1:9">
      <c r="A889" s="13">
        <v>45234</v>
      </c>
      <c r="B889" s="91">
        <f t="shared" si="15"/>
        <v>2023</v>
      </c>
      <c r="C889" s="15" t="s">
        <v>107</v>
      </c>
      <c r="D889" s="15" t="s">
        <v>2128</v>
      </c>
      <c r="E889" s="15" t="s">
        <v>2136</v>
      </c>
      <c r="F889" s="15" t="s">
        <v>2124</v>
      </c>
      <c r="G889" s="15" t="s">
        <v>2130</v>
      </c>
      <c r="H889" s="15">
        <v>3475</v>
      </c>
      <c r="I889" s="15">
        <v>408.72</v>
      </c>
    </row>
    <row r="890" spans="1:9">
      <c r="A890" s="13">
        <v>45530</v>
      </c>
      <c r="B890" s="91">
        <f t="shared" si="15"/>
        <v>2024</v>
      </c>
      <c r="C890" s="15" t="s">
        <v>107</v>
      </c>
      <c r="D890" s="15" t="s">
        <v>2114</v>
      </c>
      <c r="E890" s="15" t="s">
        <v>2119</v>
      </c>
      <c r="F890" s="15" t="s">
        <v>2138</v>
      </c>
      <c r="G890" s="15" t="s">
        <v>2149</v>
      </c>
      <c r="H890" s="15">
        <v>1289</v>
      </c>
      <c r="I890" s="15">
        <v>245.88</v>
      </c>
    </row>
    <row r="891" spans="1:9">
      <c r="A891" s="13">
        <v>45328</v>
      </c>
      <c r="B891" s="91">
        <f t="shared" si="15"/>
        <v>2024</v>
      </c>
      <c r="C891" s="15" t="s">
        <v>104</v>
      </c>
      <c r="D891" s="15" t="s">
        <v>2152</v>
      </c>
      <c r="E891" s="15" t="s">
        <v>2145</v>
      </c>
      <c r="F891" s="15" t="s">
        <v>2120</v>
      </c>
      <c r="G891" s="15" t="s">
        <v>2121</v>
      </c>
      <c r="H891" s="15">
        <v>3781</v>
      </c>
      <c r="I891" s="15">
        <v>928.18</v>
      </c>
    </row>
    <row r="892" spans="1:9">
      <c r="A892" s="13">
        <v>44576</v>
      </c>
      <c r="B892" s="91">
        <f t="shared" si="15"/>
        <v>2022</v>
      </c>
      <c r="C892" s="15" t="s">
        <v>2141</v>
      </c>
      <c r="D892" s="15" t="s">
        <v>2131</v>
      </c>
      <c r="E892" s="15" t="s">
        <v>2145</v>
      </c>
      <c r="F892" s="15" t="s">
        <v>2124</v>
      </c>
      <c r="G892" s="15" t="s">
        <v>2125</v>
      </c>
      <c r="H892" s="15">
        <v>8829</v>
      </c>
      <c r="I892" s="15">
        <v>1032.0999999999999</v>
      </c>
    </row>
    <row r="893" spans="1:9">
      <c r="A893" s="13">
        <v>44999</v>
      </c>
      <c r="B893" s="91">
        <f t="shared" si="15"/>
        <v>2023</v>
      </c>
      <c r="C893" s="15" t="s">
        <v>2113</v>
      </c>
      <c r="D893" s="15" t="s">
        <v>2135</v>
      </c>
      <c r="E893" s="15" t="s">
        <v>2119</v>
      </c>
      <c r="F893" s="15" t="s">
        <v>2124</v>
      </c>
      <c r="G893" s="15" t="s">
        <v>2125</v>
      </c>
      <c r="H893" s="15">
        <v>5123</v>
      </c>
      <c r="I893" s="15">
        <v>1246.0899999999999</v>
      </c>
    </row>
    <row r="894" spans="1:9">
      <c r="A894" s="13">
        <v>45362</v>
      </c>
      <c r="B894" s="91">
        <f t="shared" si="15"/>
        <v>2024</v>
      </c>
      <c r="C894" s="15" t="s">
        <v>104</v>
      </c>
      <c r="D894" s="15" t="s">
        <v>2135</v>
      </c>
      <c r="E894" s="15" t="s">
        <v>2115</v>
      </c>
      <c r="F894" s="15" t="s">
        <v>2120</v>
      </c>
      <c r="G894" s="15" t="s">
        <v>2132</v>
      </c>
      <c r="H894" s="15">
        <v>9634</v>
      </c>
      <c r="I894" s="15">
        <v>1871.38</v>
      </c>
    </row>
    <row r="895" spans="1:9">
      <c r="A895" s="13">
        <v>45609</v>
      </c>
      <c r="B895" s="91">
        <f t="shared" si="15"/>
        <v>2024</v>
      </c>
      <c r="C895" s="15" t="s">
        <v>107</v>
      </c>
      <c r="D895" s="15" t="s">
        <v>2131</v>
      </c>
      <c r="E895" s="15" t="s">
        <v>2115</v>
      </c>
      <c r="F895" s="15" t="s">
        <v>2120</v>
      </c>
      <c r="G895" s="15" t="s">
        <v>2133</v>
      </c>
      <c r="H895" s="15">
        <v>2854</v>
      </c>
      <c r="I895" s="15">
        <v>800.11</v>
      </c>
    </row>
    <row r="896" spans="1:9">
      <c r="A896" s="13">
        <v>45433</v>
      </c>
      <c r="B896" s="91">
        <f t="shared" si="15"/>
        <v>2024</v>
      </c>
      <c r="C896" s="15" t="s">
        <v>2141</v>
      </c>
      <c r="D896" s="15" t="s">
        <v>2126</v>
      </c>
      <c r="E896" s="15" t="s">
        <v>2129</v>
      </c>
      <c r="F896" s="15" t="s">
        <v>2124</v>
      </c>
      <c r="G896" s="15" t="s">
        <v>2130</v>
      </c>
      <c r="H896" s="15">
        <v>7096</v>
      </c>
      <c r="I896" s="15">
        <v>1876.65</v>
      </c>
    </row>
    <row r="897" spans="1:9">
      <c r="A897" s="13">
        <v>45025</v>
      </c>
      <c r="B897" s="91">
        <f t="shared" si="15"/>
        <v>2023</v>
      </c>
      <c r="C897" s="15" t="s">
        <v>2141</v>
      </c>
      <c r="D897" s="15" t="s">
        <v>2118</v>
      </c>
      <c r="E897" s="15" t="s">
        <v>2136</v>
      </c>
      <c r="F897" s="15" t="s">
        <v>2124</v>
      </c>
      <c r="G897" s="15" t="s">
        <v>2140</v>
      </c>
      <c r="H897" s="15">
        <v>2094</v>
      </c>
      <c r="I897" s="15">
        <v>430.82</v>
      </c>
    </row>
    <row r="898" spans="1:9">
      <c r="A898" s="13">
        <v>45031</v>
      </c>
      <c r="B898" s="91">
        <f t="shared" si="15"/>
        <v>2023</v>
      </c>
      <c r="C898" s="15" t="s">
        <v>107</v>
      </c>
      <c r="D898" s="15" t="s">
        <v>2114</v>
      </c>
      <c r="E898" s="15" t="s">
        <v>2143</v>
      </c>
      <c r="F898" s="15" t="s">
        <v>2120</v>
      </c>
      <c r="G898" s="15" t="s">
        <v>2121</v>
      </c>
      <c r="H898" s="15">
        <v>9422</v>
      </c>
      <c r="I898" s="15">
        <v>1077.55</v>
      </c>
    </row>
    <row r="899" spans="1:9">
      <c r="A899" s="13">
        <v>45624</v>
      </c>
      <c r="B899" s="91">
        <f t="shared" ref="B899:B962" si="16">YEAR(A899)</f>
        <v>2024</v>
      </c>
      <c r="C899" s="15" t="s">
        <v>104</v>
      </c>
      <c r="D899" s="15" t="s">
        <v>2152</v>
      </c>
      <c r="E899" s="15" t="s">
        <v>2115</v>
      </c>
      <c r="F899" s="15" t="s">
        <v>2116</v>
      </c>
      <c r="G899" s="15" t="s">
        <v>2154</v>
      </c>
      <c r="H899" s="15">
        <v>9752</v>
      </c>
      <c r="I899" s="15">
        <v>2145.15</v>
      </c>
    </row>
    <row r="900" spans="1:9">
      <c r="A900" s="13">
        <v>44845</v>
      </c>
      <c r="B900" s="91">
        <f t="shared" si="16"/>
        <v>2022</v>
      </c>
      <c r="C900" s="15" t="s">
        <v>2113</v>
      </c>
      <c r="D900" s="15" t="s">
        <v>2135</v>
      </c>
      <c r="E900" s="15" t="s">
        <v>2144</v>
      </c>
      <c r="F900" s="15" t="s">
        <v>2138</v>
      </c>
      <c r="G900" s="15" t="s">
        <v>2146</v>
      </c>
      <c r="H900" s="15">
        <v>8986</v>
      </c>
      <c r="I900" s="15">
        <v>1170.92</v>
      </c>
    </row>
    <row r="901" spans="1:9">
      <c r="A901" s="13">
        <v>45617</v>
      </c>
      <c r="B901" s="91">
        <f t="shared" si="16"/>
        <v>2024</v>
      </c>
      <c r="C901" s="15" t="s">
        <v>107</v>
      </c>
      <c r="D901" s="15" t="s">
        <v>2148</v>
      </c>
      <c r="E901" s="15" t="s">
        <v>2145</v>
      </c>
      <c r="F901" s="15" t="s">
        <v>2138</v>
      </c>
      <c r="G901" s="15" t="s">
        <v>2146</v>
      </c>
      <c r="H901" s="15">
        <v>5323</v>
      </c>
      <c r="I901" s="15">
        <v>1490.86</v>
      </c>
    </row>
    <row r="902" spans="1:9">
      <c r="A902" s="13">
        <v>45194</v>
      </c>
      <c r="B902" s="91">
        <f t="shared" si="16"/>
        <v>2023</v>
      </c>
      <c r="C902" s="15" t="s">
        <v>2113</v>
      </c>
      <c r="D902" s="15" t="s">
        <v>2153</v>
      </c>
      <c r="E902" s="15" t="s">
        <v>2119</v>
      </c>
      <c r="F902" s="15" t="s">
        <v>2116</v>
      </c>
      <c r="G902" s="15" t="s">
        <v>2117</v>
      </c>
      <c r="H902" s="15">
        <v>1544</v>
      </c>
      <c r="I902" s="15">
        <v>288.29000000000002</v>
      </c>
    </row>
    <row r="903" spans="1:9">
      <c r="A903" s="13">
        <v>45280</v>
      </c>
      <c r="B903" s="91">
        <f t="shared" si="16"/>
        <v>2023</v>
      </c>
      <c r="C903" s="15" t="s">
        <v>2113</v>
      </c>
      <c r="D903" s="15" t="s">
        <v>2128</v>
      </c>
      <c r="E903" s="15" t="s">
        <v>2144</v>
      </c>
      <c r="F903" s="15" t="s">
        <v>2116</v>
      </c>
      <c r="G903" s="15" t="s">
        <v>2117</v>
      </c>
      <c r="H903" s="15">
        <v>4503</v>
      </c>
      <c r="I903" s="15">
        <v>863.74</v>
      </c>
    </row>
    <row r="904" spans="1:9">
      <c r="A904" s="13">
        <v>44942</v>
      </c>
      <c r="B904" s="91">
        <f t="shared" si="16"/>
        <v>2023</v>
      </c>
      <c r="C904" s="15" t="s">
        <v>104</v>
      </c>
      <c r="D904" s="15" t="s">
        <v>2126</v>
      </c>
      <c r="E904" s="15" t="s">
        <v>2143</v>
      </c>
      <c r="F904" s="15" t="s">
        <v>2138</v>
      </c>
      <c r="G904" s="15" t="s">
        <v>2139</v>
      </c>
      <c r="H904" s="15">
        <v>7667</v>
      </c>
      <c r="I904" s="15">
        <v>1730.31</v>
      </c>
    </row>
    <row r="905" spans="1:9">
      <c r="A905" s="13">
        <v>44781</v>
      </c>
      <c r="B905" s="91">
        <f t="shared" si="16"/>
        <v>2022</v>
      </c>
      <c r="C905" s="15" t="s">
        <v>104</v>
      </c>
      <c r="D905" s="15" t="s">
        <v>2142</v>
      </c>
      <c r="E905" s="15" t="s">
        <v>2115</v>
      </c>
      <c r="F905" s="15" t="s">
        <v>2120</v>
      </c>
      <c r="G905" s="15" t="s">
        <v>2121</v>
      </c>
      <c r="H905" s="15">
        <v>6945</v>
      </c>
      <c r="I905" s="15">
        <v>1065.83</v>
      </c>
    </row>
    <row r="906" spans="1:9">
      <c r="A906" s="13">
        <v>44870</v>
      </c>
      <c r="B906" s="91">
        <f t="shared" si="16"/>
        <v>2022</v>
      </c>
      <c r="C906" s="15" t="s">
        <v>2113</v>
      </c>
      <c r="D906" s="15" t="s">
        <v>2126</v>
      </c>
      <c r="E906" s="15" t="s">
        <v>2136</v>
      </c>
      <c r="F906" s="15" t="s">
        <v>2124</v>
      </c>
      <c r="G906" s="15" t="s">
        <v>2140</v>
      </c>
      <c r="H906" s="15">
        <v>9696</v>
      </c>
      <c r="I906" s="15">
        <v>1904.34</v>
      </c>
    </row>
    <row r="907" spans="1:9">
      <c r="A907" s="13">
        <v>45126</v>
      </c>
      <c r="B907" s="91">
        <f t="shared" si="16"/>
        <v>2023</v>
      </c>
      <c r="C907" s="15" t="s">
        <v>107</v>
      </c>
      <c r="D907" s="15" t="s">
        <v>2135</v>
      </c>
      <c r="E907" s="15" t="s">
        <v>2136</v>
      </c>
      <c r="F907" s="15" t="s">
        <v>2120</v>
      </c>
      <c r="G907" s="15" t="s">
        <v>2132</v>
      </c>
      <c r="H907" s="15">
        <v>8043</v>
      </c>
      <c r="I907" s="15">
        <v>1318.12</v>
      </c>
    </row>
    <row r="908" spans="1:9">
      <c r="A908" s="13">
        <v>45477</v>
      </c>
      <c r="B908" s="91">
        <f t="shared" si="16"/>
        <v>2024</v>
      </c>
      <c r="C908" s="15" t="s">
        <v>2141</v>
      </c>
      <c r="D908" s="15" t="s">
        <v>2135</v>
      </c>
      <c r="E908" s="15" t="s">
        <v>2136</v>
      </c>
      <c r="F908" s="15" t="s">
        <v>2120</v>
      </c>
      <c r="G908" s="15" t="s">
        <v>2121</v>
      </c>
      <c r="H908" s="15">
        <v>9967</v>
      </c>
      <c r="I908" s="15">
        <v>2780.88</v>
      </c>
    </row>
    <row r="909" spans="1:9">
      <c r="A909" s="13">
        <v>45049</v>
      </c>
      <c r="B909" s="91">
        <f t="shared" si="16"/>
        <v>2023</v>
      </c>
      <c r="C909" s="15" t="s">
        <v>2113</v>
      </c>
      <c r="D909" s="15" t="s">
        <v>2114</v>
      </c>
      <c r="E909" s="15" t="s">
        <v>2145</v>
      </c>
      <c r="F909" s="15" t="s">
        <v>2120</v>
      </c>
      <c r="G909" s="15" t="s">
        <v>2133</v>
      </c>
      <c r="H909" s="15">
        <v>3984</v>
      </c>
      <c r="I909" s="15">
        <v>1140.29</v>
      </c>
    </row>
    <row r="910" spans="1:9">
      <c r="A910" s="13">
        <v>45167</v>
      </c>
      <c r="B910" s="91">
        <f t="shared" si="16"/>
        <v>2023</v>
      </c>
      <c r="C910" s="15" t="s">
        <v>2113</v>
      </c>
      <c r="D910" s="15" t="s">
        <v>2128</v>
      </c>
      <c r="E910" s="15" t="s">
        <v>2115</v>
      </c>
      <c r="F910" s="15" t="s">
        <v>2116</v>
      </c>
      <c r="G910" s="15" t="s">
        <v>2117</v>
      </c>
      <c r="H910" s="15">
        <v>8054</v>
      </c>
      <c r="I910" s="15">
        <v>944.82</v>
      </c>
    </row>
    <row r="911" spans="1:9">
      <c r="A911" s="13">
        <v>45025</v>
      </c>
      <c r="B911" s="91">
        <f t="shared" si="16"/>
        <v>2023</v>
      </c>
      <c r="C911" s="15" t="s">
        <v>2113</v>
      </c>
      <c r="D911" s="15" t="s">
        <v>2142</v>
      </c>
      <c r="E911" s="15" t="s">
        <v>2119</v>
      </c>
      <c r="F911" s="15" t="s">
        <v>2120</v>
      </c>
      <c r="G911" s="15" t="s">
        <v>2133</v>
      </c>
      <c r="H911" s="15">
        <v>7316</v>
      </c>
      <c r="I911" s="15">
        <v>2017.69</v>
      </c>
    </row>
    <row r="912" spans="1:9">
      <c r="A912" s="13">
        <v>44775</v>
      </c>
      <c r="B912" s="91">
        <f t="shared" si="16"/>
        <v>2022</v>
      </c>
      <c r="C912" s="15" t="s">
        <v>104</v>
      </c>
      <c r="D912" s="15" t="s">
        <v>2128</v>
      </c>
      <c r="E912" s="15" t="s">
        <v>2134</v>
      </c>
      <c r="F912" s="15" t="s">
        <v>2120</v>
      </c>
      <c r="G912" s="15" t="s">
        <v>2132</v>
      </c>
      <c r="H912" s="15">
        <v>3550</v>
      </c>
      <c r="I912" s="15">
        <v>737.13</v>
      </c>
    </row>
    <row r="913" spans="1:9">
      <c r="A913" s="13">
        <v>45186</v>
      </c>
      <c r="B913" s="91">
        <f t="shared" si="16"/>
        <v>2023</v>
      </c>
      <c r="C913" s="15" t="s">
        <v>107</v>
      </c>
      <c r="D913" s="15" t="s">
        <v>2148</v>
      </c>
      <c r="E913" s="15" t="s">
        <v>2134</v>
      </c>
      <c r="F913" s="15" t="s">
        <v>2120</v>
      </c>
      <c r="G913" s="15" t="s">
        <v>2132</v>
      </c>
      <c r="H913" s="15">
        <v>1459</v>
      </c>
      <c r="I913" s="15">
        <v>291.92</v>
      </c>
    </row>
    <row r="914" spans="1:9">
      <c r="A914" s="13">
        <v>44837</v>
      </c>
      <c r="B914" s="91">
        <f t="shared" si="16"/>
        <v>2022</v>
      </c>
      <c r="C914" s="15" t="s">
        <v>2113</v>
      </c>
      <c r="D914" s="15" t="s">
        <v>2131</v>
      </c>
      <c r="E914" s="15" t="s">
        <v>2143</v>
      </c>
      <c r="F914" s="15" t="s">
        <v>2138</v>
      </c>
      <c r="G914" s="15" t="s">
        <v>2149</v>
      </c>
      <c r="H914" s="15">
        <v>4074</v>
      </c>
      <c r="I914" s="15">
        <v>888.6</v>
      </c>
    </row>
    <row r="915" spans="1:9">
      <c r="A915" s="13">
        <v>45506</v>
      </c>
      <c r="B915" s="91">
        <f t="shared" si="16"/>
        <v>2024</v>
      </c>
      <c r="C915" s="15" t="s">
        <v>107</v>
      </c>
      <c r="D915" s="15" t="s">
        <v>2142</v>
      </c>
      <c r="E915" s="15" t="s">
        <v>2129</v>
      </c>
      <c r="F915" s="15" t="s">
        <v>2124</v>
      </c>
      <c r="G915" s="15" t="s">
        <v>2125</v>
      </c>
      <c r="H915" s="15">
        <v>1275</v>
      </c>
      <c r="I915" s="15">
        <v>184.15</v>
      </c>
    </row>
    <row r="916" spans="1:9">
      <c r="A916" s="13">
        <v>45027</v>
      </c>
      <c r="B916" s="91">
        <f t="shared" si="16"/>
        <v>2023</v>
      </c>
      <c r="C916" s="15" t="s">
        <v>107</v>
      </c>
      <c r="D916" s="15" t="s">
        <v>2152</v>
      </c>
      <c r="E916" s="15" t="s">
        <v>2144</v>
      </c>
      <c r="F916" s="15" t="s">
        <v>2116</v>
      </c>
      <c r="G916" s="15" t="s">
        <v>2154</v>
      </c>
      <c r="H916" s="15">
        <v>6573</v>
      </c>
      <c r="I916" s="15">
        <v>788.14</v>
      </c>
    </row>
    <row r="917" spans="1:9">
      <c r="A917" s="13">
        <v>44679</v>
      </c>
      <c r="B917" s="91">
        <f t="shared" si="16"/>
        <v>2022</v>
      </c>
      <c r="C917" s="15" t="s">
        <v>2113</v>
      </c>
      <c r="D917" s="15" t="s">
        <v>2131</v>
      </c>
      <c r="E917" s="15" t="s">
        <v>2129</v>
      </c>
      <c r="F917" s="15" t="s">
        <v>2116</v>
      </c>
      <c r="G917" s="15" t="s">
        <v>2127</v>
      </c>
      <c r="H917" s="15">
        <v>1358</v>
      </c>
      <c r="I917" s="15">
        <v>260.76</v>
      </c>
    </row>
    <row r="918" spans="1:9">
      <c r="A918" s="13">
        <v>44650</v>
      </c>
      <c r="B918" s="91">
        <f t="shared" si="16"/>
        <v>2022</v>
      </c>
      <c r="C918" s="15" t="s">
        <v>2141</v>
      </c>
      <c r="D918" s="15" t="s">
        <v>2153</v>
      </c>
      <c r="E918" s="15" t="s">
        <v>2136</v>
      </c>
      <c r="F918" s="15" t="s">
        <v>2116</v>
      </c>
      <c r="G918" s="15" t="s">
        <v>2117</v>
      </c>
      <c r="H918" s="15">
        <v>1257</v>
      </c>
      <c r="I918" s="15">
        <v>145.25</v>
      </c>
    </row>
    <row r="919" spans="1:9">
      <c r="A919" s="13">
        <v>45390</v>
      </c>
      <c r="B919" s="91">
        <f t="shared" si="16"/>
        <v>2024</v>
      </c>
      <c r="C919" s="15" t="s">
        <v>2141</v>
      </c>
      <c r="D919" s="15" t="s">
        <v>2153</v>
      </c>
      <c r="E919" s="15" t="s">
        <v>2134</v>
      </c>
      <c r="F919" s="15" t="s">
        <v>2138</v>
      </c>
      <c r="G919" s="15" t="s">
        <v>2146</v>
      </c>
      <c r="H919" s="15">
        <v>7134</v>
      </c>
      <c r="I919" s="15">
        <v>1379.66</v>
      </c>
    </row>
    <row r="920" spans="1:9">
      <c r="A920" s="13">
        <v>45487</v>
      </c>
      <c r="B920" s="91">
        <f t="shared" si="16"/>
        <v>2024</v>
      </c>
      <c r="C920" s="15" t="s">
        <v>104</v>
      </c>
      <c r="D920" s="15" t="s">
        <v>2126</v>
      </c>
      <c r="E920" s="15" t="s">
        <v>2134</v>
      </c>
      <c r="F920" s="15" t="s">
        <v>2116</v>
      </c>
      <c r="G920" s="15" t="s">
        <v>2154</v>
      </c>
      <c r="H920" s="15">
        <v>2045</v>
      </c>
      <c r="I920" s="15">
        <v>484.76</v>
      </c>
    </row>
    <row r="921" spans="1:9">
      <c r="A921" s="13">
        <v>45202</v>
      </c>
      <c r="B921" s="91">
        <f t="shared" si="16"/>
        <v>2023</v>
      </c>
      <c r="C921" s="15" t="s">
        <v>107</v>
      </c>
      <c r="D921" s="15" t="s">
        <v>2135</v>
      </c>
      <c r="E921" s="15" t="s">
        <v>2143</v>
      </c>
      <c r="F921" s="15" t="s">
        <v>2120</v>
      </c>
      <c r="G921" s="15" t="s">
        <v>2132</v>
      </c>
      <c r="H921" s="15">
        <v>4326</v>
      </c>
      <c r="I921" s="15">
        <v>1078.8699999999999</v>
      </c>
    </row>
    <row r="922" spans="1:9">
      <c r="A922" s="13">
        <v>44686</v>
      </c>
      <c r="B922" s="91">
        <f t="shared" si="16"/>
        <v>2022</v>
      </c>
      <c r="C922" s="15" t="s">
        <v>107</v>
      </c>
      <c r="D922" s="15" t="s">
        <v>2148</v>
      </c>
      <c r="E922" s="15" t="s">
        <v>2145</v>
      </c>
      <c r="F922" s="15" t="s">
        <v>2124</v>
      </c>
      <c r="G922" s="15" t="s">
        <v>2125</v>
      </c>
      <c r="H922" s="15">
        <v>3669</v>
      </c>
      <c r="I922" s="15">
        <v>773.43</v>
      </c>
    </row>
    <row r="923" spans="1:9">
      <c r="A923" s="13">
        <v>45346</v>
      </c>
      <c r="B923" s="91">
        <f t="shared" si="16"/>
        <v>2024</v>
      </c>
      <c r="C923" s="15" t="s">
        <v>2141</v>
      </c>
      <c r="D923" s="15" t="s">
        <v>2135</v>
      </c>
      <c r="E923" s="15" t="s">
        <v>2143</v>
      </c>
      <c r="F923" s="15" t="s">
        <v>2120</v>
      </c>
      <c r="G923" s="15" t="s">
        <v>2133</v>
      </c>
      <c r="H923" s="15">
        <v>5937</v>
      </c>
      <c r="I923" s="15">
        <v>818.48</v>
      </c>
    </row>
    <row r="924" spans="1:9">
      <c r="A924" s="13">
        <v>44893</v>
      </c>
      <c r="B924" s="91">
        <f t="shared" si="16"/>
        <v>2022</v>
      </c>
      <c r="C924" s="15" t="s">
        <v>2141</v>
      </c>
      <c r="D924" s="15" t="s">
        <v>2142</v>
      </c>
      <c r="E924" s="15" t="s">
        <v>2145</v>
      </c>
      <c r="F924" s="15" t="s">
        <v>2116</v>
      </c>
      <c r="G924" s="15" t="s">
        <v>2117</v>
      </c>
      <c r="H924" s="15">
        <v>3765</v>
      </c>
      <c r="I924" s="15">
        <v>537.33000000000004</v>
      </c>
    </row>
    <row r="925" spans="1:9">
      <c r="A925" s="13">
        <v>44725</v>
      </c>
      <c r="B925" s="91">
        <f t="shared" si="16"/>
        <v>2022</v>
      </c>
      <c r="C925" s="15" t="s">
        <v>104</v>
      </c>
      <c r="D925" s="15" t="s">
        <v>2126</v>
      </c>
      <c r="E925" s="15" t="s">
        <v>2144</v>
      </c>
      <c r="F925" s="15" t="s">
        <v>2120</v>
      </c>
      <c r="G925" s="15" t="s">
        <v>2132</v>
      </c>
      <c r="H925" s="15">
        <v>9312</v>
      </c>
      <c r="I925" s="15">
        <v>1155.33</v>
      </c>
    </row>
    <row r="926" spans="1:9">
      <c r="A926" s="13">
        <v>45224</v>
      </c>
      <c r="B926" s="91">
        <f t="shared" si="16"/>
        <v>2023</v>
      </c>
      <c r="C926" s="15" t="s">
        <v>104</v>
      </c>
      <c r="D926" s="15" t="s">
        <v>2131</v>
      </c>
      <c r="E926" s="15" t="s">
        <v>2115</v>
      </c>
      <c r="F926" s="15" t="s">
        <v>2116</v>
      </c>
      <c r="G926" s="15" t="s">
        <v>2154</v>
      </c>
      <c r="H926" s="15">
        <v>7584</v>
      </c>
      <c r="I926" s="15">
        <v>973.97</v>
      </c>
    </row>
    <row r="927" spans="1:9">
      <c r="A927" s="13">
        <v>45597</v>
      </c>
      <c r="B927" s="91">
        <f t="shared" si="16"/>
        <v>2024</v>
      </c>
      <c r="C927" s="15" t="s">
        <v>2113</v>
      </c>
      <c r="D927" s="15" t="s">
        <v>2118</v>
      </c>
      <c r="E927" s="15" t="s">
        <v>2134</v>
      </c>
      <c r="F927" s="15" t="s">
        <v>2138</v>
      </c>
      <c r="G927" s="15" t="s">
        <v>2149</v>
      </c>
      <c r="H927" s="15">
        <v>6708</v>
      </c>
      <c r="I927" s="15">
        <v>1947.44</v>
      </c>
    </row>
    <row r="928" spans="1:9">
      <c r="A928" s="13">
        <v>45400</v>
      </c>
      <c r="B928" s="91">
        <f t="shared" si="16"/>
        <v>2024</v>
      </c>
      <c r="C928" s="15" t="s">
        <v>2141</v>
      </c>
      <c r="D928" s="15" t="s">
        <v>2135</v>
      </c>
      <c r="E928" s="15" t="s">
        <v>2129</v>
      </c>
      <c r="F928" s="15" t="s">
        <v>2116</v>
      </c>
      <c r="G928" s="15" t="s">
        <v>2127</v>
      </c>
      <c r="H928" s="15">
        <v>7310</v>
      </c>
      <c r="I928" s="15">
        <v>856.31</v>
      </c>
    </row>
    <row r="929" spans="1:9">
      <c r="A929" s="13">
        <v>44751</v>
      </c>
      <c r="B929" s="91">
        <f t="shared" si="16"/>
        <v>2022</v>
      </c>
      <c r="C929" s="15" t="s">
        <v>2141</v>
      </c>
      <c r="D929" s="15" t="s">
        <v>2135</v>
      </c>
      <c r="E929" s="15" t="s">
        <v>2144</v>
      </c>
      <c r="F929" s="15" t="s">
        <v>2116</v>
      </c>
      <c r="G929" s="15" t="s">
        <v>2127</v>
      </c>
      <c r="H929" s="15">
        <v>6126</v>
      </c>
      <c r="I929" s="15">
        <v>650.85</v>
      </c>
    </row>
    <row r="930" spans="1:9">
      <c r="A930" s="13">
        <v>45190</v>
      </c>
      <c r="B930" s="91">
        <f t="shared" si="16"/>
        <v>2023</v>
      </c>
      <c r="C930" s="15" t="s">
        <v>104</v>
      </c>
      <c r="D930" s="15" t="s">
        <v>2142</v>
      </c>
      <c r="E930" s="15" t="s">
        <v>2129</v>
      </c>
      <c r="F930" s="15" t="s">
        <v>2124</v>
      </c>
      <c r="G930" s="15" t="s">
        <v>2125</v>
      </c>
      <c r="H930" s="15">
        <v>4353</v>
      </c>
      <c r="I930" s="15">
        <v>943.01</v>
      </c>
    </row>
    <row r="931" spans="1:9">
      <c r="A931" s="13">
        <v>45535</v>
      </c>
      <c r="B931" s="91">
        <f t="shared" si="16"/>
        <v>2024</v>
      </c>
      <c r="C931" s="15" t="s">
        <v>2113</v>
      </c>
      <c r="D931" s="15" t="s">
        <v>2135</v>
      </c>
      <c r="E931" s="15" t="s">
        <v>2144</v>
      </c>
      <c r="F931" s="15" t="s">
        <v>2116</v>
      </c>
      <c r="G931" s="15" t="s">
        <v>2154</v>
      </c>
      <c r="H931" s="15">
        <v>6893</v>
      </c>
      <c r="I931" s="15">
        <v>1392.19</v>
      </c>
    </row>
    <row r="932" spans="1:9">
      <c r="A932" s="13">
        <v>44847</v>
      </c>
      <c r="B932" s="91">
        <f t="shared" si="16"/>
        <v>2022</v>
      </c>
      <c r="C932" s="15" t="s">
        <v>2141</v>
      </c>
      <c r="D932" s="15" t="s">
        <v>2148</v>
      </c>
      <c r="E932" s="15" t="s">
        <v>2129</v>
      </c>
      <c r="F932" s="15" t="s">
        <v>2138</v>
      </c>
      <c r="G932" s="15" t="s">
        <v>2139</v>
      </c>
      <c r="H932" s="15">
        <v>4108</v>
      </c>
      <c r="I932" s="15">
        <v>564.9</v>
      </c>
    </row>
    <row r="933" spans="1:9">
      <c r="A933" s="13">
        <v>44917</v>
      </c>
      <c r="B933" s="91">
        <f t="shared" si="16"/>
        <v>2022</v>
      </c>
      <c r="C933" s="15" t="s">
        <v>104</v>
      </c>
      <c r="D933" s="15" t="s">
        <v>2131</v>
      </c>
      <c r="E933" s="15" t="s">
        <v>2134</v>
      </c>
      <c r="F933" s="15" t="s">
        <v>2124</v>
      </c>
      <c r="G933" s="15" t="s">
        <v>2140</v>
      </c>
      <c r="H933" s="15">
        <v>5974</v>
      </c>
      <c r="I933" s="15">
        <v>1127.27</v>
      </c>
    </row>
    <row r="934" spans="1:9">
      <c r="A934" s="13">
        <v>45420</v>
      </c>
      <c r="B934" s="91">
        <f t="shared" si="16"/>
        <v>2024</v>
      </c>
      <c r="C934" s="15" t="s">
        <v>2141</v>
      </c>
      <c r="D934" s="15" t="s">
        <v>2148</v>
      </c>
      <c r="E934" s="15" t="s">
        <v>2145</v>
      </c>
      <c r="F934" s="15" t="s">
        <v>2120</v>
      </c>
      <c r="G934" s="15" t="s">
        <v>2121</v>
      </c>
      <c r="H934" s="15">
        <v>5206</v>
      </c>
      <c r="I934" s="15">
        <v>1362.8</v>
      </c>
    </row>
    <row r="935" spans="1:9">
      <c r="A935" s="13">
        <v>44570</v>
      </c>
      <c r="B935" s="91">
        <f t="shared" si="16"/>
        <v>2022</v>
      </c>
      <c r="C935" s="15" t="s">
        <v>2113</v>
      </c>
      <c r="D935" s="15" t="s">
        <v>2126</v>
      </c>
      <c r="E935" s="15" t="s">
        <v>2151</v>
      </c>
      <c r="F935" s="15" t="s">
        <v>2116</v>
      </c>
      <c r="G935" s="15" t="s">
        <v>2127</v>
      </c>
      <c r="H935" s="15">
        <v>6310</v>
      </c>
      <c r="I935" s="15">
        <v>1780.01</v>
      </c>
    </row>
    <row r="936" spans="1:9">
      <c r="A936" s="13">
        <v>45265</v>
      </c>
      <c r="B936" s="91">
        <f t="shared" si="16"/>
        <v>2023</v>
      </c>
      <c r="C936" s="15" t="s">
        <v>104</v>
      </c>
      <c r="D936" s="15" t="s">
        <v>2131</v>
      </c>
      <c r="E936" s="15" t="s">
        <v>2144</v>
      </c>
      <c r="F936" s="15" t="s">
        <v>2120</v>
      </c>
      <c r="G936" s="15" t="s">
        <v>2132</v>
      </c>
      <c r="H936" s="15">
        <v>2154</v>
      </c>
      <c r="I936" s="15">
        <v>434.96</v>
      </c>
    </row>
    <row r="937" spans="1:9">
      <c r="A937" s="13">
        <v>44701</v>
      </c>
      <c r="B937" s="91">
        <f t="shared" si="16"/>
        <v>2022</v>
      </c>
      <c r="C937" s="15" t="s">
        <v>2113</v>
      </c>
      <c r="D937" s="15" t="s">
        <v>2131</v>
      </c>
      <c r="E937" s="15" t="s">
        <v>2119</v>
      </c>
      <c r="F937" s="15" t="s">
        <v>2138</v>
      </c>
      <c r="G937" s="15" t="s">
        <v>2139</v>
      </c>
      <c r="H937" s="15">
        <v>7051</v>
      </c>
      <c r="I937" s="15">
        <v>1922.78</v>
      </c>
    </row>
    <row r="938" spans="1:9">
      <c r="A938" s="13">
        <v>44626</v>
      </c>
      <c r="B938" s="91">
        <f t="shared" si="16"/>
        <v>2022</v>
      </c>
      <c r="C938" s="15" t="s">
        <v>104</v>
      </c>
      <c r="D938" s="15" t="s">
        <v>2114</v>
      </c>
      <c r="E938" s="15" t="s">
        <v>2145</v>
      </c>
      <c r="F938" s="15" t="s">
        <v>2120</v>
      </c>
      <c r="G938" s="15" t="s">
        <v>2121</v>
      </c>
      <c r="H938" s="15">
        <v>7590</v>
      </c>
      <c r="I938" s="15">
        <v>1188.4000000000001</v>
      </c>
    </row>
    <row r="939" spans="1:9">
      <c r="A939" s="13">
        <v>45264</v>
      </c>
      <c r="B939" s="91">
        <f t="shared" si="16"/>
        <v>2023</v>
      </c>
      <c r="C939" s="15" t="s">
        <v>2141</v>
      </c>
      <c r="D939" s="15" t="s">
        <v>2131</v>
      </c>
      <c r="E939" s="15" t="s">
        <v>2144</v>
      </c>
      <c r="F939" s="15" t="s">
        <v>2120</v>
      </c>
      <c r="G939" s="15" t="s">
        <v>2133</v>
      </c>
      <c r="H939" s="15">
        <v>5967</v>
      </c>
      <c r="I939" s="15">
        <v>1039.05</v>
      </c>
    </row>
    <row r="940" spans="1:9">
      <c r="A940" s="13">
        <v>45641</v>
      </c>
      <c r="B940" s="91">
        <f t="shared" si="16"/>
        <v>2024</v>
      </c>
      <c r="C940" s="15" t="s">
        <v>2141</v>
      </c>
      <c r="D940" s="15" t="s">
        <v>2131</v>
      </c>
      <c r="E940" s="15" t="s">
        <v>2123</v>
      </c>
      <c r="F940" s="15" t="s">
        <v>2116</v>
      </c>
      <c r="G940" s="15" t="s">
        <v>2117</v>
      </c>
      <c r="H940" s="15">
        <v>9543</v>
      </c>
      <c r="I940" s="15">
        <v>2755.9</v>
      </c>
    </row>
    <row r="941" spans="1:9">
      <c r="A941" s="13">
        <v>45650</v>
      </c>
      <c r="B941" s="91">
        <f t="shared" si="16"/>
        <v>2024</v>
      </c>
      <c r="C941" s="15" t="s">
        <v>104</v>
      </c>
      <c r="D941" s="15" t="s">
        <v>2126</v>
      </c>
      <c r="E941" s="15" t="s">
        <v>2123</v>
      </c>
      <c r="F941" s="15" t="s">
        <v>2124</v>
      </c>
      <c r="G941" s="15" t="s">
        <v>2130</v>
      </c>
      <c r="H941" s="15">
        <v>9848</v>
      </c>
      <c r="I941" s="15">
        <v>1644.32</v>
      </c>
    </row>
    <row r="942" spans="1:9">
      <c r="A942" s="13">
        <v>45631</v>
      </c>
      <c r="B942" s="91">
        <f t="shared" si="16"/>
        <v>2024</v>
      </c>
      <c r="C942" s="15" t="s">
        <v>2141</v>
      </c>
      <c r="D942" s="15" t="s">
        <v>2128</v>
      </c>
      <c r="E942" s="15" t="s">
        <v>2136</v>
      </c>
      <c r="F942" s="15" t="s">
        <v>2116</v>
      </c>
      <c r="G942" s="15" t="s">
        <v>2154</v>
      </c>
      <c r="H942" s="15">
        <v>7899</v>
      </c>
      <c r="I942" s="15">
        <v>1066.9100000000001</v>
      </c>
    </row>
    <row r="943" spans="1:9">
      <c r="A943" s="13">
        <v>45298</v>
      </c>
      <c r="B943" s="91">
        <f t="shared" si="16"/>
        <v>2024</v>
      </c>
      <c r="C943" s="15" t="s">
        <v>107</v>
      </c>
      <c r="D943" s="15" t="s">
        <v>2142</v>
      </c>
      <c r="E943" s="15" t="s">
        <v>2115</v>
      </c>
      <c r="F943" s="15" t="s">
        <v>2138</v>
      </c>
      <c r="G943" s="15" t="s">
        <v>2139</v>
      </c>
      <c r="H943" s="15">
        <v>5189</v>
      </c>
      <c r="I943" s="15">
        <v>837.84</v>
      </c>
    </row>
    <row r="944" spans="1:9">
      <c r="A944" s="13">
        <v>44790</v>
      </c>
      <c r="B944" s="91">
        <f t="shared" si="16"/>
        <v>2022</v>
      </c>
      <c r="C944" s="15" t="s">
        <v>2113</v>
      </c>
      <c r="D944" s="15" t="s">
        <v>2114</v>
      </c>
      <c r="E944" s="15" t="s">
        <v>2119</v>
      </c>
      <c r="F944" s="15" t="s">
        <v>2138</v>
      </c>
      <c r="G944" s="15" t="s">
        <v>2149</v>
      </c>
      <c r="H944" s="15">
        <v>2927</v>
      </c>
      <c r="I944" s="15">
        <v>816.45</v>
      </c>
    </row>
    <row r="945" spans="1:9">
      <c r="A945" s="13">
        <v>45644</v>
      </c>
      <c r="B945" s="91">
        <f t="shared" si="16"/>
        <v>2024</v>
      </c>
      <c r="C945" s="15" t="s">
        <v>104</v>
      </c>
      <c r="D945" s="15" t="s">
        <v>2128</v>
      </c>
      <c r="E945" s="15" t="s">
        <v>2143</v>
      </c>
      <c r="F945" s="15" t="s">
        <v>2138</v>
      </c>
      <c r="G945" s="15" t="s">
        <v>2146</v>
      </c>
      <c r="H945" s="15">
        <v>4733</v>
      </c>
      <c r="I945" s="15">
        <v>1108.1600000000001</v>
      </c>
    </row>
    <row r="946" spans="1:9">
      <c r="A946" s="13">
        <v>44764</v>
      </c>
      <c r="B946" s="91">
        <f t="shared" si="16"/>
        <v>2022</v>
      </c>
      <c r="C946" s="15" t="s">
        <v>104</v>
      </c>
      <c r="D946" s="15" t="s">
        <v>2142</v>
      </c>
      <c r="E946" s="15" t="s">
        <v>2123</v>
      </c>
      <c r="F946" s="15" t="s">
        <v>2138</v>
      </c>
      <c r="G946" s="15" t="s">
        <v>2146</v>
      </c>
      <c r="H946" s="15">
        <v>3249</v>
      </c>
      <c r="I946" s="15">
        <v>917.71</v>
      </c>
    </row>
    <row r="947" spans="1:9">
      <c r="A947" s="13">
        <v>44878</v>
      </c>
      <c r="B947" s="91">
        <f t="shared" si="16"/>
        <v>2022</v>
      </c>
      <c r="C947" s="15" t="s">
        <v>104</v>
      </c>
      <c r="D947" s="15" t="s">
        <v>2131</v>
      </c>
      <c r="E947" s="15" t="s">
        <v>2145</v>
      </c>
      <c r="F947" s="15" t="s">
        <v>2138</v>
      </c>
      <c r="G947" s="15" t="s">
        <v>2146</v>
      </c>
      <c r="H947" s="15">
        <v>4656</v>
      </c>
      <c r="I947" s="15">
        <v>1238.7</v>
      </c>
    </row>
    <row r="948" spans="1:9">
      <c r="A948" s="13">
        <v>44635</v>
      </c>
      <c r="B948" s="91">
        <f t="shared" si="16"/>
        <v>2022</v>
      </c>
      <c r="C948" s="15" t="s">
        <v>107</v>
      </c>
      <c r="D948" s="15" t="s">
        <v>2152</v>
      </c>
      <c r="E948" s="15" t="s">
        <v>2134</v>
      </c>
      <c r="F948" s="15" t="s">
        <v>2120</v>
      </c>
      <c r="G948" s="15" t="s">
        <v>2133</v>
      </c>
      <c r="H948" s="15">
        <v>7203</v>
      </c>
      <c r="I948" s="15">
        <v>2052.1999999999998</v>
      </c>
    </row>
    <row r="949" spans="1:9">
      <c r="A949" s="13">
        <v>45316</v>
      </c>
      <c r="B949" s="91">
        <f t="shared" si="16"/>
        <v>2024</v>
      </c>
      <c r="C949" s="15" t="s">
        <v>104</v>
      </c>
      <c r="D949" s="15" t="s">
        <v>2152</v>
      </c>
      <c r="E949" s="15" t="s">
        <v>2119</v>
      </c>
      <c r="F949" s="15" t="s">
        <v>2120</v>
      </c>
      <c r="G949" s="15" t="s">
        <v>2121</v>
      </c>
      <c r="H949" s="15">
        <v>2725</v>
      </c>
      <c r="I949" s="15">
        <v>418.22</v>
      </c>
    </row>
    <row r="950" spans="1:9">
      <c r="A950" s="13">
        <v>45487</v>
      </c>
      <c r="B950" s="91">
        <f t="shared" si="16"/>
        <v>2024</v>
      </c>
      <c r="C950" s="15" t="s">
        <v>2113</v>
      </c>
      <c r="D950" s="15" t="s">
        <v>2118</v>
      </c>
      <c r="E950" s="15" t="s">
        <v>2145</v>
      </c>
      <c r="F950" s="15" t="s">
        <v>2120</v>
      </c>
      <c r="G950" s="15" t="s">
        <v>2133</v>
      </c>
      <c r="H950" s="15">
        <v>9431</v>
      </c>
      <c r="I950" s="15">
        <v>2560.56</v>
      </c>
    </row>
    <row r="951" spans="1:9">
      <c r="A951" s="13">
        <v>44705</v>
      </c>
      <c r="B951" s="91">
        <f t="shared" si="16"/>
        <v>2022</v>
      </c>
      <c r="C951" s="15" t="s">
        <v>2113</v>
      </c>
      <c r="D951" s="15" t="s">
        <v>2126</v>
      </c>
      <c r="E951" s="15" t="s">
        <v>2136</v>
      </c>
      <c r="F951" s="15" t="s">
        <v>2116</v>
      </c>
      <c r="G951" s="15" t="s">
        <v>2117</v>
      </c>
      <c r="H951" s="15">
        <v>3488</v>
      </c>
      <c r="I951" s="15">
        <v>418.22</v>
      </c>
    </row>
    <row r="952" spans="1:9">
      <c r="A952" s="13">
        <v>45525</v>
      </c>
      <c r="B952" s="91">
        <f t="shared" si="16"/>
        <v>2024</v>
      </c>
      <c r="C952" s="15" t="s">
        <v>2141</v>
      </c>
      <c r="D952" s="15" t="s">
        <v>2153</v>
      </c>
      <c r="E952" s="15" t="s">
        <v>2136</v>
      </c>
      <c r="F952" s="15" t="s">
        <v>2116</v>
      </c>
      <c r="G952" s="15" t="s">
        <v>2127</v>
      </c>
      <c r="H952" s="15">
        <v>9166</v>
      </c>
      <c r="I952" s="15">
        <v>2086.62</v>
      </c>
    </row>
    <row r="953" spans="1:9">
      <c r="A953" s="13">
        <v>45122</v>
      </c>
      <c r="B953" s="91">
        <f t="shared" si="16"/>
        <v>2023</v>
      </c>
      <c r="C953" s="15" t="s">
        <v>104</v>
      </c>
      <c r="D953" s="15" t="s">
        <v>2126</v>
      </c>
      <c r="E953" s="15" t="s">
        <v>2123</v>
      </c>
      <c r="F953" s="15" t="s">
        <v>2120</v>
      </c>
      <c r="G953" s="15" t="s">
        <v>2133</v>
      </c>
      <c r="H953" s="15">
        <v>3894</v>
      </c>
      <c r="I953" s="15">
        <v>428.48</v>
      </c>
    </row>
    <row r="954" spans="1:9">
      <c r="A954" s="13">
        <v>44676</v>
      </c>
      <c r="B954" s="91">
        <f t="shared" si="16"/>
        <v>2022</v>
      </c>
      <c r="C954" s="15" t="s">
        <v>104</v>
      </c>
      <c r="D954" s="15" t="s">
        <v>2128</v>
      </c>
      <c r="E954" s="15" t="s">
        <v>2115</v>
      </c>
      <c r="F954" s="15" t="s">
        <v>2138</v>
      </c>
      <c r="G954" s="15" t="s">
        <v>2146</v>
      </c>
      <c r="H954" s="15">
        <v>1658</v>
      </c>
      <c r="I954" s="15">
        <v>270.86</v>
      </c>
    </row>
    <row r="955" spans="1:9">
      <c r="A955" s="13">
        <v>44976</v>
      </c>
      <c r="B955" s="91">
        <f t="shared" si="16"/>
        <v>2023</v>
      </c>
      <c r="C955" s="15" t="s">
        <v>107</v>
      </c>
      <c r="D955" s="15" t="s">
        <v>2131</v>
      </c>
      <c r="E955" s="15" t="s">
        <v>2136</v>
      </c>
      <c r="F955" s="15" t="s">
        <v>2138</v>
      </c>
      <c r="G955" s="15" t="s">
        <v>2139</v>
      </c>
      <c r="H955" s="15">
        <v>4080</v>
      </c>
      <c r="I955" s="15">
        <v>937.4</v>
      </c>
    </row>
    <row r="956" spans="1:9">
      <c r="A956" s="13">
        <v>45554</v>
      </c>
      <c r="B956" s="91">
        <f t="shared" si="16"/>
        <v>2024</v>
      </c>
      <c r="C956" s="15" t="s">
        <v>2141</v>
      </c>
      <c r="D956" s="15" t="s">
        <v>2135</v>
      </c>
      <c r="E956" s="15" t="s">
        <v>2115</v>
      </c>
      <c r="F956" s="15" t="s">
        <v>2116</v>
      </c>
      <c r="G956" s="15" t="s">
        <v>2154</v>
      </c>
      <c r="H956" s="15">
        <v>2777</v>
      </c>
      <c r="I956" s="15">
        <v>337.11</v>
      </c>
    </row>
    <row r="957" spans="1:9">
      <c r="A957" s="13">
        <v>45013</v>
      </c>
      <c r="B957" s="91">
        <f t="shared" si="16"/>
        <v>2023</v>
      </c>
      <c r="C957" s="15" t="s">
        <v>107</v>
      </c>
      <c r="D957" s="15" t="s">
        <v>2126</v>
      </c>
      <c r="E957" s="15" t="s">
        <v>2144</v>
      </c>
      <c r="F957" s="15" t="s">
        <v>2138</v>
      </c>
      <c r="G957" s="15" t="s">
        <v>2139</v>
      </c>
      <c r="H957" s="15">
        <v>9183</v>
      </c>
      <c r="I957" s="15">
        <v>1156.79</v>
      </c>
    </row>
    <row r="958" spans="1:9">
      <c r="A958" s="13">
        <v>44705</v>
      </c>
      <c r="B958" s="91">
        <f t="shared" si="16"/>
        <v>2022</v>
      </c>
      <c r="C958" s="15" t="s">
        <v>104</v>
      </c>
      <c r="D958" s="15" t="s">
        <v>2148</v>
      </c>
      <c r="E958" s="15" t="s">
        <v>2136</v>
      </c>
      <c r="F958" s="15" t="s">
        <v>2120</v>
      </c>
      <c r="G958" s="15" t="s">
        <v>2133</v>
      </c>
      <c r="H958" s="15">
        <v>5985</v>
      </c>
      <c r="I958" s="15">
        <v>1496.2</v>
      </c>
    </row>
    <row r="959" spans="1:9">
      <c r="A959" s="13">
        <v>45270</v>
      </c>
      <c r="B959" s="91">
        <f t="shared" si="16"/>
        <v>2023</v>
      </c>
      <c r="C959" s="15" t="s">
        <v>107</v>
      </c>
      <c r="D959" s="15" t="s">
        <v>2114</v>
      </c>
      <c r="E959" s="15" t="s">
        <v>2115</v>
      </c>
      <c r="F959" s="15" t="s">
        <v>2124</v>
      </c>
      <c r="G959" s="15" t="s">
        <v>2130</v>
      </c>
      <c r="H959" s="15">
        <v>9463</v>
      </c>
      <c r="I959" s="15">
        <v>1064.68</v>
      </c>
    </row>
    <row r="960" spans="1:9">
      <c r="A960" s="13">
        <v>44895</v>
      </c>
      <c r="B960" s="91">
        <f t="shared" si="16"/>
        <v>2022</v>
      </c>
      <c r="C960" s="15" t="s">
        <v>107</v>
      </c>
      <c r="D960" s="15" t="s">
        <v>2118</v>
      </c>
      <c r="E960" s="15" t="s">
        <v>2151</v>
      </c>
      <c r="F960" s="15" t="s">
        <v>2124</v>
      </c>
      <c r="G960" s="15" t="s">
        <v>2125</v>
      </c>
      <c r="H960" s="15">
        <v>4004</v>
      </c>
      <c r="I960" s="15">
        <v>724.34</v>
      </c>
    </row>
    <row r="961" spans="1:9">
      <c r="A961" s="13">
        <v>45323</v>
      </c>
      <c r="B961" s="91">
        <f t="shared" si="16"/>
        <v>2024</v>
      </c>
      <c r="C961" s="15" t="s">
        <v>2113</v>
      </c>
      <c r="D961" s="15" t="s">
        <v>2142</v>
      </c>
      <c r="E961" s="15" t="s">
        <v>2136</v>
      </c>
      <c r="F961" s="15" t="s">
        <v>2120</v>
      </c>
      <c r="G961" s="15" t="s">
        <v>2121</v>
      </c>
      <c r="H961" s="15">
        <v>6035</v>
      </c>
      <c r="I961" s="15">
        <v>1521.74</v>
      </c>
    </row>
    <row r="962" spans="1:9">
      <c r="A962" s="13">
        <v>45022</v>
      </c>
      <c r="B962" s="91">
        <f t="shared" si="16"/>
        <v>2023</v>
      </c>
      <c r="C962" s="15" t="s">
        <v>104</v>
      </c>
      <c r="D962" s="15" t="s">
        <v>2153</v>
      </c>
      <c r="E962" s="15" t="s">
        <v>2129</v>
      </c>
      <c r="F962" s="15" t="s">
        <v>2116</v>
      </c>
      <c r="G962" s="15" t="s">
        <v>2127</v>
      </c>
      <c r="H962" s="15">
        <v>4475</v>
      </c>
      <c r="I962" s="15">
        <v>534.39</v>
      </c>
    </row>
    <row r="963" spans="1:9">
      <c r="A963" s="13">
        <v>44646</v>
      </c>
      <c r="B963" s="91">
        <f t="shared" ref="B963:B1026" si="17">YEAR(A963)</f>
        <v>2022</v>
      </c>
      <c r="C963" s="15" t="s">
        <v>104</v>
      </c>
      <c r="D963" s="15" t="s">
        <v>2153</v>
      </c>
      <c r="E963" s="15" t="s">
        <v>2145</v>
      </c>
      <c r="F963" s="15" t="s">
        <v>2116</v>
      </c>
      <c r="G963" s="15" t="s">
        <v>2117</v>
      </c>
      <c r="H963" s="15">
        <v>9133</v>
      </c>
      <c r="I963" s="15">
        <v>1274.99</v>
      </c>
    </row>
    <row r="964" spans="1:9">
      <c r="A964" s="13">
        <v>45392</v>
      </c>
      <c r="B964" s="91">
        <f t="shared" si="17"/>
        <v>2024</v>
      </c>
      <c r="C964" s="15" t="s">
        <v>104</v>
      </c>
      <c r="D964" s="15" t="s">
        <v>2126</v>
      </c>
      <c r="E964" s="15" t="s">
        <v>2136</v>
      </c>
      <c r="F964" s="15" t="s">
        <v>2138</v>
      </c>
      <c r="G964" s="15" t="s">
        <v>2146</v>
      </c>
      <c r="H964" s="15">
        <v>4225</v>
      </c>
      <c r="I964" s="15">
        <v>548.16999999999996</v>
      </c>
    </row>
    <row r="965" spans="1:9">
      <c r="A965" s="13">
        <v>45182</v>
      </c>
      <c r="B965" s="91">
        <f t="shared" si="17"/>
        <v>2023</v>
      </c>
      <c r="C965" s="15" t="s">
        <v>2113</v>
      </c>
      <c r="D965" s="15" t="s">
        <v>2135</v>
      </c>
      <c r="E965" s="15" t="s">
        <v>2115</v>
      </c>
      <c r="F965" s="15" t="s">
        <v>2138</v>
      </c>
      <c r="G965" s="15" t="s">
        <v>2146</v>
      </c>
      <c r="H965" s="15">
        <v>5433</v>
      </c>
      <c r="I965" s="15">
        <v>596.1</v>
      </c>
    </row>
    <row r="966" spans="1:9">
      <c r="A966" s="13">
        <v>45098</v>
      </c>
      <c r="B966" s="91">
        <f t="shared" si="17"/>
        <v>2023</v>
      </c>
      <c r="C966" s="15" t="s">
        <v>2113</v>
      </c>
      <c r="D966" s="15" t="s">
        <v>2128</v>
      </c>
      <c r="E966" s="15" t="s">
        <v>2151</v>
      </c>
      <c r="F966" s="15" t="s">
        <v>2124</v>
      </c>
      <c r="G966" s="15" t="s">
        <v>2125</v>
      </c>
      <c r="H966" s="15">
        <v>9777</v>
      </c>
      <c r="I966" s="15">
        <v>1345</v>
      </c>
    </row>
    <row r="967" spans="1:9">
      <c r="A967" s="13">
        <v>45646</v>
      </c>
      <c r="B967" s="91">
        <f t="shared" si="17"/>
        <v>2024</v>
      </c>
      <c r="C967" s="15" t="s">
        <v>104</v>
      </c>
      <c r="D967" s="15" t="s">
        <v>2148</v>
      </c>
      <c r="E967" s="15" t="s">
        <v>2145</v>
      </c>
      <c r="F967" s="15" t="s">
        <v>2124</v>
      </c>
      <c r="G967" s="15" t="s">
        <v>2125</v>
      </c>
      <c r="H967" s="15">
        <v>9294</v>
      </c>
      <c r="I967" s="15">
        <v>2321.63</v>
      </c>
    </row>
    <row r="968" spans="1:9">
      <c r="A968" s="13">
        <v>45641</v>
      </c>
      <c r="B968" s="91">
        <f t="shared" si="17"/>
        <v>2024</v>
      </c>
      <c r="C968" s="15" t="s">
        <v>107</v>
      </c>
      <c r="D968" s="15" t="s">
        <v>2148</v>
      </c>
      <c r="E968" s="15" t="s">
        <v>2123</v>
      </c>
      <c r="F968" s="15" t="s">
        <v>2116</v>
      </c>
      <c r="G968" s="15" t="s">
        <v>2127</v>
      </c>
      <c r="H968" s="15">
        <v>9670</v>
      </c>
      <c r="I968" s="15">
        <v>1678.94</v>
      </c>
    </row>
    <row r="969" spans="1:9">
      <c r="A969" s="13">
        <v>44701</v>
      </c>
      <c r="B969" s="91">
        <f t="shared" si="17"/>
        <v>2022</v>
      </c>
      <c r="C969" s="15" t="s">
        <v>104</v>
      </c>
      <c r="D969" s="15" t="s">
        <v>2142</v>
      </c>
      <c r="E969" s="15" t="s">
        <v>2129</v>
      </c>
      <c r="F969" s="15" t="s">
        <v>2120</v>
      </c>
      <c r="G969" s="15" t="s">
        <v>2133</v>
      </c>
      <c r="H969" s="15">
        <v>4310</v>
      </c>
      <c r="I969" s="15">
        <v>1252.73</v>
      </c>
    </row>
    <row r="970" spans="1:9">
      <c r="A970" s="13">
        <v>44609</v>
      </c>
      <c r="B970" s="91">
        <f t="shared" si="17"/>
        <v>2022</v>
      </c>
      <c r="C970" s="15" t="s">
        <v>104</v>
      </c>
      <c r="D970" s="15" t="s">
        <v>2148</v>
      </c>
      <c r="E970" s="15" t="s">
        <v>2143</v>
      </c>
      <c r="F970" s="15" t="s">
        <v>2138</v>
      </c>
      <c r="G970" s="15" t="s">
        <v>2146</v>
      </c>
      <c r="H970" s="15">
        <v>2640</v>
      </c>
      <c r="I970" s="15">
        <v>770.05</v>
      </c>
    </row>
    <row r="971" spans="1:9">
      <c r="A971" s="13">
        <v>45436</v>
      </c>
      <c r="B971" s="91">
        <f t="shared" si="17"/>
        <v>2024</v>
      </c>
      <c r="C971" s="15" t="s">
        <v>2113</v>
      </c>
      <c r="D971" s="15" t="s">
        <v>2148</v>
      </c>
      <c r="E971" s="15" t="s">
        <v>2151</v>
      </c>
      <c r="F971" s="15" t="s">
        <v>2124</v>
      </c>
      <c r="G971" s="15" t="s">
        <v>2130</v>
      </c>
      <c r="H971" s="15">
        <v>4013</v>
      </c>
      <c r="I971" s="15">
        <v>1072.81</v>
      </c>
    </row>
    <row r="972" spans="1:9">
      <c r="A972" s="13">
        <v>45353</v>
      </c>
      <c r="B972" s="91">
        <f t="shared" si="17"/>
        <v>2024</v>
      </c>
      <c r="C972" s="15" t="s">
        <v>104</v>
      </c>
      <c r="D972" s="15" t="s">
        <v>2131</v>
      </c>
      <c r="E972" s="15" t="s">
        <v>2129</v>
      </c>
      <c r="F972" s="15" t="s">
        <v>2124</v>
      </c>
      <c r="G972" s="15" t="s">
        <v>2140</v>
      </c>
      <c r="H972" s="15">
        <v>1023</v>
      </c>
      <c r="I972" s="15">
        <v>121.62</v>
      </c>
    </row>
    <row r="973" spans="1:9">
      <c r="A973" s="13">
        <v>44828</v>
      </c>
      <c r="B973" s="91">
        <f t="shared" si="17"/>
        <v>2022</v>
      </c>
      <c r="C973" s="15" t="s">
        <v>107</v>
      </c>
      <c r="D973" s="15" t="s">
        <v>2135</v>
      </c>
      <c r="E973" s="15" t="s">
        <v>2144</v>
      </c>
      <c r="F973" s="15" t="s">
        <v>2120</v>
      </c>
      <c r="G973" s="15" t="s">
        <v>2133</v>
      </c>
      <c r="H973" s="15">
        <v>8167</v>
      </c>
      <c r="I973" s="15">
        <v>2215.2199999999998</v>
      </c>
    </row>
    <row r="974" spans="1:9">
      <c r="A974" s="13">
        <v>44649</v>
      </c>
      <c r="B974" s="91">
        <f t="shared" si="17"/>
        <v>2022</v>
      </c>
      <c r="C974" s="15" t="s">
        <v>2113</v>
      </c>
      <c r="D974" s="15" t="s">
        <v>2148</v>
      </c>
      <c r="E974" s="15" t="s">
        <v>2143</v>
      </c>
      <c r="F974" s="15" t="s">
        <v>2120</v>
      </c>
      <c r="G974" s="15" t="s">
        <v>2132</v>
      </c>
      <c r="H974" s="15">
        <v>4210</v>
      </c>
      <c r="I974" s="15">
        <v>464.89</v>
      </c>
    </row>
    <row r="975" spans="1:9">
      <c r="A975" s="13">
        <v>45636</v>
      </c>
      <c r="B975" s="91">
        <f t="shared" si="17"/>
        <v>2024</v>
      </c>
      <c r="C975" s="15" t="s">
        <v>104</v>
      </c>
      <c r="D975" s="15" t="s">
        <v>2118</v>
      </c>
      <c r="E975" s="15" t="s">
        <v>2129</v>
      </c>
      <c r="F975" s="15" t="s">
        <v>2124</v>
      </c>
      <c r="G975" s="15" t="s">
        <v>2125</v>
      </c>
      <c r="H975" s="15">
        <v>4185</v>
      </c>
      <c r="I975" s="15">
        <v>1241.6500000000001</v>
      </c>
    </row>
    <row r="976" spans="1:9">
      <c r="A976" s="13">
        <v>45468</v>
      </c>
      <c r="B976" s="91">
        <f t="shared" si="17"/>
        <v>2024</v>
      </c>
      <c r="C976" s="15" t="s">
        <v>2141</v>
      </c>
      <c r="D976" s="15" t="s">
        <v>2142</v>
      </c>
      <c r="E976" s="15" t="s">
        <v>2119</v>
      </c>
      <c r="F976" s="15" t="s">
        <v>2138</v>
      </c>
      <c r="G976" s="15" t="s">
        <v>2146</v>
      </c>
      <c r="H976" s="15">
        <v>2052</v>
      </c>
      <c r="I976" s="15">
        <v>253.86</v>
      </c>
    </row>
    <row r="977" spans="1:9">
      <c r="A977" s="13">
        <v>44719</v>
      </c>
      <c r="B977" s="91">
        <f t="shared" si="17"/>
        <v>2022</v>
      </c>
      <c r="C977" s="15" t="s">
        <v>2113</v>
      </c>
      <c r="D977" s="15" t="s">
        <v>2153</v>
      </c>
      <c r="E977" s="15" t="s">
        <v>2151</v>
      </c>
      <c r="F977" s="15" t="s">
        <v>2116</v>
      </c>
      <c r="G977" s="15" t="s">
        <v>2127</v>
      </c>
      <c r="H977" s="15">
        <v>7283</v>
      </c>
      <c r="I977" s="15">
        <v>1668.92</v>
      </c>
    </row>
    <row r="978" spans="1:9">
      <c r="A978" s="13">
        <v>44612</v>
      </c>
      <c r="B978" s="91">
        <f t="shared" si="17"/>
        <v>2022</v>
      </c>
      <c r="C978" s="15" t="s">
        <v>2113</v>
      </c>
      <c r="D978" s="15" t="s">
        <v>2118</v>
      </c>
      <c r="E978" s="15" t="s">
        <v>2119</v>
      </c>
      <c r="F978" s="15" t="s">
        <v>2124</v>
      </c>
      <c r="G978" s="15" t="s">
        <v>2130</v>
      </c>
      <c r="H978" s="15">
        <v>5441</v>
      </c>
      <c r="I978" s="15">
        <v>1523.91</v>
      </c>
    </row>
    <row r="979" spans="1:9">
      <c r="A979" s="13">
        <v>44681</v>
      </c>
      <c r="B979" s="91">
        <f t="shared" si="17"/>
        <v>2022</v>
      </c>
      <c r="C979" s="15" t="s">
        <v>107</v>
      </c>
      <c r="D979" s="15" t="s">
        <v>2131</v>
      </c>
      <c r="E979" s="15" t="s">
        <v>2119</v>
      </c>
      <c r="F979" s="15" t="s">
        <v>2124</v>
      </c>
      <c r="G979" s="15" t="s">
        <v>2130</v>
      </c>
      <c r="H979" s="15">
        <v>8958</v>
      </c>
      <c r="I979" s="15">
        <v>2387.08</v>
      </c>
    </row>
    <row r="980" spans="1:9">
      <c r="A980" s="13">
        <v>45264</v>
      </c>
      <c r="B980" s="91">
        <f t="shared" si="17"/>
        <v>2023</v>
      </c>
      <c r="C980" s="15" t="s">
        <v>2113</v>
      </c>
      <c r="D980" s="15" t="s">
        <v>2153</v>
      </c>
      <c r="E980" s="15" t="s">
        <v>2136</v>
      </c>
      <c r="F980" s="15" t="s">
        <v>2120</v>
      </c>
      <c r="G980" s="15" t="s">
        <v>2132</v>
      </c>
      <c r="H980" s="15">
        <v>4689</v>
      </c>
      <c r="I980" s="15">
        <v>1185.54</v>
      </c>
    </row>
    <row r="981" spans="1:9">
      <c r="A981" s="13">
        <v>45038</v>
      </c>
      <c r="B981" s="91">
        <f t="shared" si="17"/>
        <v>2023</v>
      </c>
      <c r="C981" s="15" t="s">
        <v>2113</v>
      </c>
      <c r="D981" s="15" t="s">
        <v>2128</v>
      </c>
      <c r="E981" s="15" t="s">
        <v>2115</v>
      </c>
      <c r="F981" s="15" t="s">
        <v>2138</v>
      </c>
      <c r="G981" s="15" t="s">
        <v>2146</v>
      </c>
      <c r="H981" s="15">
        <v>8392</v>
      </c>
      <c r="I981" s="15">
        <v>2237.61</v>
      </c>
    </row>
    <row r="982" spans="1:9">
      <c r="A982" s="13">
        <v>45549</v>
      </c>
      <c r="B982" s="91">
        <f t="shared" si="17"/>
        <v>2024</v>
      </c>
      <c r="C982" s="15" t="s">
        <v>104</v>
      </c>
      <c r="D982" s="15" t="s">
        <v>2135</v>
      </c>
      <c r="E982" s="15" t="s">
        <v>2134</v>
      </c>
      <c r="F982" s="15" t="s">
        <v>2120</v>
      </c>
      <c r="G982" s="15" t="s">
        <v>2132</v>
      </c>
      <c r="H982" s="15">
        <v>9651</v>
      </c>
      <c r="I982" s="15">
        <v>1852.76</v>
      </c>
    </row>
    <row r="983" spans="1:9">
      <c r="A983" s="13">
        <v>45457</v>
      </c>
      <c r="B983" s="91">
        <f t="shared" si="17"/>
        <v>2024</v>
      </c>
      <c r="C983" s="15" t="s">
        <v>104</v>
      </c>
      <c r="D983" s="15" t="s">
        <v>2126</v>
      </c>
      <c r="E983" s="15" t="s">
        <v>2151</v>
      </c>
      <c r="F983" s="15" t="s">
        <v>2116</v>
      </c>
      <c r="G983" s="15" t="s">
        <v>2127</v>
      </c>
      <c r="H983" s="15">
        <v>8938</v>
      </c>
      <c r="I983" s="15">
        <v>1756.19</v>
      </c>
    </row>
    <row r="984" spans="1:9">
      <c r="A984" s="13">
        <v>45560</v>
      </c>
      <c r="B984" s="91">
        <f t="shared" si="17"/>
        <v>2024</v>
      </c>
      <c r="C984" s="15" t="s">
        <v>104</v>
      </c>
      <c r="D984" s="15" t="s">
        <v>2135</v>
      </c>
      <c r="E984" s="15" t="s">
        <v>2144</v>
      </c>
      <c r="F984" s="15" t="s">
        <v>2124</v>
      </c>
      <c r="G984" s="15" t="s">
        <v>2140</v>
      </c>
      <c r="H984" s="15">
        <v>7197</v>
      </c>
      <c r="I984" s="15">
        <v>1988.63</v>
      </c>
    </row>
    <row r="985" spans="1:9">
      <c r="A985" s="13">
        <v>45125</v>
      </c>
      <c r="B985" s="91">
        <f t="shared" si="17"/>
        <v>2023</v>
      </c>
      <c r="C985" s="15" t="s">
        <v>2141</v>
      </c>
      <c r="D985" s="15" t="s">
        <v>2152</v>
      </c>
      <c r="E985" s="15" t="s">
        <v>2136</v>
      </c>
      <c r="F985" s="15" t="s">
        <v>2124</v>
      </c>
      <c r="G985" s="15" t="s">
        <v>2125</v>
      </c>
      <c r="H985" s="15">
        <v>4446</v>
      </c>
      <c r="I985" s="15">
        <v>736.59</v>
      </c>
    </row>
    <row r="986" spans="1:9">
      <c r="A986" s="13">
        <v>44948</v>
      </c>
      <c r="B986" s="91">
        <f t="shared" si="17"/>
        <v>2023</v>
      </c>
      <c r="C986" s="15" t="s">
        <v>2141</v>
      </c>
      <c r="D986" s="15" t="s">
        <v>2114</v>
      </c>
      <c r="E986" s="15" t="s">
        <v>2151</v>
      </c>
      <c r="F986" s="15" t="s">
        <v>2116</v>
      </c>
      <c r="G986" s="15" t="s">
        <v>2117</v>
      </c>
      <c r="H986" s="15">
        <v>4838</v>
      </c>
      <c r="I986" s="15">
        <v>1102.3900000000001</v>
      </c>
    </row>
    <row r="987" spans="1:9">
      <c r="A987" s="13">
        <v>44591</v>
      </c>
      <c r="B987" s="91">
        <f t="shared" si="17"/>
        <v>2022</v>
      </c>
      <c r="C987" s="15" t="s">
        <v>107</v>
      </c>
      <c r="D987" s="15" t="s">
        <v>2118</v>
      </c>
      <c r="E987" s="15" t="s">
        <v>2143</v>
      </c>
      <c r="F987" s="15" t="s">
        <v>2116</v>
      </c>
      <c r="G987" s="15" t="s">
        <v>2154</v>
      </c>
      <c r="H987" s="15">
        <v>1226</v>
      </c>
      <c r="I987" s="15">
        <v>143.19</v>
      </c>
    </row>
    <row r="988" spans="1:9">
      <c r="A988" s="13">
        <v>45061</v>
      </c>
      <c r="B988" s="91">
        <f t="shared" si="17"/>
        <v>2023</v>
      </c>
      <c r="C988" s="15" t="s">
        <v>104</v>
      </c>
      <c r="D988" s="15" t="s">
        <v>2153</v>
      </c>
      <c r="E988" s="15" t="s">
        <v>2143</v>
      </c>
      <c r="F988" s="15" t="s">
        <v>2138</v>
      </c>
      <c r="G988" s="15" t="s">
        <v>2146</v>
      </c>
      <c r="H988" s="15">
        <v>3330</v>
      </c>
      <c r="I988" s="15">
        <v>571.27</v>
      </c>
    </row>
    <row r="989" spans="1:9">
      <c r="A989" s="13">
        <v>45269</v>
      </c>
      <c r="B989" s="91">
        <f t="shared" si="17"/>
        <v>2023</v>
      </c>
      <c r="C989" s="15" t="s">
        <v>2141</v>
      </c>
      <c r="D989" s="15" t="s">
        <v>2153</v>
      </c>
      <c r="E989" s="15" t="s">
        <v>2115</v>
      </c>
      <c r="F989" s="15" t="s">
        <v>2116</v>
      </c>
      <c r="G989" s="15" t="s">
        <v>2127</v>
      </c>
      <c r="H989" s="15">
        <v>9479</v>
      </c>
      <c r="I989" s="15">
        <v>2642.49</v>
      </c>
    </row>
    <row r="990" spans="1:9">
      <c r="A990" s="13">
        <v>45466</v>
      </c>
      <c r="B990" s="91">
        <f t="shared" si="17"/>
        <v>2024</v>
      </c>
      <c r="C990" s="15" t="s">
        <v>104</v>
      </c>
      <c r="D990" s="15" t="s">
        <v>2128</v>
      </c>
      <c r="E990" s="15" t="s">
        <v>2143</v>
      </c>
      <c r="F990" s="15" t="s">
        <v>2138</v>
      </c>
      <c r="G990" s="15" t="s">
        <v>2149</v>
      </c>
      <c r="H990" s="15">
        <v>1983</v>
      </c>
      <c r="I990" s="15">
        <v>432.74</v>
      </c>
    </row>
    <row r="991" spans="1:9">
      <c r="A991" s="13">
        <v>45323</v>
      </c>
      <c r="B991" s="91">
        <f t="shared" si="17"/>
        <v>2024</v>
      </c>
      <c r="C991" s="15" t="s">
        <v>2113</v>
      </c>
      <c r="D991" s="15" t="s">
        <v>2142</v>
      </c>
      <c r="E991" s="15" t="s">
        <v>2119</v>
      </c>
      <c r="F991" s="15" t="s">
        <v>2120</v>
      </c>
      <c r="G991" s="15" t="s">
        <v>2133</v>
      </c>
      <c r="H991" s="15">
        <v>7074</v>
      </c>
      <c r="I991" s="15">
        <v>1558.98</v>
      </c>
    </row>
    <row r="992" spans="1:9">
      <c r="A992" s="13">
        <v>44682</v>
      </c>
      <c r="B992" s="91">
        <f t="shared" si="17"/>
        <v>2022</v>
      </c>
      <c r="C992" s="15" t="s">
        <v>2113</v>
      </c>
      <c r="D992" s="15" t="s">
        <v>2153</v>
      </c>
      <c r="E992" s="15" t="s">
        <v>2119</v>
      </c>
      <c r="F992" s="15" t="s">
        <v>2124</v>
      </c>
      <c r="G992" s="15" t="s">
        <v>2130</v>
      </c>
      <c r="H992" s="15">
        <v>8871</v>
      </c>
      <c r="I992" s="15">
        <v>1469.7</v>
      </c>
    </row>
    <row r="993" spans="1:9">
      <c r="A993" s="13">
        <v>45632</v>
      </c>
      <c r="B993" s="91">
        <f t="shared" si="17"/>
        <v>2024</v>
      </c>
      <c r="C993" s="15" t="s">
        <v>2141</v>
      </c>
      <c r="D993" s="15" t="s">
        <v>2128</v>
      </c>
      <c r="E993" s="15" t="s">
        <v>2119</v>
      </c>
      <c r="F993" s="15" t="s">
        <v>2116</v>
      </c>
      <c r="G993" s="15" t="s">
        <v>2117</v>
      </c>
      <c r="H993" s="15">
        <v>2259</v>
      </c>
      <c r="I993" s="15">
        <v>312.62</v>
      </c>
    </row>
    <row r="994" spans="1:9">
      <c r="A994" s="13">
        <v>45436</v>
      </c>
      <c r="B994" s="91">
        <f t="shared" si="17"/>
        <v>2024</v>
      </c>
      <c r="C994" s="15" t="s">
        <v>107</v>
      </c>
      <c r="D994" s="15" t="s">
        <v>2118</v>
      </c>
      <c r="E994" s="15" t="s">
        <v>2115</v>
      </c>
      <c r="F994" s="15" t="s">
        <v>2124</v>
      </c>
      <c r="G994" s="15" t="s">
        <v>2130</v>
      </c>
      <c r="H994" s="15">
        <v>9615</v>
      </c>
      <c r="I994" s="15">
        <v>2154.04</v>
      </c>
    </row>
    <row r="995" spans="1:9">
      <c r="A995" s="13">
        <v>45556</v>
      </c>
      <c r="B995" s="91">
        <f t="shared" si="17"/>
        <v>2024</v>
      </c>
      <c r="C995" s="15" t="s">
        <v>107</v>
      </c>
      <c r="D995" s="15" t="s">
        <v>2128</v>
      </c>
      <c r="E995" s="15" t="s">
        <v>2145</v>
      </c>
      <c r="F995" s="15" t="s">
        <v>2124</v>
      </c>
      <c r="G995" s="15" t="s">
        <v>2125</v>
      </c>
      <c r="H995" s="15">
        <v>6474</v>
      </c>
      <c r="I995" s="15">
        <v>1253.53</v>
      </c>
    </row>
    <row r="996" spans="1:9">
      <c r="A996" s="13">
        <v>45512</v>
      </c>
      <c r="B996" s="91">
        <f t="shared" si="17"/>
        <v>2024</v>
      </c>
      <c r="C996" s="15" t="s">
        <v>2113</v>
      </c>
      <c r="D996" s="15" t="s">
        <v>2114</v>
      </c>
      <c r="E996" s="15" t="s">
        <v>2129</v>
      </c>
      <c r="F996" s="15" t="s">
        <v>2138</v>
      </c>
      <c r="G996" s="15" t="s">
        <v>2146</v>
      </c>
      <c r="H996" s="15">
        <v>5424</v>
      </c>
      <c r="I996" s="15">
        <v>1054.82</v>
      </c>
    </row>
    <row r="997" spans="1:9">
      <c r="A997" s="13">
        <v>44759</v>
      </c>
      <c r="B997" s="91">
        <f t="shared" si="17"/>
        <v>2022</v>
      </c>
      <c r="C997" s="15" t="s">
        <v>107</v>
      </c>
      <c r="D997" s="15" t="s">
        <v>2126</v>
      </c>
      <c r="E997" s="15" t="s">
        <v>2144</v>
      </c>
      <c r="F997" s="15" t="s">
        <v>2124</v>
      </c>
      <c r="G997" s="15" t="s">
        <v>2130</v>
      </c>
      <c r="H997" s="15">
        <v>5323</v>
      </c>
      <c r="I997" s="15">
        <v>1350.68</v>
      </c>
    </row>
    <row r="998" spans="1:9">
      <c r="A998" s="13">
        <v>45607</v>
      </c>
      <c r="B998" s="91">
        <f t="shared" si="17"/>
        <v>2024</v>
      </c>
      <c r="C998" s="15" t="s">
        <v>2113</v>
      </c>
      <c r="D998" s="15" t="s">
        <v>2114</v>
      </c>
      <c r="E998" s="15" t="s">
        <v>2145</v>
      </c>
      <c r="F998" s="15" t="s">
        <v>2116</v>
      </c>
      <c r="G998" s="15" t="s">
        <v>2117</v>
      </c>
      <c r="H998" s="15">
        <v>2402</v>
      </c>
      <c r="I998" s="15">
        <v>424.24</v>
      </c>
    </row>
    <row r="999" spans="1:9">
      <c r="A999" s="13">
        <v>45385</v>
      </c>
      <c r="B999" s="91">
        <f t="shared" si="17"/>
        <v>2024</v>
      </c>
      <c r="C999" s="15" t="s">
        <v>2113</v>
      </c>
      <c r="D999" s="15" t="s">
        <v>2148</v>
      </c>
      <c r="E999" s="15" t="s">
        <v>2136</v>
      </c>
      <c r="F999" s="15" t="s">
        <v>2138</v>
      </c>
      <c r="G999" s="15" t="s">
        <v>2139</v>
      </c>
      <c r="H999" s="15">
        <v>1077</v>
      </c>
      <c r="I999" s="15">
        <v>313.68</v>
      </c>
    </row>
    <row r="1000" spans="1:9">
      <c r="A1000" s="13">
        <v>45416</v>
      </c>
      <c r="B1000" s="91">
        <f t="shared" si="17"/>
        <v>2024</v>
      </c>
      <c r="C1000" s="15" t="s">
        <v>107</v>
      </c>
      <c r="D1000" s="15" t="s">
        <v>2148</v>
      </c>
      <c r="E1000" s="15" t="s">
        <v>2134</v>
      </c>
      <c r="F1000" s="15" t="s">
        <v>2138</v>
      </c>
      <c r="G1000" s="15" t="s">
        <v>2146</v>
      </c>
      <c r="H1000" s="15">
        <v>6551</v>
      </c>
      <c r="I1000" s="15">
        <v>1685.62</v>
      </c>
    </row>
    <row r="1001" spans="1:9">
      <c r="A1001" s="13">
        <v>44906</v>
      </c>
      <c r="B1001" s="91">
        <f t="shared" si="17"/>
        <v>2022</v>
      </c>
      <c r="C1001" s="15" t="s">
        <v>107</v>
      </c>
      <c r="D1001" s="15" t="s">
        <v>2142</v>
      </c>
      <c r="E1001" s="15" t="s">
        <v>2145</v>
      </c>
      <c r="F1001" s="15" t="s">
        <v>2124</v>
      </c>
      <c r="G1001" s="15" t="s">
        <v>2140</v>
      </c>
      <c r="H1001" s="15">
        <v>8175</v>
      </c>
      <c r="I1001" s="15">
        <v>1794.36</v>
      </c>
    </row>
    <row r="1002" spans="1:9">
      <c r="A1002" s="13">
        <v>44692</v>
      </c>
      <c r="B1002" s="91">
        <f t="shared" si="17"/>
        <v>2022</v>
      </c>
      <c r="C1002" s="15" t="s">
        <v>2141</v>
      </c>
      <c r="D1002" s="15" t="s">
        <v>2128</v>
      </c>
      <c r="E1002" s="15" t="s">
        <v>2123</v>
      </c>
      <c r="F1002" s="15" t="s">
        <v>2138</v>
      </c>
      <c r="G1002" s="15" t="s">
        <v>2149</v>
      </c>
      <c r="H1002" s="15">
        <v>8410</v>
      </c>
      <c r="I1002" s="15">
        <v>1378.06</v>
      </c>
    </row>
    <row r="1003" spans="1:9">
      <c r="A1003" s="13">
        <v>45262</v>
      </c>
      <c r="B1003" s="91">
        <f t="shared" si="17"/>
        <v>2023</v>
      </c>
      <c r="C1003" s="15" t="s">
        <v>104</v>
      </c>
      <c r="D1003" s="15" t="s">
        <v>2114</v>
      </c>
      <c r="E1003" s="15" t="s">
        <v>2136</v>
      </c>
      <c r="F1003" s="15" t="s">
        <v>2138</v>
      </c>
      <c r="G1003" s="15" t="s">
        <v>2139</v>
      </c>
      <c r="H1003" s="15">
        <v>7627</v>
      </c>
      <c r="I1003" s="15">
        <v>1913.47</v>
      </c>
    </row>
    <row r="1004" spans="1:9">
      <c r="A1004" s="13">
        <v>45380</v>
      </c>
      <c r="B1004" s="91">
        <f t="shared" si="17"/>
        <v>2024</v>
      </c>
      <c r="C1004" s="15" t="s">
        <v>104</v>
      </c>
      <c r="D1004" s="15" t="s">
        <v>2126</v>
      </c>
      <c r="E1004" s="15" t="s">
        <v>2144</v>
      </c>
      <c r="F1004" s="15" t="s">
        <v>2124</v>
      </c>
      <c r="G1004" s="15" t="s">
        <v>2130</v>
      </c>
      <c r="H1004" s="15">
        <v>6899</v>
      </c>
      <c r="I1004" s="15">
        <v>1345.67</v>
      </c>
    </row>
    <row r="1005" spans="1:9">
      <c r="A1005" s="13">
        <v>45509</v>
      </c>
      <c r="B1005" s="91">
        <f t="shared" si="17"/>
        <v>2024</v>
      </c>
      <c r="C1005" s="15" t="s">
        <v>2141</v>
      </c>
      <c r="D1005" s="15" t="s">
        <v>2128</v>
      </c>
      <c r="E1005" s="15" t="s">
        <v>2151</v>
      </c>
      <c r="F1005" s="15" t="s">
        <v>2116</v>
      </c>
      <c r="G1005" s="15" t="s">
        <v>2127</v>
      </c>
      <c r="H1005" s="15">
        <v>6853</v>
      </c>
      <c r="I1005" s="15">
        <v>749.07</v>
      </c>
    </row>
    <row r="1006" spans="1:9">
      <c r="A1006" s="13">
        <v>44793</v>
      </c>
      <c r="B1006" s="91">
        <f t="shared" si="17"/>
        <v>2022</v>
      </c>
      <c r="C1006" s="15" t="s">
        <v>107</v>
      </c>
      <c r="D1006" s="15" t="s">
        <v>2153</v>
      </c>
      <c r="E1006" s="15" t="s">
        <v>2145</v>
      </c>
      <c r="F1006" s="15" t="s">
        <v>2120</v>
      </c>
      <c r="G1006" s="15" t="s">
        <v>2133</v>
      </c>
      <c r="H1006" s="15">
        <v>5846</v>
      </c>
      <c r="I1006" s="15">
        <v>1108.58</v>
      </c>
    </row>
    <row r="1007" spans="1:9">
      <c r="A1007" s="13">
        <v>45210</v>
      </c>
      <c r="B1007" s="91">
        <f t="shared" si="17"/>
        <v>2023</v>
      </c>
      <c r="C1007" s="15" t="s">
        <v>2113</v>
      </c>
      <c r="D1007" s="15" t="s">
        <v>2135</v>
      </c>
      <c r="E1007" s="15" t="s">
        <v>2144</v>
      </c>
      <c r="F1007" s="15" t="s">
        <v>2116</v>
      </c>
      <c r="G1007" s="15" t="s">
        <v>2117</v>
      </c>
      <c r="H1007" s="15">
        <v>8114</v>
      </c>
      <c r="I1007" s="15">
        <v>1921.12</v>
      </c>
    </row>
    <row r="1008" spans="1:9">
      <c r="A1008" s="13">
        <v>45554</v>
      </c>
      <c r="B1008" s="91">
        <f t="shared" si="17"/>
        <v>2024</v>
      </c>
      <c r="C1008" s="15" t="s">
        <v>2113</v>
      </c>
      <c r="D1008" s="15" t="s">
        <v>2118</v>
      </c>
      <c r="E1008" s="15" t="s">
        <v>2136</v>
      </c>
      <c r="F1008" s="15" t="s">
        <v>2138</v>
      </c>
      <c r="G1008" s="15" t="s">
        <v>2146</v>
      </c>
      <c r="H1008" s="15">
        <v>4475</v>
      </c>
      <c r="I1008" s="15">
        <v>580.5</v>
      </c>
    </row>
    <row r="1009" spans="1:9">
      <c r="A1009" s="13">
        <v>45105</v>
      </c>
      <c r="B1009" s="91">
        <f t="shared" si="17"/>
        <v>2023</v>
      </c>
      <c r="C1009" s="15" t="s">
        <v>2141</v>
      </c>
      <c r="D1009" s="15" t="s">
        <v>2142</v>
      </c>
      <c r="E1009" s="15" t="s">
        <v>2144</v>
      </c>
      <c r="F1009" s="15" t="s">
        <v>2120</v>
      </c>
      <c r="G1009" s="15" t="s">
        <v>2133</v>
      </c>
      <c r="H1009" s="15">
        <v>1527</v>
      </c>
      <c r="I1009" s="15">
        <v>201.35</v>
      </c>
    </row>
    <row r="1010" spans="1:9">
      <c r="A1010" s="13">
        <v>44892</v>
      </c>
      <c r="B1010" s="91">
        <f t="shared" si="17"/>
        <v>2022</v>
      </c>
      <c r="C1010" s="15" t="s">
        <v>2113</v>
      </c>
      <c r="D1010" s="15" t="s">
        <v>2131</v>
      </c>
      <c r="E1010" s="15" t="s">
        <v>2129</v>
      </c>
      <c r="F1010" s="15" t="s">
        <v>2120</v>
      </c>
      <c r="G1010" s="15" t="s">
        <v>2133</v>
      </c>
      <c r="H1010" s="15">
        <v>6594</v>
      </c>
      <c r="I1010" s="15">
        <v>1791.41</v>
      </c>
    </row>
    <row r="1011" spans="1:9">
      <c r="A1011" s="13">
        <v>44797</v>
      </c>
      <c r="B1011" s="91">
        <f t="shared" si="17"/>
        <v>2022</v>
      </c>
      <c r="C1011" s="15" t="s">
        <v>2113</v>
      </c>
      <c r="D1011" s="15" t="s">
        <v>2142</v>
      </c>
      <c r="E1011" s="15" t="s">
        <v>2144</v>
      </c>
      <c r="F1011" s="15" t="s">
        <v>2120</v>
      </c>
      <c r="G1011" s="15" t="s">
        <v>2132</v>
      </c>
      <c r="H1011" s="15">
        <v>6353</v>
      </c>
      <c r="I1011" s="15">
        <v>1764.58</v>
      </c>
    </row>
    <row r="1012" spans="1:9">
      <c r="A1012" s="13">
        <v>44691</v>
      </c>
      <c r="B1012" s="91">
        <f t="shared" si="17"/>
        <v>2022</v>
      </c>
      <c r="C1012" s="15" t="s">
        <v>2113</v>
      </c>
      <c r="D1012" s="15" t="s">
        <v>2128</v>
      </c>
      <c r="E1012" s="15" t="s">
        <v>2119</v>
      </c>
      <c r="F1012" s="15" t="s">
        <v>2124</v>
      </c>
      <c r="G1012" s="15" t="s">
        <v>2125</v>
      </c>
      <c r="H1012" s="15">
        <v>4852</v>
      </c>
      <c r="I1012" s="15">
        <v>669.86</v>
      </c>
    </row>
    <row r="1013" spans="1:9">
      <c r="A1013" s="13">
        <v>44626</v>
      </c>
      <c r="B1013" s="91">
        <f t="shared" si="17"/>
        <v>2022</v>
      </c>
      <c r="C1013" s="15" t="s">
        <v>2113</v>
      </c>
      <c r="D1013" s="15" t="s">
        <v>2128</v>
      </c>
      <c r="E1013" s="15" t="s">
        <v>2129</v>
      </c>
      <c r="F1013" s="15" t="s">
        <v>2138</v>
      </c>
      <c r="G1013" s="15" t="s">
        <v>2139</v>
      </c>
      <c r="H1013" s="15">
        <v>3501</v>
      </c>
      <c r="I1013" s="15">
        <v>1039.04</v>
      </c>
    </row>
    <row r="1014" spans="1:9">
      <c r="A1014" s="13">
        <v>45636</v>
      </c>
      <c r="B1014" s="91">
        <f t="shared" si="17"/>
        <v>2024</v>
      </c>
      <c r="C1014" s="15" t="s">
        <v>2141</v>
      </c>
      <c r="D1014" s="15" t="s">
        <v>2128</v>
      </c>
      <c r="E1014" s="15" t="s">
        <v>2129</v>
      </c>
      <c r="F1014" s="15" t="s">
        <v>2124</v>
      </c>
      <c r="G1014" s="15" t="s">
        <v>2130</v>
      </c>
      <c r="H1014" s="15">
        <v>5772</v>
      </c>
      <c r="I1014" s="15">
        <v>1476.66</v>
      </c>
    </row>
    <row r="1015" spans="1:9">
      <c r="A1015" s="13">
        <v>44642</v>
      </c>
      <c r="B1015" s="91">
        <f t="shared" si="17"/>
        <v>2022</v>
      </c>
      <c r="C1015" s="15" t="s">
        <v>2141</v>
      </c>
      <c r="D1015" s="15" t="s">
        <v>2148</v>
      </c>
      <c r="E1015" s="15" t="s">
        <v>2145</v>
      </c>
      <c r="F1015" s="15" t="s">
        <v>2138</v>
      </c>
      <c r="G1015" s="15" t="s">
        <v>2139</v>
      </c>
      <c r="H1015" s="15">
        <v>1076</v>
      </c>
      <c r="I1015" s="15">
        <v>292.08999999999997</v>
      </c>
    </row>
    <row r="1016" spans="1:9">
      <c r="A1016" s="13">
        <v>44926</v>
      </c>
      <c r="B1016" s="91">
        <f t="shared" si="17"/>
        <v>2022</v>
      </c>
      <c r="C1016" s="15" t="s">
        <v>107</v>
      </c>
      <c r="D1016" s="15" t="s">
        <v>2131</v>
      </c>
      <c r="E1016" s="15" t="s">
        <v>2145</v>
      </c>
      <c r="F1016" s="15" t="s">
        <v>2116</v>
      </c>
      <c r="G1016" s="15" t="s">
        <v>2117</v>
      </c>
      <c r="H1016" s="15">
        <v>9098</v>
      </c>
      <c r="I1016" s="15">
        <v>1751.36</v>
      </c>
    </row>
    <row r="1017" spans="1:9">
      <c r="A1017" s="13">
        <v>44731</v>
      </c>
      <c r="B1017" s="91">
        <f t="shared" si="17"/>
        <v>2022</v>
      </c>
      <c r="C1017" s="15" t="s">
        <v>104</v>
      </c>
      <c r="D1017" s="15" t="s">
        <v>2152</v>
      </c>
      <c r="E1017" s="15" t="s">
        <v>2151</v>
      </c>
      <c r="F1017" s="15" t="s">
        <v>2116</v>
      </c>
      <c r="G1017" s="15" t="s">
        <v>2127</v>
      </c>
      <c r="H1017" s="15">
        <v>6407</v>
      </c>
      <c r="I1017" s="15">
        <v>1858.51</v>
      </c>
    </row>
    <row r="1018" spans="1:9">
      <c r="A1018" s="13">
        <v>45524</v>
      </c>
      <c r="B1018" s="91">
        <f t="shared" si="17"/>
        <v>2024</v>
      </c>
      <c r="C1018" s="15" t="s">
        <v>104</v>
      </c>
      <c r="D1018" s="15" t="s">
        <v>2128</v>
      </c>
      <c r="E1018" s="15" t="s">
        <v>2115</v>
      </c>
      <c r="F1018" s="15" t="s">
        <v>2120</v>
      </c>
      <c r="G1018" s="15" t="s">
        <v>2121</v>
      </c>
      <c r="H1018" s="15">
        <v>4559</v>
      </c>
      <c r="I1018" s="15">
        <v>477.65</v>
      </c>
    </row>
    <row r="1019" spans="1:9">
      <c r="A1019" s="13">
        <v>45105</v>
      </c>
      <c r="B1019" s="91">
        <f t="shared" si="17"/>
        <v>2023</v>
      </c>
      <c r="C1019" s="15" t="s">
        <v>2141</v>
      </c>
      <c r="D1019" s="15" t="s">
        <v>2126</v>
      </c>
      <c r="E1019" s="15" t="s">
        <v>2145</v>
      </c>
      <c r="F1019" s="15" t="s">
        <v>2124</v>
      </c>
      <c r="G1019" s="15" t="s">
        <v>2130</v>
      </c>
      <c r="H1019" s="15">
        <v>1405</v>
      </c>
      <c r="I1019" s="15">
        <v>260.36</v>
      </c>
    </row>
    <row r="1020" spans="1:9">
      <c r="A1020" s="13">
        <v>45173</v>
      </c>
      <c r="B1020" s="91">
        <f t="shared" si="17"/>
        <v>2023</v>
      </c>
      <c r="C1020" s="15" t="s">
        <v>2141</v>
      </c>
      <c r="D1020" s="15" t="s">
        <v>2131</v>
      </c>
      <c r="E1020" s="15" t="s">
        <v>2143</v>
      </c>
      <c r="F1020" s="15" t="s">
        <v>2120</v>
      </c>
      <c r="G1020" s="15" t="s">
        <v>2132</v>
      </c>
      <c r="H1020" s="15">
        <v>1552</v>
      </c>
      <c r="I1020" s="15">
        <v>457.06</v>
      </c>
    </row>
    <row r="1021" spans="1:9">
      <c r="A1021" s="13">
        <v>44634</v>
      </c>
      <c r="B1021" s="91">
        <f t="shared" si="17"/>
        <v>2022</v>
      </c>
      <c r="C1021" s="15" t="s">
        <v>104</v>
      </c>
      <c r="D1021" s="15" t="s">
        <v>2142</v>
      </c>
      <c r="E1021" s="15" t="s">
        <v>2151</v>
      </c>
      <c r="F1021" s="15" t="s">
        <v>2120</v>
      </c>
      <c r="G1021" s="15" t="s">
        <v>2133</v>
      </c>
      <c r="H1021" s="15">
        <v>3805</v>
      </c>
      <c r="I1021" s="15">
        <v>536.01</v>
      </c>
    </row>
    <row r="1022" spans="1:9">
      <c r="A1022" s="13">
        <v>44933</v>
      </c>
      <c r="B1022" s="91">
        <f t="shared" si="17"/>
        <v>2023</v>
      </c>
      <c r="C1022" s="15" t="s">
        <v>2113</v>
      </c>
      <c r="D1022" s="15" t="s">
        <v>2135</v>
      </c>
      <c r="E1022" s="15" t="s">
        <v>2145</v>
      </c>
      <c r="F1022" s="15" t="s">
        <v>2116</v>
      </c>
      <c r="G1022" s="15" t="s">
        <v>2117</v>
      </c>
      <c r="H1022" s="15">
        <v>9398</v>
      </c>
      <c r="I1022" s="15">
        <v>1820.61</v>
      </c>
    </row>
    <row r="1023" spans="1:9">
      <c r="A1023" s="13">
        <v>45211</v>
      </c>
      <c r="B1023" s="91">
        <f t="shared" si="17"/>
        <v>2023</v>
      </c>
      <c r="C1023" s="15" t="s">
        <v>2113</v>
      </c>
      <c r="D1023" s="15" t="s">
        <v>2126</v>
      </c>
      <c r="E1023" s="15" t="s">
        <v>2145</v>
      </c>
      <c r="F1023" s="15" t="s">
        <v>2116</v>
      </c>
      <c r="G1023" s="15" t="s">
        <v>2117</v>
      </c>
      <c r="H1023" s="15">
        <v>2883</v>
      </c>
      <c r="I1023" s="15">
        <v>835.19</v>
      </c>
    </row>
    <row r="1024" spans="1:9">
      <c r="A1024" s="13">
        <v>45527</v>
      </c>
      <c r="B1024" s="91">
        <f t="shared" si="17"/>
        <v>2024</v>
      </c>
      <c r="C1024" s="15" t="s">
        <v>2141</v>
      </c>
      <c r="D1024" s="15" t="s">
        <v>2118</v>
      </c>
      <c r="E1024" s="15" t="s">
        <v>2134</v>
      </c>
      <c r="F1024" s="15" t="s">
        <v>2138</v>
      </c>
      <c r="G1024" s="15" t="s">
        <v>2146</v>
      </c>
      <c r="H1024" s="15">
        <v>9341</v>
      </c>
      <c r="I1024" s="15">
        <v>1051.7</v>
      </c>
    </row>
    <row r="1025" spans="1:9">
      <c r="A1025" s="13">
        <v>45177</v>
      </c>
      <c r="B1025" s="91">
        <f t="shared" si="17"/>
        <v>2023</v>
      </c>
      <c r="C1025" s="15" t="s">
        <v>2113</v>
      </c>
      <c r="D1025" s="15" t="s">
        <v>2118</v>
      </c>
      <c r="E1025" s="15" t="s">
        <v>2129</v>
      </c>
      <c r="F1025" s="15" t="s">
        <v>2124</v>
      </c>
      <c r="G1025" s="15" t="s">
        <v>2125</v>
      </c>
      <c r="H1025" s="15">
        <v>7645</v>
      </c>
      <c r="I1025" s="15">
        <v>974.31</v>
      </c>
    </row>
    <row r="1026" spans="1:9">
      <c r="A1026" s="13">
        <v>44867</v>
      </c>
      <c r="B1026" s="91">
        <f t="shared" si="17"/>
        <v>2022</v>
      </c>
      <c r="C1026" s="15" t="s">
        <v>2113</v>
      </c>
      <c r="D1026" s="15" t="s">
        <v>2148</v>
      </c>
      <c r="E1026" s="15" t="s">
        <v>2136</v>
      </c>
      <c r="F1026" s="15" t="s">
        <v>2120</v>
      </c>
      <c r="G1026" s="15" t="s">
        <v>2132</v>
      </c>
      <c r="H1026" s="15">
        <v>2738</v>
      </c>
      <c r="I1026" s="15">
        <v>338.4</v>
      </c>
    </row>
    <row r="1027" spans="1:9">
      <c r="A1027" s="13">
        <v>45200</v>
      </c>
      <c r="B1027" s="91">
        <f t="shared" ref="B1027:B1090" si="18">YEAR(A1027)</f>
        <v>2023</v>
      </c>
      <c r="C1027" s="15" t="s">
        <v>107</v>
      </c>
      <c r="D1027" s="15" t="s">
        <v>2126</v>
      </c>
      <c r="E1027" s="15" t="s">
        <v>2151</v>
      </c>
      <c r="F1027" s="15" t="s">
        <v>2124</v>
      </c>
      <c r="G1027" s="15" t="s">
        <v>2125</v>
      </c>
      <c r="H1027" s="15">
        <v>8089</v>
      </c>
      <c r="I1027" s="15">
        <v>1166.77</v>
      </c>
    </row>
    <row r="1028" spans="1:9">
      <c r="A1028" s="13">
        <v>45386</v>
      </c>
      <c r="B1028" s="91">
        <f t="shared" si="18"/>
        <v>2024</v>
      </c>
      <c r="C1028" s="15" t="s">
        <v>2113</v>
      </c>
      <c r="D1028" s="15" t="s">
        <v>2126</v>
      </c>
      <c r="E1028" s="15" t="s">
        <v>2136</v>
      </c>
      <c r="F1028" s="15" t="s">
        <v>2124</v>
      </c>
      <c r="G1028" s="15" t="s">
        <v>2125</v>
      </c>
      <c r="H1028" s="15">
        <v>5610</v>
      </c>
      <c r="I1028" s="15">
        <v>730.09</v>
      </c>
    </row>
    <row r="1029" spans="1:9">
      <c r="A1029" s="13">
        <v>44585</v>
      </c>
      <c r="B1029" s="91">
        <f t="shared" si="18"/>
        <v>2022</v>
      </c>
      <c r="C1029" s="15" t="s">
        <v>107</v>
      </c>
      <c r="D1029" s="15" t="s">
        <v>2135</v>
      </c>
      <c r="E1029" s="15" t="s">
        <v>2145</v>
      </c>
      <c r="F1029" s="15" t="s">
        <v>2138</v>
      </c>
      <c r="G1029" s="15" t="s">
        <v>2139</v>
      </c>
      <c r="H1029" s="15">
        <v>7882</v>
      </c>
      <c r="I1029" s="15">
        <v>1182.94</v>
      </c>
    </row>
    <row r="1030" spans="1:9">
      <c r="A1030" s="13">
        <v>44802</v>
      </c>
      <c r="B1030" s="91">
        <f t="shared" si="18"/>
        <v>2022</v>
      </c>
      <c r="C1030" s="15" t="s">
        <v>2141</v>
      </c>
      <c r="D1030" s="15" t="s">
        <v>2114</v>
      </c>
      <c r="E1030" s="15" t="s">
        <v>2136</v>
      </c>
      <c r="F1030" s="15" t="s">
        <v>2116</v>
      </c>
      <c r="G1030" s="15" t="s">
        <v>2117</v>
      </c>
      <c r="H1030" s="15">
        <v>3958</v>
      </c>
      <c r="I1030" s="15">
        <v>554.16999999999996</v>
      </c>
    </row>
    <row r="1031" spans="1:9">
      <c r="A1031" s="13">
        <v>44896</v>
      </c>
      <c r="B1031" s="91">
        <f t="shared" si="18"/>
        <v>2022</v>
      </c>
      <c r="C1031" s="15" t="s">
        <v>2113</v>
      </c>
      <c r="D1031" s="15" t="s">
        <v>2114</v>
      </c>
      <c r="E1031" s="15" t="s">
        <v>2136</v>
      </c>
      <c r="F1031" s="15" t="s">
        <v>2138</v>
      </c>
      <c r="G1031" s="15" t="s">
        <v>2146</v>
      </c>
      <c r="H1031" s="15">
        <v>8555</v>
      </c>
      <c r="I1031" s="15">
        <v>2167.41</v>
      </c>
    </row>
    <row r="1032" spans="1:9">
      <c r="A1032" s="13">
        <v>45374</v>
      </c>
      <c r="B1032" s="91">
        <f t="shared" si="18"/>
        <v>2024</v>
      </c>
      <c r="C1032" s="15" t="s">
        <v>2113</v>
      </c>
      <c r="D1032" s="15" t="s">
        <v>2128</v>
      </c>
      <c r="E1032" s="15" t="s">
        <v>2119</v>
      </c>
      <c r="F1032" s="15" t="s">
        <v>2138</v>
      </c>
      <c r="G1032" s="15" t="s">
        <v>2149</v>
      </c>
      <c r="H1032" s="15">
        <v>9556</v>
      </c>
      <c r="I1032" s="15">
        <v>1904.81</v>
      </c>
    </row>
    <row r="1033" spans="1:9">
      <c r="A1033" s="13">
        <v>45524</v>
      </c>
      <c r="B1033" s="91">
        <f t="shared" si="18"/>
        <v>2024</v>
      </c>
      <c r="C1033" s="15" t="s">
        <v>2113</v>
      </c>
      <c r="D1033" s="15" t="s">
        <v>2128</v>
      </c>
      <c r="E1033" s="15" t="s">
        <v>2134</v>
      </c>
      <c r="F1033" s="15" t="s">
        <v>2120</v>
      </c>
      <c r="G1033" s="15" t="s">
        <v>2121</v>
      </c>
      <c r="H1033" s="15">
        <v>2261</v>
      </c>
      <c r="I1033" s="15">
        <v>304.56</v>
      </c>
    </row>
    <row r="1034" spans="1:9">
      <c r="A1034" s="13">
        <v>44636</v>
      </c>
      <c r="B1034" s="91">
        <f t="shared" si="18"/>
        <v>2022</v>
      </c>
      <c r="C1034" s="15" t="s">
        <v>2113</v>
      </c>
      <c r="D1034" s="15" t="s">
        <v>2153</v>
      </c>
      <c r="E1034" s="15" t="s">
        <v>2123</v>
      </c>
      <c r="F1034" s="15" t="s">
        <v>2120</v>
      </c>
      <c r="G1034" s="15" t="s">
        <v>2133</v>
      </c>
      <c r="H1034" s="15">
        <v>2195</v>
      </c>
      <c r="I1034" s="15">
        <v>509.08</v>
      </c>
    </row>
    <row r="1035" spans="1:9">
      <c r="A1035" s="13">
        <v>45634</v>
      </c>
      <c r="B1035" s="91">
        <f t="shared" si="18"/>
        <v>2024</v>
      </c>
      <c r="C1035" s="15" t="s">
        <v>104</v>
      </c>
      <c r="D1035" s="15" t="s">
        <v>2153</v>
      </c>
      <c r="E1035" s="15" t="s">
        <v>2151</v>
      </c>
      <c r="F1035" s="15" t="s">
        <v>2120</v>
      </c>
      <c r="G1035" s="15" t="s">
        <v>2133</v>
      </c>
      <c r="H1035" s="15">
        <v>8433</v>
      </c>
      <c r="I1035" s="15">
        <v>1761.59</v>
      </c>
    </row>
    <row r="1036" spans="1:9">
      <c r="A1036" s="13">
        <v>45590</v>
      </c>
      <c r="B1036" s="91">
        <f t="shared" si="18"/>
        <v>2024</v>
      </c>
      <c r="C1036" s="15" t="s">
        <v>2113</v>
      </c>
      <c r="D1036" s="15" t="s">
        <v>2152</v>
      </c>
      <c r="E1036" s="15" t="s">
        <v>2134</v>
      </c>
      <c r="F1036" s="15" t="s">
        <v>2120</v>
      </c>
      <c r="G1036" s="15" t="s">
        <v>2133</v>
      </c>
      <c r="H1036" s="15">
        <v>1751</v>
      </c>
      <c r="I1036" s="15">
        <v>198.53</v>
      </c>
    </row>
    <row r="1037" spans="1:9">
      <c r="A1037" s="13">
        <v>45106</v>
      </c>
      <c r="B1037" s="91">
        <f t="shared" si="18"/>
        <v>2023</v>
      </c>
      <c r="C1037" s="15" t="s">
        <v>107</v>
      </c>
      <c r="D1037" s="15" t="s">
        <v>2148</v>
      </c>
      <c r="E1037" s="15" t="s">
        <v>2151</v>
      </c>
      <c r="F1037" s="15" t="s">
        <v>2138</v>
      </c>
      <c r="G1037" s="15" t="s">
        <v>2149</v>
      </c>
      <c r="H1037" s="15">
        <v>6060</v>
      </c>
      <c r="I1037" s="15">
        <v>1614.72</v>
      </c>
    </row>
    <row r="1038" spans="1:9">
      <c r="A1038" s="13">
        <v>44640</v>
      </c>
      <c r="B1038" s="91">
        <f t="shared" si="18"/>
        <v>2022</v>
      </c>
      <c r="C1038" s="15" t="s">
        <v>2141</v>
      </c>
      <c r="D1038" s="15" t="s">
        <v>2142</v>
      </c>
      <c r="E1038" s="15" t="s">
        <v>2145</v>
      </c>
      <c r="F1038" s="15" t="s">
        <v>2138</v>
      </c>
      <c r="G1038" s="15" t="s">
        <v>2139</v>
      </c>
      <c r="H1038" s="15">
        <v>5874</v>
      </c>
      <c r="I1038" s="15">
        <v>1032.96</v>
      </c>
    </row>
    <row r="1039" spans="1:9">
      <c r="A1039" s="13">
        <v>45609</v>
      </c>
      <c r="B1039" s="91">
        <f t="shared" si="18"/>
        <v>2024</v>
      </c>
      <c r="C1039" s="15" t="s">
        <v>107</v>
      </c>
      <c r="D1039" s="15" t="s">
        <v>2131</v>
      </c>
      <c r="E1039" s="15" t="s">
        <v>2136</v>
      </c>
      <c r="F1039" s="15" t="s">
        <v>2120</v>
      </c>
      <c r="G1039" s="15" t="s">
        <v>2132</v>
      </c>
      <c r="H1039" s="15">
        <v>8837</v>
      </c>
      <c r="I1039" s="15">
        <v>2524.4699999999998</v>
      </c>
    </row>
    <row r="1040" spans="1:9">
      <c r="A1040" s="13">
        <v>45563</v>
      </c>
      <c r="B1040" s="91">
        <f t="shared" si="18"/>
        <v>2024</v>
      </c>
      <c r="C1040" s="15" t="s">
        <v>107</v>
      </c>
      <c r="D1040" s="15" t="s">
        <v>2135</v>
      </c>
      <c r="E1040" s="15" t="s">
        <v>2115</v>
      </c>
      <c r="F1040" s="15" t="s">
        <v>2124</v>
      </c>
      <c r="G1040" s="15" t="s">
        <v>2125</v>
      </c>
      <c r="H1040" s="15">
        <v>4582</v>
      </c>
      <c r="I1040" s="15">
        <v>792.16</v>
      </c>
    </row>
    <row r="1041" spans="1:9">
      <c r="A1041" s="13">
        <v>45599</v>
      </c>
      <c r="B1041" s="91">
        <f t="shared" si="18"/>
        <v>2024</v>
      </c>
      <c r="C1041" s="15" t="s">
        <v>2141</v>
      </c>
      <c r="D1041" s="15" t="s">
        <v>2118</v>
      </c>
      <c r="E1041" s="15" t="s">
        <v>2136</v>
      </c>
      <c r="F1041" s="15" t="s">
        <v>2124</v>
      </c>
      <c r="G1041" s="15" t="s">
        <v>2125</v>
      </c>
      <c r="H1041" s="15">
        <v>2981</v>
      </c>
      <c r="I1041" s="15">
        <v>443.13</v>
      </c>
    </row>
    <row r="1042" spans="1:9">
      <c r="A1042" s="13">
        <v>44794</v>
      </c>
      <c r="B1042" s="91">
        <f t="shared" si="18"/>
        <v>2022</v>
      </c>
      <c r="C1042" s="15" t="s">
        <v>104</v>
      </c>
      <c r="D1042" s="15" t="s">
        <v>2153</v>
      </c>
      <c r="E1042" s="15" t="s">
        <v>2144</v>
      </c>
      <c r="F1042" s="15" t="s">
        <v>2138</v>
      </c>
      <c r="G1042" s="15" t="s">
        <v>2139</v>
      </c>
      <c r="H1042" s="15">
        <v>3704</v>
      </c>
      <c r="I1042" s="15">
        <v>1031.06</v>
      </c>
    </row>
    <row r="1043" spans="1:9">
      <c r="A1043" s="13">
        <v>45082</v>
      </c>
      <c r="B1043" s="91">
        <f t="shared" si="18"/>
        <v>2023</v>
      </c>
      <c r="C1043" s="15" t="s">
        <v>2113</v>
      </c>
      <c r="D1043" s="15" t="s">
        <v>2114</v>
      </c>
      <c r="E1043" s="15" t="s">
        <v>2136</v>
      </c>
      <c r="F1043" s="15" t="s">
        <v>2116</v>
      </c>
      <c r="G1043" s="15" t="s">
        <v>2127</v>
      </c>
      <c r="H1043" s="15">
        <v>4777</v>
      </c>
      <c r="I1043" s="15">
        <v>1063.75</v>
      </c>
    </row>
    <row r="1044" spans="1:9">
      <c r="A1044" s="13">
        <v>44903</v>
      </c>
      <c r="B1044" s="91">
        <f t="shared" si="18"/>
        <v>2022</v>
      </c>
      <c r="C1044" s="15" t="s">
        <v>104</v>
      </c>
      <c r="D1044" s="15" t="s">
        <v>2152</v>
      </c>
      <c r="E1044" s="15" t="s">
        <v>2115</v>
      </c>
      <c r="F1044" s="15" t="s">
        <v>2138</v>
      </c>
      <c r="G1044" s="15" t="s">
        <v>2149</v>
      </c>
      <c r="H1044" s="15">
        <v>9785</v>
      </c>
      <c r="I1044" s="15">
        <v>1142.73</v>
      </c>
    </row>
    <row r="1045" spans="1:9">
      <c r="A1045" s="13">
        <v>45526</v>
      </c>
      <c r="B1045" s="91">
        <f t="shared" si="18"/>
        <v>2024</v>
      </c>
      <c r="C1045" s="15" t="s">
        <v>2113</v>
      </c>
      <c r="D1045" s="15" t="s">
        <v>2118</v>
      </c>
      <c r="E1045" s="15" t="s">
        <v>2151</v>
      </c>
      <c r="F1045" s="15" t="s">
        <v>2116</v>
      </c>
      <c r="G1045" s="15" t="s">
        <v>2127</v>
      </c>
      <c r="H1045" s="15">
        <v>2215</v>
      </c>
      <c r="I1045" s="15">
        <v>543.35</v>
      </c>
    </row>
    <row r="1046" spans="1:9">
      <c r="A1046" s="13">
        <v>45216</v>
      </c>
      <c r="B1046" s="91">
        <f t="shared" si="18"/>
        <v>2023</v>
      </c>
      <c r="C1046" s="15" t="s">
        <v>104</v>
      </c>
      <c r="D1046" s="15" t="s">
        <v>2118</v>
      </c>
      <c r="E1046" s="15" t="s">
        <v>2136</v>
      </c>
      <c r="F1046" s="15" t="s">
        <v>2116</v>
      </c>
      <c r="G1046" s="15" t="s">
        <v>2127</v>
      </c>
      <c r="H1046" s="15">
        <v>8224</v>
      </c>
      <c r="I1046" s="15">
        <v>2264.2399999999998</v>
      </c>
    </row>
    <row r="1047" spans="1:9">
      <c r="A1047" s="13">
        <v>45139</v>
      </c>
      <c r="B1047" s="91">
        <f t="shared" si="18"/>
        <v>2023</v>
      </c>
      <c r="C1047" s="15" t="s">
        <v>107</v>
      </c>
      <c r="D1047" s="15" t="s">
        <v>2131</v>
      </c>
      <c r="E1047" s="15" t="s">
        <v>2115</v>
      </c>
      <c r="F1047" s="15" t="s">
        <v>2124</v>
      </c>
      <c r="G1047" s="15" t="s">
        <v>2140</v>
      </c>
      <c r="H1047" s="15">
        <v>7091</v>
      </c>
      <c r="I1047" s="15">
        <v>1700.22</v>
      </c>
    </row>
    <row r="1048" spans="1:9">
      <c r="A1048" s="13">
        <v>45423</v>
      </c>
      <c r="B1048" s="91">
        <f t="shared" si="18"/>
        <v>2024</v>
      </c>
      <c r="C1048" s="15" t="s">
        <v>107</v>
      </c>
      <c r="D1048" s="15" t="s">
        <v>2148</v>
      </c>
      <c r="E1048" s="15" t="s">
        <v>2115</v>
      </c>
      <c r="F1048" s="15" t="s">
        <v>2120</v>
      </c>
      <c r="G1048" s="15" t="s">
        <v>2121</v>
      </c>
      <c r="H1048" s="15">
        <v>4479</v>
      </c>
      <c r="I1048" s="15">
        <v>1020.71</v>
      </c>
    </row>
    <row r="1049" spans="1:9">
      <c r="A1049" s="13">
        <v>45437</v>
      </c>
      <c r="B1049" s="91">
        <f t="shared" si="18"/>
        <v>2024</v>
      </c>
      <c r="C1049" s="15" t="s">
        <v>2141</v>
      </c>
      <c r="D1049" s="15" t="s">
        <v>2153</v>
      </c>
      <c r="E1049" s="15" t="s">
        <v>2119</v>
      </c>
      <c r="F1049" s="15" t="s">
        <v>2124</v>
      </c>
      <c r="G1049" s="15" t="s">
        <v>2130</v>
      </c>
      <c r="H1049" s="15">
        <v>2660</v>
      </c>
      <c r="I1049" s="15">
        <v>526.70000000000005</v>
      </c>
    </row>
    <row r="1050" spans="1:9">
      <c r="A1050" s="13">
        <v>45354</v>
      </c>
      <c r="B1050" s="91">
        <f t="shared" si="18"/>
        <v>2024</v>
      </c>
      <c r="C1050" s="15" t="s">
        <v>104</v>
      </c>
      <c r="D1050" s="15" t="s">
        <v>2114</v>
      </c>
      <c r="E1050" s="15" t="s">
        <v>2134</v>
      </c>
      <c r="F1050" s="15" t="s">
        <v>2120</v>
      </c>
      <c r="G1050" s="15" t="s">
        <v>2132</v>
      </c>
      <c r="H1050" s="15">
        <v>4696</v>
      </c>
      <c r="I1050" s="15">
        <v>599.07000000000005</v>
      </c>
    </row>
    <row r="1051" spans="1:9">
      <c r="A1051" s="13">
        <v>45651</v>
      </c>
      <c r="B1051" s="91">
        <f t="shared" si="18"/>
        <v>2024</v>
      </c>
      <c r="C1051" s="15" t="s">
        <v>104</v>
      </c>
      <c r="D1051" s="15" t="s">
        <v>2142</v>
      </c>
      <c r="E1051" s="15" t="s">
        <v>2129</v>
      </c>
      <c r="F1051" s="15" t="s">
        <v>2120</v>
      </c>
      <c r="G1051" s="15" t="s">
        <v>2132</v>
      </c>
      <c r="H1051" s="15">
        <v>7911</v>
      </c>
      <c r="I1051" s="15">
        <v>2004.48</v>
      </c>
    </row>
    <row r="1052" spans="1:9">
      <c r="A1052" s="13">
        <v>45060</v>
      </c>
      <c r="B1052" s="91">
        <f t="shared" si="18"/>
        <v>2023</v>
      </c>
      <c r="C1052" s="15" t="s">
        <v>2113</v>
      </c>
      <c r="D1052" s="15" t="s">
        <v>2131</v>
      </c>
      <c r="E1052" s="15" t="s">
        <v>2151</v>
      </c>
      <c r="F1052" s="15" t="s">
        <v>2116</v>
      </c>
      <c r="G1052" s="15" t="s">
        <v>2127</v>
      </c>
      <c r="H1052" s="15">
        <v>6141</v>
      </c>
      <c r="I1052" s="15">
        <v>1397.59</v>
      </c>
    </row>
    <row r="1053" spans="1:9">
      <c r="A1053" s="13">
        <v>45607</v>
      </c>
      <c r="B1053" s="91">
        <f t="shared" si="18"/>
        <v>2024</v>
      </c>
      <c r="C1053" s="15" t="s">
        <v>107</v>
      </c>
      <c r="D1053" s="15" t="s">
        <v>2142</v>
      </c>
      <c r="E1053" s="15" t="s">
        <v>2143</v>
      </c>
      <c r="F1053" s="15" t="s">
        <v>2138</v>
      </c>
      <c r="G1053" s="15" t="s">
        <v>2149</v>
      </c>
      <c r="H1053" s="15">
        <v>7708</v>
      </c>
      <c r="I1053" s="15">
        <v>1976.76</v>
      </c>
    </row>
    <row r="1054" spans="1:9">
      <c r="A1054" s="13">
        <v>44966</v>
      </c>
      <c r="B1054" s="91">
        <f t="shared" si="18"/>
        <v>2023</v>
      </c>
      <c r="C1054" s="15" t="s">
        <v>2113</v>
      </c>
      <c r="D1054" s="15" t="s">
        <v>2135</v>
      </c>
      <c r="E1054" s="15" t="s">
        <v>2143</v>
      </c>
      <c r="F1054" s="15" t="s">
        <v>2124</v>
      </c>
      <c r="G1054" s="15" t="s">
        <v>2140</v>
      </c>
      <c r="H1054" s="15">
        <v>5410</v>
      </c>
      <c r="I1054" s="15">
        <v>1001.28</v>
      </c>
    </row>
    <row r="1055" spans="1:9">
      <c r="A1055" s="13">
        <v>44754</v>
      </c>
      <c r="B1055" s="91">
        <f t="shared" si="18"/>
        <v>2022</v>
      </c>
      <c r="C1055" s="15" t="s">
        <v>2141</v>
      </c>
      <c r="D1055" s="15" t="s">
        <v>2114</v>
      </c>
      <c r="E1055" s="15" t="s">
        <v>2134</v>
      </c>
      <c r="F1055" s="15" t="s">
        <v>2124</v>
      </c>
      <c r="G1055" s="15" t="s">
        <v>2125</v>
      </c>
      <c r="H1055" s="15">
        <v>1457</v>
      </c>
      <c r="I1055" s="15">
        <v>167.53</v>
      </c>
    </row>
    <row r="1056" spans="1:9">
      <c r="A1056" s="13">
        <v>45529</v>
      </c>
      <c r="B1056" s="91">
        <f t="shared" si="18"/>
        <v>2024</v>
      </c>
      <c r="C1056" s="15" t="s">
        <v>2113</v>
      </c>
      <c r="D1056" s="15" t="s">
        <v>2114</v>
      </c>
      <c r="E1056" s="15" t="s">
        <v>2136</v>
      </c>
      <c r="F1056" s="15" t="s">
        <v>2116</v>
      </c>
      <c r="G1056" s="15" t="s">
        <v>2154</v>
      </c>
      <c r="H1056" s="15">
        <v>4886</v>
      </c>
      <c r="I1056" s="15">
        <v>954.2</v>
      </c>
    </row>
    <row r="1057" spans="1:9">
      <c r="A1057" s="13">
        <v>45186</v>
      </c>
      <c r="B1057" s="91">
        <f t="shared" si="18"/>
        <v>2023</v>
      </c>
      <c r="C1057" s="15" t="s">
        <v>2113</v>
      </c>
      <c r="D1057" s="15" t="s">
        <v>2126</v>
      </c>
      <c r="E1057" s="15" t="s">
        <v>2134</v>
      </c>
      <c r="F1057" s="15" t="s">
        <v>2124</v>
      </c>
      <c r="G1057" s="15" t="s">
        <v>2125</v>
      </c>
      <c r="H1057" s="15">
        <v>6811</v>
      </c>
      <c r="I1057" s="15">
        <v>1859.82</v>
      </c>
    </row>
    <row r="1058" spans="1:9">
      <c r="A1058" s="13">
        <v>45636</v>
      </c>
      <c r="B1058" s="91">
        <f t="shared" si="18"/>
        <v>2024</v>
      </c>
      <c r="C1058" s="15" t="s">
        <v>2113</v>
      </c>
      <c r="D1058" s="15" t="s">
        <v>2148</v>
      </c>
      <c r="E1058" s="15" t="s">
        <v>2134</v>
      </c>
      <c r="F1058" s="15" t="s">
        <v>2124</v>
      </c>
      <c r="G1058" s="15" t="s">
        <v>2140</v>
      </c>
      <c r="H1058" s="15">
        <v>6477</v>
      </c>
      <c r="I1058" s="15">
        <v>1597.91</v>
      </c>
    </row>
    <row r="1059" spans="1:9">
      <c r="A1059" s="13">
        <v>44777</v>
      </c>
      <c r="B1059" s="91">
        <f t="shared" si="18"/>
        <v>2022</v>
      </c>
      <c r="C1059" s="15" t="s">
        <v>104</v>
      </c>
      <c r="D1059" s="15" t="s">
        <v>2126</v>
      </c>
      <c r="E1059" s="15" t="s">
        <v>2123</v>
      </c>
      <c r="F1059" s="15" t="s">
        <v>2124</v>
      </c>
      <c r="G1059" s="15" t="s">
        <v>2140</v>
      </c>
      <c r="H1059" s="15">
        <v>8490</v>
      </c>
      <c r="I1059" s="15">
        <v>1031.21</v>
      </c>
    </row>
    <row r="1060" spans="1:9">
      <c r="A1060" s="13">
        <v>45271</v>
      </c>
      <c r="B1060" s="91">
        <f t="shared" si="18"/>
        <v>2023</v>
      </c>
      <c r="C1060" s="15" t="s">
        <v>2113</v>
      </c>
      <c r="D1060" s="15" t="s">
        <v>2128</v>
      </c>
      <c r="E1060" s="15" t="s">
        <v>2145</v>
      </c>
      <c r="F1060" s="15" t="s">
        <v>2120</v>
      </c>
      <c r="G1060" s="15" t="s">
        <v>2133</v>
      </c>
      <c r="H1060" s="15">
        <v>3794</v>
      </c>
      <c r="I1060" s="15">
        <v>668.42</v>
      </c>
    </row>
    <row r="1061" spans="1:9">
      <c r="A1061" s="13">
        <v>44846</v>
      </c>
      <c r="B1061" s="91">
        <f t="shared" si="18"/>
        <v>2022</v>
      </c>
      <c r="C1061" s="15" t="s">
        <v>2113</v>
      </c>
      <c r="D1061" s="15" t="s">
        <v>2135</v>
      </c>
      <c r="E1061" s="15" t="s">
        <v>2151</v>
      </c>
      <c r="F1061" s="15" t="s">
        <v>2116</v>
      </c>
      <c r="G1061" s="15" t="s">
        <v>2154</v>
      </c>
      <c r="H1061" s="15">
        <v>5995</v>
      </c>
      <c r="I1061" s="15">
        <v>926.38</v>
      </c>
    </row>
    <row r="1062" spans="1:9">
      <c r="A1062" s="13">
        <v>44787</v>
      </c>
      <c r="B1062" s="91">
        <f t="shared" si="18"/>
        <v>2022</v>
      </c>
      <c r="C1062" s="15" t="s">
        <v>107</v>
      </c>
      <c r="D1062" s="15" t="s">
        <v>2131</v>
      </c>
      <c r="E1062" s="15" t="s">
        <v>2134</v>
      </c>
      <c r="F1062" s="15" t="s">
        <v>2124</v>
      </c>
      <c r="G1062" s="15" t="s">
        <v>2140</v>
      </c>
      <c r="H1062" s="15">
        <v>5163</v>
      </c>
      <c r="I1062" s="15">
        <v>842.9</v>
      </c>
    </row>
    <row r="1063" spans="1:9">
      <c r="A1063" s="13">
        <v>45315</v>
      </c>
      <c r="B1063" s="91">
        <f t="shared" si="18"/>
        <v>2024</v>
      </c>
      <c r="C1063" s="15" t="s">
        <v>104</v>
      </c>
      <c r="D1063" s="15" t="s">
        <v>2131</v>
      </c>
      <c r="E1063" s="15" t="s">
        <v>2119</v>
      </c>
      <c r="F1063" s="15" t="s">
        <v>2116</v>
      </c>
      <c r="G1063" s="15" t="s">
        <v>2154</v>
      </c>
      <c r="H1063" s="15">
        <v>6116</v>
      </c>
      <c r="I1063" s="15">
        <v>1496.79</v>
      </c>
    </row>
    <row r="1064" spans="1:9">
      <c r="A1064" s="13">
        <v>44682</v>
      </c>
      <c r="B1064" s="91">
        <f t="shared" si="18"/>
        <v>2022</v>
      </c>
      <c r="C1064" s="15" t="s">
        <v>104</v>
      </c>
      <c r="D1064" s="15" t="s">
        <v>2118</v>
      </c>
      <c r="E1064" s="15" t="s">
        <v>2144</v>
      </c>
      <c r="F1064" s="15" t="s">
        <v>2124</v>
      </c>
      <c r="G1064" s="15" t="s">
        <v>2125</v>
      </c>
      <c r="H1064" s="15">
        <v>5926</v>
      </c>
      <c r="I1064" s="15">
        <v>1300.08</v>
      </c>
    </row>
    <row r="1065" spans="1:9">
      <c r="A1065" s="13">
        <v>44826</v>
      </c>
      <c r="B1065" s="91">
        <f t="shared" si="18"/>
        <v>2022</v>
      </c>
      <c r="C1065" s="15" t="s">
        <v>107</v>
      </c>
      <c r="D1065" s="15" t="s">
        <v>2142</v>
      </c>
      <c r="E1065" s="15" t="s">
        <v>2151</v>
      </c>
      <c r="F1065" s="15" t="s">
        <v>2138</v>
      </c>
      <c r="G1065" s="15" t="s">
        <v>2146</v>
      </c>
      <c r="H1065" s="15">
        <v>9852</v>
      </c>
      <c r="I1065" s="15">
        <v>1207.8699999999999</v>
      </c>
    </row>
    <row r="1066" spans="1:9">
      <c r="A1066" s="13">
        <v>45147</v>
      </c>
      <c r="B1066" s="91">
        <f t="shared" si="18"/>
        <v>2023</v>
      </c>
      <c r="C1066" s="15" t="s">
        <v>107</v>
      </c>
      <c r="D1066" s="15" t="s">
        <v>2118</v>
      </c>
      <c r="E1066" s="15" t="s">
        <v>2129</v>
      </c>
      <c r="F1066" s="15" t="s">
        <v>2120</v>
      </c>
      <c r="G1066" s="15" t="s">
        <v>2132</v>
      </c>
      <c r="H1066" s="15">
        <v>1669</v>
      </c>
      <c r="I1066" s="15">
        <v>380.06</v>
      </c>
    </row>
    <row r="1067" spans="1:9">
      <c r="A1067" s="13">
        <v>44693</v>
      </c>
      <c r="B1067" s="91">
        <f t="shared" si="18"/>
        <v>2022</v>
      </c>
      <c r="C1067" s="15" t="s">
        <v>107</v>
      </c>
      <c r="D1067" s="15" t="s">
        <v>2131</v>
      </c>
      <c r="E1067" s="15" t="s">
        <v>2143</v>
      </c>
      <c r="F1067" s="15" t="s">
        <v>2138</v>
      </c>
      <c r="G1067" s="15" t="s">
        <v>2149</v>
      </c>
      <c r="H1067" s="15">
        <v>8384</v>
      </c>
      <c r="I1067" s="15">
        <v>2504.23</v>
      </c>
    </row>
    <row r="1068" spans="1:9">
      <c r="A1068" s="13">
        <v>44883</v>
      </c>
      <c r="B1068" s="91">
        <f t="shared" si="18"/>
        <v>2022</v>
      </c>
      <c r="C1068" s="15" t="s">
        <v>104</v>
      </c>
      <c r="D1068" s="15" t="s">
        <v>2128</v>
      </c>
      <c r="E1068" s="15" t="s">
        <v>2115</v>
      </c>
      <c r="F1068" s="15" t="s">
        <v>2138</v>
      </c>
      <c r="G1068" s="15" t="s">
        <v>2146</v>
      </c>
      <c r="H1068" s="15">
        <v>8638</v>
      </c>
      <c r="I1068" s="15">
        <v>2385.7800000000002</v>
      </c>
    </row>
    <row r="1069" spans="1:9">
      <c r="A1069" s="13">
        <v>44779</v>
      </c>
      <c r="B1069" s="91">
        <f t="shared" si="18"/>
        <v>2022</v>
      </c>
      <c r="C1069" s="15" t="s">
        <v>107</v>
      </c>
      <c r="D1069" s="15" t="s">
        <v>2128</v>
      </c>
      <c r="E1069" s="15" t="s">
        <v>2119</v>
      </c>
      <c r="F1069" s="15" t="s">
        <v>2120</v>
      </c>
      <c r="G1069" s="15" t="s">
        <v>2133</v>
      </c>
      <c r="H1069" s="15">
        <v>5550</v>
      </c>
      <c r="I1069" s="15">
        <v>1177.58</v>
      </c>
    </row>
    <row r="1070" spans="1:9">
      <c r="A1070" s="13">
        <v>45458</v>
      </c>
      <c r="B1070" s="91">
        <f t="shared" si="18"/>
        <v>2024</v>
      </c>
      <c r="C1070" s="15" t="s">
        <v>107</v>
      </c>
      <c r="D1070" s="15" t="s">
        <v>2128</v>
      </c>
      <c r="E1070" s="15" t="s">
        <v>2143</v>
      </c>
      <c r="F1070" s="15" t="s">
        <v>2138</v>
      </c>
      <c r="G1070" s="15" t="s">
        <v>2149</v>
      </c>
      <c r="H1070" s="15">
        <v>1130</v>
      </c>
      <c r="I1070" s="15">
        <v>337.4</v>
      </c>
    </row>
    <row r="1071" spans="1:9">
      <c r="A1071" s="13">
        <v>45020</v>
      </c>
      <c r="B1071" s="91">
        <f t="shared" si="18"/>
        <v>2023</v>
      </c>
      <c r="C1071" s="15" t="s">
        <v>104</v>
      </c>
      <c r="D1071" s="15" t="s">
        <v>2131</v>
      </c>
      <c r="E1071" s="15" t="s">
        <v>2123</v>
      </c>
      <c r="F1071" s="15" t="s">
        <v>2120</v>
      </c>
      <c r="G1071" s="15" t="s">
        <v>2132</v>
      </c>
      <c r="H1071" s="15">
        <v>8842</v>
      </c>
      <c r="I1071" s="15">
        <v>1030.42</v>
      </c>
    </row>
    <row r="1072" spans="1:9">
      <c r="A1072" s="13">
        <v>45101</v>
      </c>
      <c r="B1072" s="91">
        <f t="shared" si="18"/>
        <v>2023</v>
      </c>
      <c r="C1072" s="15" t="s">
        <v>104</v>
      </c>
      <c r="D1072" s="15" t="s">
        <v>2128</v>
      </c>
      <c r="E1072" s="15" t="s">
        <v>2129</v>
      </c>
      <c r="F1072" s="15" t="s">
        <v>2138</v>
      </c>
      <c r="G1072" s="15" t="s">
        <v>2146</v>
      </c>
      <c r="H1072" s="15">
        <v>8125</v>
      </c>
      <c r="I1072" s="15">
        <v>2121.71</v>
      </c>
    </row>
    <row r="1073" spans="1:9">
      <c r="A1073" s="13">
        <v>45407</v>
      </c>
      <c r="B1073" s="91">
        <f t="shared" si="18"/>
        <v>2024</v>
      </c>
      <c r="C1073" s="15" t="s">
        <v>104</v>
      </c>
      <c r="D1073" s="15" t="s">
        <v>2152</v>
      </c>
      <c r="E1073" s="15" t="s">
        <v>2136</v>
      </c>
      <c r="F1073" s="15" t="s">
        <v>2120</v>
      </c>
      <c r="G1073" s="15" t="s">
        <v>2133</v>
      </c>
      <c r="H1073" s="15">
        <v>6298</v>
      </c>
      <c r="I1073" s="15">
        <v>1578.99</v>
      </c>
    </row>
    <row r="1074" spans="1:9">
      <c r="A1074" s="13">
        <v>45201</v>
      </c>
      <c r="B1074" s="91">
        <f t="shared" si="18"/>
        <v>2023</v>
      </c>
      <c r="C1074" s="15" t="s">
        <v>107</v>
      </c>
      <c r="D1074" s="15" t="s">
        <v>2114</v>
      </c>
      <c r="E1074" s="15" t="s">
        <v>2151</v>
      </c>
      <c r="F1074" s="15" t="s">
        <v>2124</v>
      </c>
      <c r="G1074" s="15" t="s">
        <v>2140</v>
      </c>
      <c r="H1074" s="15">
        <v>3110</v>
      </c>
      <c r="I1074" s="15">
        <v>656.4</v>
      </c>
    </row>
    <row r="1075" spans="1:9">
      <c r="A1075" s="13">
        <v>44896</v>
      </c>
      <c r="B1075" s="91">
        <f t="shared" si="18"/>
        <v>2022</v>
      </c>
      <c r="C1075" s="15" t="s">
        <v>104</v>
      </c>
      <c r="D1075" s="15" t="s">
        <v>2131</v>
      </c>
      <c r="E1075" s="15" t="s">
        <v>2145</v>
      </c>
      <c r="F1075" s="15" t="s">
        <v>2116</v>
      </c>
      <c r="G1075" s="15" t="s">
        <v>2117</v>
      </c>
      <c r="H1075" s="15">
        <v>7969</v>
      </c>
      <c r="I1075" s="15">
        <v>1691.72</v>
      </c>
    </row>
    <row r="1076" spans="1:9">
      <c r="A1076" s="13">
        <v>44878</v>
      </c>
      <c r="B1076" s="91">
        <f t="shared" si="18"/>
        <v>2022</v>
      </c>
      <c r="C1076" s="15" t="s">
        <v>2141</v>
      </c>
      <c r="D1076" s="15" t="s">
        <v>2148</v>
      </c>
      <c r="E1076" s="15" t="s">
        <v>2119</v>
      </c>
      <c r="F1076" s="15" t="s">
        <v>2116</v>
      </c>
      <c r="G1076" s="15" t="s">
        <v>2117</v>
      </c>
      <c r="H1076" s="15">
        <v>8900</v>
      </c>
      <c r="I1076" s="15">
        <v>1118.75</v>
      </c>
    </row>
    <row r="1077" spans="1:9">
      <c r="A1077" s="13">
        <v>45283</v>
      </c>
      <c r="B1077" s="91">
        <f t="shared" si="18"/>
        <v>2023</v>
      </c>
      <c r="C1077" s="15" t="s">
        <v>107</v>
      </c>
      <c r="D1077" s="15" t="s">
        <v>2142</v>
      </c>
      <c r="E1077" s="15" t="s">
        <v>2143</v>
      </c>
      <c r="F1077" s="15" t="s">
        <v>2138</v>
      </c>
      <c r="G1077" s="15" t="s">
        <v>2149</v>
      </c>
      <c r="H1077" s="15">
        <v>1196</v>
      </c>
      <c r="I1077" s="15">
        <v>291.01</v>
      </c>
    </row>
    <row r="1078" spans="1:9">
      <c r="A1078" s="13">
        <v>45053</v>
      </c>
      <c r="B1078" s="91">
        <f t="shared" si="18"/>
        <v>2023</v>
      </c>
      <c r="C1078" s="15" t="s">
        <v>2141</v>
      </c>
      <c r="D1078" s="15" t="s">
        <v>2142</v>
      </c>
      <c r="E1078" s="15" t="s">
        <v>2134</v>
      </c>
      <c r="F1078" s="15" t="s">
        <v>2138</v>
      </c>
      <c r="G1078" s="15" t="s">
        <v>2149</v>
      </c>
      <c r="H1078" s="15">
        <v>6988</v>
      </c>
      <c r="I1078" s="15">
        <v>1500.89</v>
      </c>
    </row>
    <row r="1079" spans="1:9">
      <c r="A1079" s="13">
        <v>45388</v>
      </c>
      <c r="B1079" s="91">
        <f t="shared" si="18"/>
        <v>2024</v>
      </c>
      <c r="C1079" s="15" t="s">
        <v>2141</v>
      </c>
      <c r="D1079" s="15" t="s">
        <v>2126</v>
      </c>
      <c r="E1079" s="15" t="s">
        <v>2134</v>
      </c>
      <c r="F1079" s="15" t="s">
        <v>2124</v>
      </c>
      <c r="G1079" s="15" t="s">
        <v>2130</v>
      </c>
      <c r="H1079" s="15">
        <v>2114</v>
      </c>
      <c r="I1079" s="15">
        <v>259.05</v>
      </c>
    </row>
    <row r="1080" spans="1:9">
      <c r="A1080" s="13">
        <v>45357</v>
      </c>
      <c r="B1080" s="91">
        <f t="shared" si="18"/>
        <v>2024</v>
      </c>
      <c r="C1080" s="15" t="s">
        <v>2113</v>
      </c>
      <c r="D1080" s="15" t="s">
        <v>2152</v>
      </c>
      <c r="E1080" s="15" t="s">
        <v>2115</v>
      </c>
      <c r="F1080" s="15" t="s">
        <v>2116</v>
      </c>
      <c r="G1080" s="15" t="s">
        <v>2127</v>
      </c>
      <c r="H1080" s="15">
        <v>6136</v>
      </c>
      <c r="I1080" s="15">
        <v>1323.8</v>
      </c>
    </row>
    <row r="1081" spans="1:9">
      <c r="A1081" s="13">
        <v>45054</v>
      </c>
      <c r="B1081" s="91">
        <f t="shared" si="18"/>
        <v>2023</v>
      </c>
      <c r="C1081" s="15" t="s">
        <v>107</v>
      </c>
      <c r="D1081" s="15" t="s">
        <v>2128</v>
      </c>
      <c r="E1081" s="15" t="s">
        <v>2115</v>
      </c>
      <c r="F1081" s="15" t="s">
        <v>2138</v>
      </c>
      <c r="G1081" s="15" t="s">
        <v>2139</v>
      </c>
      <c r="H1081" s="15">
        <v>3406</v>
      </c>
      <c r="I1081" s="15">
        <v>950.15</v>
      </c>
    </row>
    <row r="1082" spans="1:9">
      <c r="A1082" s="13">
        <v>44770</v>
      </c>
      <c r="B1082" s="91">
        <f t="shared" si="18"/>
        <v>2022</v>
      </c>
      <c r="C1082" s="15" t="s">
        <v>107</v>
      </c>
      <c r="D1082" s="15" t="s">
        <v>2153</v>
      </c>
      <c r="E1082" s="15" t="s">
        <v>2129</v>
      </c>
      <c r="F1082" s="15" t="s">
        <v>2124</v>
      </c>
      <c r="G1082" s="15" t="s">
        <v>2130</v>
      </c>
      <c r="H1082" s="15">
        <v>2388</v>
      </c>
      <c r="I1082" s="15">
        <v>454</v>
      </c>
    </row>
    <row r="1083" spans="1:9">
      <c r="A1083" s="13">
        <v>45165</v>
      </c>
      <c r="B1083" s="91">
        <f t="shared" si="18"/>
        <v>2023</v>
      </c>
      <c r="C1083" s="15" t="s">
        <v>104</v>
      </c>
      <c r="D1083" s="15" t="s">
        <v>2131</v>
      </c>
      <c r="E1083" s="15" t="s">
        <v>2144</v>
      </c>
      <c r="F1083" s="15" t="s">
        <v>2124</v>
      </c>
      <c r="G1083" s="15" t="s">
        <v>2130</v>
      </c>
      <c r="H1083" s="15">
        <v>8726</v>
      </c>
      <c r="I1083" s="15">
        <v>1694.38</v>
      </c>
    </row>
    <row r="1084" spans="1:9">
      <c r="A1084" s="13">
        <v>44565</v>
      </c>
      <c r="B1084" s="91">
        <f t="shared" si="18"/>
        <v>2022</v>
      </c>
      <c r="C1084" s="15" t="s">
        <v>107</v>
      </c>
      <c r="D1084" s="15" t="s">
        <v>2152</v>
      </c>
      <c r="E1084" s="15" t="s">
        <v>2129</v>
      </c>
      <c r="F1084" s="15" t="s">
        <v>2124</v>
      </c>
      <c r="G1084" s="15" t="s">
        <v>2140</v>
      </c>
      <c r="H1084" s="15">
        <v>3173</v>
      </c>
      <c r="I1084" s="15">
        <v>935.48</v>
      </c>
    </row>
    <row r="1085" spans="1:9">
      <c r="A1085" s="13">
        <v>45625</v>
      </c>
      <c r="B1085" s="91">
        <f t="shared" si="18"/>
        <v>2024</v>
      </c>
      <c r="C1085" s="15" t="s">
        <v>2113</v>
      </c>
      <c r="D1085" s="15" t="s">
        <v>2142</v>
      </c>
      <c r="E1085" s="15" t="s">
        <v>2136</v>
      </c>
      <c r="F1085" s="15" t="s">
        <v>2116</v>
      </c>
      <c r="G1085" s="15" t="s">
        <v>2154</v>
      </c>
      <c r="H1085" s="15">
        <v>8210</v>
      </c>
      <c r="I1085" s="15">
        <v>2264.21</v>
      </c>
    </row>
    <row r="1086" spans="1:9">
      <c r="A1086" s="13">
        <v>44846</v>
      </c>
      <c r="B1086" s="91">
        <f t="shared" si="18"/>
        <v>2022</v>
      </c>
      <c r="C1086" s="15" t="s">
        <v>107</v>
      </c>
      <c r="D1086" s="15" t="s">
        <v>2126</v>
      </c>
      <c r="E1086" s="15" t="s">
        <v>2134</v>
      </c>
      <c r="F1086" s="15" t="s">
        <v>2120</v>
      </c>
      <c r="G1086" s="15" t="s">
        <v>2132</v>
      </c>
      <c r="H1086" s="15">
        <v>9830</v>
      </c>
      <c r="I1086" s="15">
        <v>2032.36</v>
      </c>
    </row>
    <row r="1087" spans="1:9">
      <c r="A1087" s="13">
        <v>45544</v>
      </c>
      <c r="B1087" s="91">
        <f t="shared" si="18"/>
        <v>2024</v>
      </c>
      <c r="C1087" s="15" t="s">
        <v>2113</v>
      </c>
      <c r="D1087" s="15" t="s">
        <v>2142</v>
      </c>
      <c r="E1087" s="15" t="s">
        <v>2151</v>
      </c>
      <c r="F1087" s="15" t="s">
        <v>2124</v>
      </c>
      <c r="G1087" s="15" t="s">
        <v>2140</v>
      </c>
      <c r="H1087" s="15">
        <v>7774</v>
      </c>
      <c r="I1087" s="15">
        <v>1543.34</v>
      </c>
    </row>
    <row r="1088" spans="1:9">
      <c r="A1088" s="13">
        <v>45354</v>
      </c>
      <c r="B1088" s="91">
        <f t="shared" si="18"/>
        <v>2024</v>
      </c>
      <c r="C1088" s="15" t="s">
        <v>107</v>
      </c>
      <c r="D1088" s="15" t="s">
        <v>2131</v>
      </c>
      <c r="E1088" s="15" t="s">
        <v>2136</v>
      </c>
      <c r="F1088" s="15" t="s">
        <v>2124</v>
      </c>
      <c r="G1088" s="15" t="s">
        <v>2140</v>
      </c>
      <c r="H1088" s="15">
        <v>6090</v>
      </c>
      <c r="I1088" s="15">
        <v>848.06</v>
      </c>
    </row>
    <row r="1089" spans="1:9">
      <c r="A1089" s="13">
        <v>45301</v>
      </c>
      <c r="B1089" s="91">
        <f t="shared" si="18"/>
        <v>2024</v>
      </c>
      <c r="C1089" s="15" t="s">
        <v>2141</v>
      </c>
      <c r="D1089" s="15" t="s">
        <v>2131</v>
      </c>
      <c r="E1089" s="15" t="s">
        <v>2134</v>
      </c>
      <c r="F1089" s="15" t="s">
        <v>2120</v>
      </c>
      <c r="G1089" s="15" t="s">
        <v>2132</v>
      </c>
      <c r="H1089" s="15">
        <v>2564</v>
      </c>
      <c r="I1089" s="15">
        <v>331.36</v>
      </c>
    </row>
    <row r="1090" spans="1:9">
      <c r="A1090" s="13">
        <v>45455</v>
      </c>
      <c r="B1090" s="91">
        <f t="shared" si="18"/>
        <v>2024</v>
      </c>
      <c r="C1090" s="15" t="s">
        <v>104</v>
      </c>
      <c r="D1090" s="15" t="s">
        <v>2148</v>
      </c>
      <c r="E1090" s="15" t="s">
        <v>2143</v>
      </c>
      <c r="F1090" s="15" t="s">
        <v>2138</v>
      </c>
      <c r="G1090" s="15" t="s">
        <v>2139</v>
      </c>
      <c r="H1090" s="15">
        <v>4574</v>
      </c>
      <c r="I1090" s="15">
        <v>861.76</v>
      </c>
    </row>
    <row r="1091" spans="1:9">
      <c r="A1091" s="13">
        <v>44717</v>
      </c>
      <c r="B1091" s="91">
        <f t="shared" ref="B1091:B1154" si="19">YEAR(A1091)</f>
        <v>2022</v>
      </c>
      <c r="C1091" s="15" t="s">
        <v>107</v>
      </c>
      <c r="D1091" s="15" t="s">
        <v>2148</v>
      </c>
      <c r="E1091" s="15" t="s">
        <v>2144</v>
      </c>
      <c r="F1091" s="15" t="s">
        <v>2138</v>
      </c>
      <c r="G1091" s="15" t="s">
        <v>2139</v>
      </c>
      <c r="H1091" s="15">
        <v>5022</v>
      </c>
      <c r="I1091" s="15">
        <v>1334.43</v>
      </c>
    </row>
    <row r="1092" spans="1:9">
      <c r="A1092" s="13">
        <v>45470</v>
      </c>
      <c r="B1092" s="91">
        <f t="shared" si="19"/>
        <v>2024</v>
      </c>
      <c r="C1092" s="15" t="s">
        <v>2141</v>
      </c>
      <c r="D1092" s="15" t="s">
        <v>2118</v>
      </c>
      <c r="E1092" s="15" t="s">
        <v>2123</v>
      </c>
      <c r="F1092" s="15" t="s">
        <v>2124</v>
      </c>
      <c r="G1092" s="15" t="s">
        <v>2130</v>
      </c>
      <c r="H1092" s="15">
        <v>7516</v>
      </c>
      <c r="I1092" s="15">
        <v>1567.81</v>
      </c>
    </row>
    <row r="1093" spans="1:9">
      <c r="A1093" s="13">
        <v>45437</v>
      </c>
      <c r="B1093" s="91">
        <f t="shared" si="19"/>
        <v>2024</v>
      </c>
      <c r="C1093" s="15" t="s">
        <v>104</v>
      </c>
      <c r="D1093" s="15" t="s">
        <v>2135</v>
      </c>
      <c r="E1093" s="15" t="s">
        <v>2123</v>
      </c>
      <c r="F1093" s="15" t="s">
        <v>2138</v>
      </c>
      <c r="G1093" s="15" t="s">
        <v>2149</v>
      </c>
      <c r="H1093" s="15">
        <v>6593</v>
      </c>
      <c r="I1093" s="15">
        <v>706.79</v>
      </c>
    </row>
    <row r="1094" spans="1:9">
      <c r="A1094" s="13">
        <v>45643</v>
      </c>
      <c r="B1094" s="91">
        <f t="shared" si="19"/>
        <v>2024</v>
      </c>
      <c r="C1094" s="15" t="s">
        <v>2113</v>
      </c>
      <c r="D1094" s="15" t="s">
        <v>2148</v>
      </c>
      <c r="E1094" s="15" t="s">
        <v>2115</v>
      </c>
      <c r="F1094" s="15" t="s">
        <v>2138</v>
      </c>
      <c r="G1094" s="15" t="s">
        <v>2149</v>
      </c>
      <c r="H1094" s="15">
        <v>6677</v>
      </c>
      <c r="I1094" s="15">
        <v>1180.93</v>
      </c>
    </row>
    <row r="1095" spans="1:9">
      <c r="A1095" s="13">
        <v>45471</v>
      </c>
      <c r="B1095" s="91">
        <f t="shared" si="19"/>
        <v>2024</v>
      </c>
      <c r="C1095" s="15" t="s">
        <v>2113</v>
      </c>
      <c r="D1095" s="15" t="s">
        <v>2128</v>
      </c>
      <c r="E1095" s="15" t="s">
        <v>2143</v>
      </c>
      <c r="F1095" s="15" t="s">
        <v>2116</v>
      </c>
      <c r="G1095" s="15" t="s">
        <v>2154</v>
      </c>
      <c r="H1095" s="15">
        <v>5834</v>
      </c>
      <c r="I1095" s="15">
        <v>1356.56</v>
      </c>
    </row>
    <row r="1096" spans="1:9">
      <c r="A1096" s="13">
        <v>45478</v>
      </c>
      <c r="B1096" s="91">
        <f t="shared" si="19"/>
        <v>2024</v>
      </c>
      <c r="C1096" s="15" t="s">
        <v>2141</v>
      </c>
      <c r="D1096" s="15" t="s">
        <v>2131</v>
      </c>
      <c r="E1096" s="15" t="s">
        <v>2119</v>
      </c>
      <c r="F1096" s="15" t="s">
        <v>2116</v>
      </c>
      <c r="G1096" s="15" t="s">
        <v>2117</v>
      </c>
      <c r="H1096" s="15">
        <v>9061</v>
      </c>
      <c r="I1096" s="15">
        <v>1381.45</v>
      </c>
    </row>
    <row r="1097" spans="1:9">
      <c r="A1097" s="13">
        <v>45056</v>
      </c>
      <c r="B1097" s="91">
        <f t="shared" si="19"/>
        <v>2023</v>
      </c>
      <c r="C1097" s="15" t="s">
        <v>2113</v>
      </c>
      <c r="D1097" s="15" t="s">
        <v>2128</v>
      </c>
      <c r="E1097" s="15" t="s">
        <v>2151</v>
      </c>
      <c r="F1097" s="15" t="s">
        <v>2138</v>
      </c>
      <c r="G1097" s="15" t="s">
        <v>2146</v>
      </c>
      <c r="H1097" s="15">
        <v>4724</v>
      </c>
      <c r="I1097" s="15">
        <v>1076.97</v>
      </c>
    </row>
    <row r="1098" spans="1:9">
      <c r="A1098" s="13">
        <v>45343</v>
      </c>
      <c r="B1098" s="91">
        <f t="shared" si="19"/>
        <v>2024</v>
      </c>
      <c r="C1098" s="15" t="s">
        <v>2113</v>
      </c>
      <c r="D1098" s="15" t="s">
        <v>2148</v>
      </c>
      <c r="E1098" s="15" t="s">
        <v>2143</v>
      </c>
      <c r="F1098" s="15" t="s">
        <v>2116</v>
      </c>
      <c r="G1098" s="15" t="s">
        <v>2117</v>
      </c>
      <c r="H1098" s="15">
        <v>5521</v>
      </c>
      <c r="I1098" s="15">
        <v>1094.03</v>
      </c>
    </row>
    <row r="1099" spans="1:9">
      <c r="A1099" s="13">
        <v>44626</v>
      </c>
      <c r="B1099" s="91">
        <f t="shared" si="19"/>
        <v>2022</v>
      </c>
      <c r="C1099" s="15" t="s">
        <v>2113</v>
      </c>
      <c r="D1099" s="15" t="s">
        <v>2114</v>
      </c>
      <c r="E1099" s="15" t="s">
        <v>2143</v>
      </c>
      <c r="F1099" s="15" t="s">
        <v>2116</v>
      </c>
      <c r="G1099" s="15" t="s">
        <v>2127</v>
      </c>
      <c r="H1099" s="15">
        <v>8011</v>
      </c>
      <c r="I1099" s="15">
        <v>1079.17</v>
      </c>
    </row>
    <row r="1100" spans="1:9">
      <c r="A1100" s="13">
        <v>44804</v>
      </c>
      <c r="B1100" s="91">
        <f t="shared" si="19"/>
        <v>2022</v>
      </c>
      <c r="C1100" s="15" t="s">
        <v>2141</v>
      </c>
      <c r="D1100" s="15" t="s">
        <v>2153</v>
      </c>
      <c r="E1100" s="15" t="s">
        <v>2151</v>
      </c>
      <c r="F1100" s="15" t="s">
        <v>2116</v>
      </c>
      <c r="G1100" s="15" t="s">
        <v>2154</v>
      </c>
      <c r="H1100" s="15">
        <v>5425</v>
      </c>
      <c r="I1100" s="15">
        <v>1511.66</v>
      </c>
    </row>
    <row r="1101" spans="1:9">
      <c r="A1101" s="13">
        <v>44832</v>
      </c>
      <c r="B1101" s="91">
        <f t="shared" si="19"/>
        <v>2022</v>
      </c>
      <c r="C1101" s="15" t="s">
        <v>104</v>
      </c>
      <c r="D1101" s="15" t="s">
        <v>2153</v>
      </c>
      <c r="E1101" s="15" t="s">
        <v>2119</v>
      </c>
      <c r="F1101" s="15" t="s">
        <v>2138</v>
      </c>
      <c r="G1101" s="15" t="s">
        <v>2139</v>
      </c>
      <c r="H1101" s="15">
        <v>3524</v>
      </c>
      <c r="I1101" s="15">
        <v>1039.25</v>
      </c>
    </row>
    <row r="1102" spans="1:9">
      <c r="A1102" s="13">
        <v>44948</v>
      </c>
      <c r="B1102" s="91">
        <f t="shared" si="19"/>
        <v>2023</v>
      </c>
      <c r="C1102" s="15" t="s">
        <v>107</v>
      </c>
      <c r="D1102" s="15" t="s">
        <v>2135</v>
      </c>
      <c r="E1102" s="15" t="s">
        <v>2134</v>
      </c>
      <c r="F1102" s="15" t="s">
        <v>2120</v>
      </c>
      <c r="G1102" s="15" t="s">
        <v>2132</v>
      </c>
      <c r="H1102" s="15">
        <v>7689</v>
      </c>
      <c r="I1102" s="15">
        <v>1553.68</v>
      </c>
    </row>
    <row r="1103" spans="1:9">
      <c r="A1103" s="13">
        <v>44747</v>
      </c>
      <c r="B1103" s="91">
        <f t="shared" si="19"/>
        <v>2022</v>
      </c>
      <c r="C1103" s="15" t="s">
        <v>2141</v>
      </c>
      <c r="D1103" s="15" t="s">
        <v>2118</v>
      </c>
      <c r="E1103" s="15" t="s">
        <v>2136</v>
      </c>
      <c r="F1103" s="15" t="s">
        <v>2124</v>
      </c>
      <c r="G1103" s="15" t="s">
        <v>2140</v>
      </c>
      <c r="H1103" s="15">
        <v>1777</v>
      </c>
      <c r="I1103" s="15">
        <v>382.14</v>
      </c>
    </row>
    <row r="1104" spans="1:9">
      <c r="A1104" s="13">
        <v>44830</v>
      </c>
      <c r="B1104" s="91">
        <f t="shared" si="19"/>
        <v>2022</v>
      </c>
      <c r="C1104" s="15" t="s">
        <v>2113</v>
      </c>
      <c r="D1104" s="15" t="s">
        <v>2126</v>
      </c>
      <c r="E1104" s="15" t="s">
        <v>2115</v>
      </c>
      <c r="F1104" s="15" t="s">
        <v>2116</v>
      </c>
      <c r="G1104" s="15" t="s">
        <v>2117</v>
      </c>
      <c r="H1104" s="15">
        <v>4449</v>
      </c>
      <c r="I1104" s="15">
        <v>710.57</v>
      </c>
    </row>
    <row r="1105" spans="1:9">
      <c r="A1105" s="13">
        <v>45587</v>
      </c>
      <c r="B1105" s="91">
        <f t="shared" si="19"/>
        <v>2024</v>
      </c>
      <c r="C1105" s="15" t="s">
        <v>2141</v>
      </c>
      <c r="D1105" s="15" t="s">
        <v>2142</v>
      </c>
      <c r="E1105" s="15" t="s">
        <v>2119</v>
      </c>
      <c r="F1105" s="15" t="s">
        <v>2120</v>
      </c>
      <c r="G1105" s="15" t="s">
        <v>2132</v>
      </c>
      <c r="H1105" s="15">
        <v>8211</v>
      </c>
      <c r="I1105" s="15">
        <v>1329.64</v>
      </c>
    </row>
    <row r="1106" spans="1:9">
      <c r="A1106" s="13">
        <v>45385</v>
      </c>
      <c r="B1106" s="91">
        <f t="shared" si="19"/>
        <v>2024</v>
      </c>
      <c r="C1106" s="15" t="s">
        <v>107</v>
      </c>
      <c r="D1106" s="15" t="s">
        <v>2114</v>
      </c>
      <c r="E1106" s="15" t="s">
        <v>2144</v>
      </c>
      <c r="F1106" s="15" t="s">
        <v>2120</v>
      </c>
      <c r="G1106" s="15" t="s">
        <v>2132</v>
      </c>
      <c r="H1106" s="15">
        <v>7111</v>
      </c>
      <c r="I1106" s="15">
        <v>2089.59</v>
      </c>
    </row>
    <row r="1107" spans="1:9">
      <c r="A1107" s="13">
        <v>45316</v>
      </c>
      <c r="B1107" s="91">
        <f t="shared" si="19"/>
        <v>2024</v>
      </c>
      <c r="C1107" s="15" t="s">
        <v>2141</v>
      </c>
      <c r="D1107" s="15" t="s">
        <v>2128</v>
      </c>
      <c r="E1107" s="15" t="s">
        <v>2143</v>
      </c>
      <c r="F1107" s="15" t="s">
        <v>2138</v>
      </c>
      <c r="G1107" s="15" t="s">
        <v>2139</v>
      </c>
      <c r="H1107" s="15">
        <v>8278</v>
      </c>
      <c r="I1107" s="15">
        <v>2336.9699999999998</v>
      </c>
    </row>
    <row r="1108" spans="1:9">
      <c r="A1108" s="13">
        <v>45430</v>
      </c>
      <c r="B1108" s="91">
        <f t="shared" si="19"/>
        <v>2024</v>
      </c>
      <c r="C1108" s="15" t="s">
        <v>2141</v>
      </c>
      <c r="D1108" s="15" t="s">
        <v>2142</v>
      </c>
      <c r="E1108" s="15" t="s">
        <v>2129</v>
      </c>
      <c r="F1108" s="15" t="s">
        <v>2116</v>
      </c>
      <c r="G1108" s="15" t="s">
        <v>2127</v>
      </c>
      <c r="H1108" s="15">
        <v>5390</v>
      </c>
      <c r="I1108" s="15">
        <v>575.4</v>
      </c>
    </row>
    <row r="1109" spans="1:9">
      <c r="A1109" s="13">
        <v>45412</v>
      </c>
      <c r="B1109" s="91">
        <f t="shared" si="19"/>
        <v>2024</v>
      </c>
      <c r="C1109" s="15" t="s">
        <v>104</v>
      </c>
      <c r="D1109" s="15" t="s">
        <v>2114</v>
      </c>
      <c r="E1109" s="15" t="s">
        <v>2119</v>
      </c>
      <c r="F1109" s="15" t="s">
        <v>2116</v>
      </c>
      <c r="G1109" s="15" t="s">
        <v>2117</v>
      </c>
      <c r="H1109" s="15">
        <v>2652</v>
      </c>
      <c r="I1109" s="15">
        <v>357.25</v>
      </c>
    </row>
    <row r="1110" spans="1:9">
      <c r="A1110" s="13">
        <v>44851</v>
      </c>
      <c r="B1110" s="91">
        <f t="shared" si="19"/>
        <v>2022</v>
      </c>
      <c r="C1110" s="15" t="s">
        <v>107</v>
      </c>
      <c r="D1110" s="15" t="s">
        <v>2153</v>
      </c>
      <c r="E1110" s="15" t="s">
        <v>2136</v>
      </c>
      <c r="F1110" s="15" t="s">
        <v>2138</v>
      </c>
      <c r="G1110" s="15" t="s">
        <v>2139</v>
      </c>
      <c r="H1110" s="15">
        <v>1513</v>
      </c>
      <c r="I1110" s="15">
        <v>418.76</v>
      </c>
    </row>
    <row r="1111" spans="1:9">
      <c r="A1111" s="13">
        <v>44880</v>
      </c>
      <c r="B1111" s="91">
        <f t="shared" si="19"/>
        <v>2022</v>
      </c>
      <c r="C1111" s="15" t="s">
        <v>2113</v>
      </c>
      <c r="D1111" s="15" t="s">
        <v>2126</v>
      </c>
      <c r="E1111" s="15" t="s">
        <v>2144</v>
      </c>
      <c r="F1111" s="15" t="s">
        <v>2120</v>
      </c>
      <c r="G1111" s="15" t="s">
        <v>2132</v>
      </c>
      <c r="H1111" s="15">
        <v>7354</v>
      </c>
      <c r="I1111" s="15">
        <v>1187.3599999999999</v>
      </c>
    </row>
    <row r="1112" spans="1:9">
      <c r="A1112" s="13">
        <v>45523</v>
      </c>
      <c r="B1112" s="91">
        <f t="shared" si="19"/>
        <v>2024</v>
      </c>
      <c r="C1112" s="15" t="s">
        <v>2141</v>
      </c>
      <c r="D1112" s="15" t="s">
        <v>2118</v>
      </c>
      <c r="E1112" s="15" t="s">
        <v>2129</v>
      </c>
      <c r="F1112" s="15" t="s">
        <v>2120</v>
      </c>
      <c r="G1112" s="15" t="s">
        <v>2121</v>
      </c>
      <c r="H1112" s="15">
        <v>4694</v>
      </c>
      <c r="I1112" s="15">
        <v>565.62</v>
      </c>
    </row>
    <row r="1113" spans="1:9">
      <c r="A1113" s="13">
        <v>45484</v>
      </c>
      <c r="B1113" s="91">
        <f t="shared" si="19"/>
        <v>2024</v>
      </c>
      <c r="C1113" s="15" t="s">
        <v>107</v>
      </c>
      <c r="D1113" s="15" t="s">
        <v>2131</v>
      </c>
      <c r="E1113" s="15" t="s">
        <v>2129</v>
      </c>
      <c r="F1113" s="15" t="s">
        <v>2116</v>
      </c>
      <c r="G1113" s="15" t="s">
        <v>2154</v>
      </c>
      <c r="H1113" s="15">
        <v>1216</v>
      </c>
      <c r="I1113" s="15">
        <v>228.68</v>
      </c>
    </row>
    <row r="1114" spans="1:9">
      <c r="A1114" s="13">
        <v>44614</v>
      </c>
      <c r="B1114" s="91">
        <f t="shared" si="19"/>
        <v>2022</v>
      </c>
      <c r="C1114" s="15" t="s">
        <v>107</v>
      </c>
      <c r="D1114" s="15" t="s">
        <v>2148</v>
      </c>
      <c r="E1114" s="15" t="s">
        <v>2115</v>
      </c>
      <c r="F1114" s="15" t="s">
        <v>2138</v>
      </c>
      <c r="G1114" s="15" t="s">
        <v>2139</v>
      </c>
      <c r="H1114" s="15">
        <v>5110</v>
      </c>
      <c r="I1114" s="15">
        <v>1174.53</v>
      </c>
    </row>
    <row r="1115" spans="1:9">
      <c r="A1115" s="13">
        <v>44600</v>
      </c>
      <c r="B1115" s="91">
        <f t="shared" si="19"/>
        <v>2022</v>
      </c>
      <c r="C1115" s="15" t="s">
        <v>104</v>
      </c>
      <c r="D1115" s="15" t="s">
        <v>2148</v>
      </c>
      <c r="E1115" s="15" t="s">
        <v>2145</v>
      </c>
      <c r="F1115" s="15" t="s">
        <v>2138</v>
      </c>
      <c r="G1115" s="15" t="s">
        <v>2139</v>
      </c>
      <c r="H1115" s="15">
        <v>9429</v>
      </c>
      <c r="I1115" s="15">
        <v>1906.81</v>
      </c>
    </row>
    <row r="1116" spans="1:9">
      <c r="A1116" s="13">
        <v>45326</v>
      </c>
      <c r="B1116" s="91">
        <f t="shared" si="19"/>
        <v>2024</v>
      </c>
      <c r="C1116" s="15" t="s">
        <v>2141</v>
      </c>
      <c r="D1116" s="15" t="s">
        <v>2135</v>
      </c>
      <c r="E1116" s="15" t="s">
        <v>2144</v>
      </c>
      <c r="F1116" s="15" t="s">
        <v>2120</v>
      </c>
      <c r="G1116" s="15" t="s">
        <v>2121</v>
      </c>
      <c r="H1116" s="15">
        <v>9233</v>
      </c>
      <c r="I1116" s="15">
        <v>2405.17</v>
      </c>
    </row>
    <row r="1117" spans="1:9">
      <c r="A1117" s="13">
        <v>45418</v>
      </c>
      <c r="B1117" s="91">
        <f t="shared" si="19"/>
        <v>2024</v>
      </c>
      <c r="C1117" s="15" t="s">
        <v>104</v>
      </c>
      <c r="D1117" s="15" t="s">
        <v>2152</v>
      </c>
      <c r="E1117" s="15" t="s">
        <v>2144</v>
      </c>
      <c r="F1117" s="15" t="s">
        <v>2116</v>
      </c>
      <c r="G1117" s="15" t="s">
        <v>2154</v>
      </c>
      <c r="H1117" s="15">
        <v>6616</v>
      </c>
      <c r="I1117" s="15">
        <v>781.42</v>
      </c>
    </row>
    <row r="1118" spans="1:9">
      <c r="A1118" s="13">
        <v>44785</v>
      </c>
      <c r="B1118" s="91">
        <f t="shared" si="19"/>
        <v>2022</v>
      </c>
      <c r="C1118" s="15" t="s">
        <v>107</v>
      </c>
      <c r="D1118" s="15" t="s">
        <v>2126</v>
      </c>
      <c r="E1118" s="15" t="s">
        <v>2134</v>
      </c>
      <c r="F1118" s="15" t="s">
        <v>2116</v>
      </c>
      <c r="G1118" s="15" t="s">
        <v>2127</v>
      </c>
      <c r="H1118" s="15">
        <v>9710</v>
      </c>
      <c r="I1118" s="15">
        <v>1236.3</v>
      </c>
    </row>
    <row r="1119" spans="1:9">
      <c r="A1119" s="13">
        <v>45204</v>
      </c>
      <c r="B1119" s="91">
        <f t="shared" si="19"/>
        <v>2023</v>
      </c>
      <c r="C1119" s="15" t="s">
        <v>2141</v>
      </c>
      <c r="D1119" s="15" t="s">
        <v>2128</v>
      </c>
      <c r="E1119" s="15" t="s">
        <v>2136</v>
      </c>
      <c r="F1119" s="15" t="s">
        <v>2138</v>
      </c>
      <c r="G1119" s="15" t="s">
        <v>2146</v>
      </c>
      <c r="H1119" s="15">
        <v>7251</v>
      </c>
      <c r="I1119" s="15">
        <v>1868.03</v>
      </c>
    </row>
    <row r="1120" spans="1:9">
      <c r="A1120" s="13">
        <v>44993</v>
      </c>
      <c r="B1120" s="91">
        <f t="shared" si="19"/>
        <v>2023</v>
      </c>
      <c r="C1120" s="15" t="s">
        <v>2141</v>
      </c>
      <c r="D1120" s="15" t="s">
        <v>2114</v>
      </c>
      <c r="E1120" s="15" t="s">
        <v>2123</v>
      </c>
      <c r="F1120" s="15" t="s">
        <v>2116</v>
      </c>
      <c r="G1120" s="15" t="s">
        <v>2127</v>
      </c>
      <c r="H1120" s="15">
        <v>9944</v>
      </c>
      <c r="I1120" s="15">
        <v>1795.34</v>
      </c>
    </row>
    <row r="1121" spans="1:9">
      <c r="A1121" s="13">
        <v>44589</v>
      </c>
      <c r="B1121" s="91">
        <f t="shared" si="19"/>
        <v>2022</v>
      </c>
      <c r="C1121" s="15" t="s">
        <v>2141</v>
      </c>
      <c r="D1121" s="15" t="s">
        <v>2153</v>
      </c>
      <c r="E1121" s="15" t="s">
        <v>2136</v>
      </c>
      <c r="F1121" s="15" t="s">
        <v>2138</v>
      </c>
      <c r="G1121" s="15" t="s">
        <v>2139</v>
      </c>
      <c r="H1121" s="15">
        <v>1880</v>
      </c>
      <c r="I1121" s="15">
        <v>248.87</v>
      </c>
    </row>
    <row r="1122" spans="1:9">
      <c r="A1122" s="13">
        <v>44751</v>
      </c>
      <c r="B1122" s="91">
        <f t="shared" si="19"/>
        <v>2022</v>
      </c>
      <c r="C1122" s="15" t="s">
        <v>2113</v>
      </c>
      <c r="D1122" s="15" t="s">
        <v>2148</v>
      </c>
      <c r="E1122" s="15" t="s">
        <v>2119</v>
      </c>
      <c r="F1122" s="15" t="s">
        <v>2120</v>
      </c>
      <c r="G1122" s="15" t="s">
        <v>2121</v>
      </c>
      <c r="H1122" s="15">
        <v>7115</v>
      </c>
      <c r="I1122" s="15">
        <v>1316.89</v>
      </c>
    </row>
    <row r="1123" spans="1:9">
      <c r="A1123" s="13">
        <v>44813</v>
      </c>
      <c r="B1123" s="91">
        <f t="shared" si="19"/>
        <v>2022</v>
      </c>
      <c r="C1123" s="15" t="s">
        <v>2141</v>
      </c>
      <c r="D1123" s="15" t="s">
        <v>2142</v>
      </c>
      <c r="E1123" s="15" t="s">
        <v>2123</v>
      </c>
      <c r="F1123" s="15" t="s">
        <v>2116</v>
      </c>
      <c r="G1123" s="15" t="s">
        <v>2127</v>
      </c>
      <c r="H1123" s="15">
        <v>9577</v>
      </c>
      <c r="I1123" s="15">
        <v>1164.92</v>
      </c>
    </row>
    <row r="1124" spans="1:9">
      <c r="A1124" s="13">
        <v>44670</v>
      </c>
      <c r="B1124" s="91">
        <f t="shared" si="19"/>
        <v>2022</v>
      </c>
      <c r="C1124" s="15" t="s">
        <v>2141</v>
      </c>
      <c r="D1124" s="15" t="s">
        <v>2153</v>
      </c>
      <c r="E1124" s="15" t="s">
        <v>2119</v>
      </c>
      <c r="F1124" s="15" t="s">
        <v>2116</v>
      </c>
      <c r="G1124" s="15" t="s">
        <v>2117</v>
      </c>
      <c r="H1124" s="15">
        <v>1159</v>
      </c>
      <c r="I1124" s="15">
        <v>329.48</v>
      </c>
    </row>
    <row r="1125" spans="1:9">
      <c r="A1125" s="13">
        <v>44895</v>
      </c>
      <c r="B1125" s="91">
        <f t="shared" si="19"/>
        <v>2022</v>
      </c>
      <c r="C1125" s="15" t="s">
        <v>2141</v>
      </c>
      <c r="D1125" s="15" t="s">
        <v>2118</v>
      </c>
      <c r="E1125" s="15" t="s">
        <v>2134</v>
      </c>
      <c r="F1125" s="15" t="s">
        <v>2116</v>
      </c>
      <c r="G1125" s="15" t="s">
        <v>2117</v>
      </c>
      <c r="H1125" s="15">
        <v>9227</v>
      </c>
      <c r="I1125" s="15">
        <v>2617.5</v>
      </c>
    </row>
    <row r="1126" spans="1:9">
      <c r="A1126" s="13">
        <v>45297</v>
      </c>
      <c r="B1126" s="91">
        <f t="shared" si="19"/>
        <v>2024</v>
      </c>
      <c r="C1126" s="15" t="s">
        <v>107</v>
      </c>
      <c r="D1126" s="15" t="s">
        <v>2131</v>
      </c>
      <c r="E1126" s="15" t="s">
        <v>2129</v>
      </c>
      <c r="F1126" s="15" t="s">
        <v>2120</v>
      </c>
      <c r="G1126" s="15" t="s">
        <v>2121</v>
      </c>
      <c r="H1126" s="15">
        <v>4490</v>
      </c>
      <c r="I1126" s="15">
        <v>1141.05</v>
      </c>
    </row>
    <row r="1127" spans="1:9">
      <c r="A1127" s="13">
        <v>45413</v>
      </c>
      <c r="B1127" s="91">
        <f t="shared" si="19"/>
        <v>2024</v>
      </c>
      <c r="C1127" s="15" t="s">
        <v>107</v>
      </c>
      <c r="D1127" s="15" t="s">
        <v>2142</v>
      </c>
      <c r="E1127" s="15" t="s">
        <v>2115</v>
      </c>
      <c r="F1127" s="15" t="s">
        <v>2124</v>
      </c>
      <c r="G1127" s="15" t="s">
        <v>2140</v>
      </c>
      <c r="H1127" s="15">
        <v>5930</v>
      </c>
      <c r="I1127" s="15">
        <v>711.15</v>
      </c>
    </row>
    <row r="1128" spans="1:9">
      <c r="A1128" s="13">
        <v>45081</v>
      </c>
      <c r="B1128" s="91">
        <f t="shared" si="19"/>
        <v>2023</v>
      </c>
      <c r="C1128" s="15" t="s">
        <v>104</v>
      </c>
      <c r="D1128" s="15" t="s">
        <v>2126</v>
      </c>
      <c r="E1128" s="15" t="s">
        <v>2136</v>
      </c>
      <c r="F1128" s="15" t="s">
        <v>2116</v>
      </c>
      <c r="G1128" s="15" t="s">
        <v>2154</v>
      </c>
      <c r="H1128" s="15">
        <v>1967</v>
      </c>
      <c r="I1128" s="15">
        <v>228.02</v>
      </c>
    </row>
    <row r="1129" spans="1:9">
      <c r="A1129" s="13">
        <v>45209</v>
      </c>
      <c r="B1129" s="91">
        <f t="shared" si="19"/>
        <v>2023</v>
      </c>
      <c r="C1129" s="15" t="s">
        <v>107</v>
      </c>
      <c r="D1129" s="15" t="s">
        <v>2142</v>
      </c>
      <c r="E1129" s="15" t="s">
        <v>2129</v>
      </c>
      <c r="F1129" s="15" t="s">
        <v>2138</v>
      </c>
      <c r="G1129" s="15" t="s">
        <v>2149</v>
      </c>
      <c r="H1129" s="15">
        <v>3759</v>
      </c>
      <c r="I1129" s="15">
        <v>1072.27</v>
      </c>
    </row>
    <row r="1130" spans="1:9">
      <c r="A1130" s="13">
        <v>44727</v>
      </c>
      <c r="B1130" s="91">
        <f t="shared" si="19"/>
        <v>2022</v>
      </c>
      <c r="C1130" s="15" t="s">
        <v>2113</v>
      </c>
      <c r="D1130" s="15" t="s">
        <v>2148</v>
      </c>
      <c r="E1130" s="15" t="s">
        <v>2115</v>
      </c>
      <c r="F1130" s="15" t="s">
        <v>2120</v>
      </c>
      <c r="G1130" s="15" t="s">
        <v>2132</v>
      </c>
      <c r="H1130" s="15">
        <v>7930</v>
      </c>
      <c r="I1130" s="15">
        <v>1197.5999999999999</v>
      </c>
    </row>
    <row r="1131" spans="1:9">
      <c r="A1131" s="13">
        <v>45591</v>
      </c>
      <c r="B1131" s="91">
        <f t="shared" si="19"/>
        <v>2024</v>
      </c>
      <c r="C1131" s="15" t="s">
        <v>2141</v>
      </c>
      <c r="D1131" s="15" t="s">
        <v>2126</v>
      </c>
      <c r="E1131" s="15" t="s">
        <v>2115</v>
      </c>
      <c r="F1131" s="15" t="s">
        <v>2120</v>
      </c>
      <c r="G1131" s="15" t="s">
        <v>2132</v>
      </c>
      <c r="H1131" s="15">
        <v>7041</v>
      </c>
      <c r="I1131" s="15">
        <v>1946.25</v>
      </c>
    </row>
    <row r="1132" spans="1:9">
      <c r="A1132" s="13">
        <v>44734</v>
      </c>
      <c r="B1132" s="91">
        <f t="shared" si="19"/>
        <v>2022</v>
      </c>
      <c r="C1132" s="15" t="s">
        <v>2141</v>
      </c>
      <c r="D1132" s="15" t="s">
        <v>2148</v>
      </c>
      <c r="E1132" s="15" t="s">
        <v>2134</v>
      </c>
      <c r="F1132" s="15" t="s">
        <v>2120</v>
      </c>
      <c r="G1132" s="15" t="s">
        <v>2132</v>
      </c>
      <c r="H1132" s="15">
        <v>6694</v>
      </c>
      <c r="I1132" s="15">
        <v>1742.55</v>
      </c>
    </row>
    <row r="1133" spans="1:9">
      <c r="A1133" s="13">
        <v>45229</v>
      </c>
      <c r="B1133" s="91">
        <f t="shared" si="19"/>
        <v>2023</v>
      </c>
      <c r="C1133" s="15" t="s">
        <v>107</v>
      </c>
      <c r="D1133" s="15" t="s">
        <v>2148</v>
      </c>
      <c r="E1133" s="15" t="s">
        <v>2151</v>
      </c>
      <c r="F1133" s="15" t="s">
        <v>2138</v>
      </c>
      <c r="G1133" s="15" t="s">
        <v>2149</v>
      </c>
      <c r="H1133" s="15">
        <v>5186</v>
      </c>
      <c r="I1133" s="15">
        <v>782.29</v>
      </c>
    </row>
    <row r="1134" spans="1:9">
      <c r="A1134" s="13">
        <v>44731</v>
      </c>
      <c r="B1134" s="91">
        <f t="shared" si="19"/>
        <v>2022</v>
      </c>
      <c r="C1134" s="15" t="s">
        <v>104</v>
      </c>
      <c r="D1134" s="15" t="s">
        <v>2153</v>
      </c>
      <c r="E1134" s="15" t="s">
        <v>2136</v>
      </c>
      <c r="F1134" s="15" t="s">
        <v>2124</v>
      </c>
      <c r="G1134" s="15" t="s">
        <v>2130</v>
      </c>
      <c r="H1134" s="15">
        <v>1849</v>
      </c>
      <c r="I1134" s="15">
        <v>523.29</v>
      </c>
    </row>
    <row r="1135" spans="1:9">
      <c r="A1135" s="13">
        <v>44893</v>
      </c>
      <c r="B1135" s="91">
        <f t="shared" si="19"/>
        <v>2022</v>
      </c>
      <c r="C1135" s="15" t="s">
        <v>2141</v>
      </c>
      <c r="D1135" s="15" t="s">
        <v>2153</v>
      </c>
      <c r="E1135" s="15" t="s">
        <v>2119</v>
      </c>
      <c r="F1135" s="15" t="s">
        <v>2138</v>
      </c>
      <c r="G1135" s="15" t="s">
        <v>2149</v>
      </c>
      <c r="H1135" s="15">
        <v>8110</v>
      </c>
      <c r="I1135" s="15">
        <v>1983.79</v>
      </c>
    </row>
    <row r="1136" spans="1:9">
      <c r="A1136" s="13">
        <v>44856</v>
      </c>
      <c r="B1136" s="91">
        <f t="shared" si="19"/>
        <v>2022</v>
      </c>
      <c r="C1136" s="15" t="s">
        <v>107</v>
      </c>
      <c r="D1136" s="15" t="s">
        <v>2148</v>
      </c>
      <c r="E1136" s="15" t="s">
        <v>2115</v>
      </c>
      <c r="F1136" s="15" t="s">
        <v>2124</v>
      </c>
      <c r="G1136" s="15" t="s">
        <v>2140</v>
      </c>
      <c r="H1136" s="15">
        <v>7889</v>
      </c>
      <c r="I1136" s="15">
        <v>907.28</v>
      </c>
    </row>
    <row r="1137" spans="1:9">
      <c r="A1137" s="13">
        <v>45231</v>
      </c>
      <c r="B1137" s="91">
        <f t="shared" si="19"/>
        <v>2023</v>
      </c>
      <c r="C1137" s="15" t="s">
        <v>2141</v>
      </c>
      <c r="D1137" s="15" t="s">
        <v>2118</v>
      </c>
      <c r="E1137" s="15" t="s">
        <v>2134</v>
      </c>
      <c r="F1137" s="15" t="s">
        <v>2120</v>
      </c>
      <c r="G1137" s="15" t="s">
        <v>2132</v>
      </c>
      <c r="H1137" s="15">
        <v>8396</v>
      </c>
      <c r="I1137" s="15">
        <v>1429.64</v>
      </c>
    </row>
    <row r="1138" spans="1:9">
      <c r="A1138" s="13">
        <v>45348</v>
      </c>
      <c r="B1138" s="91">
        <f t="shared" si="19"/>
        <v>2024</v>
      </c>
      <c r="C1138" s="15" t="s">
        <v>107</v>
      </c>
      <c r="D1138" s="15" t="s">
        <v>2131</v>
      </c>
      <c r="E1138" s="15" t="s">
        <v>2115</v>
      </c>
      <c r="F1138" s="15" t="s">
        <v>2116</v>
      </c>
      <c r="G1138" s="15" t="s">
        <v>2154</v>
      </c>
      <c r="H1138" s="15">
        <v>9354</v>
      </c>
      <c r="I1138" s="15">
        <v>2661.69</v>
      </c>
    </row>
    <row r="1139" spans="1:9">
      <c r="A1139" s="13">
        <v>45650</v>
      </c>
      <c r="B1139" s="91">
        <f t="shared" si="19"/>
        <v>2024</v>
      </c>
      <c r="C1139" s="15" t="s">
        <v>107</v>
      </c>
      <c r="D1139" s="15" t="s">
        <v>2118</v>
      </c>
      <c r="E1139" s="15" t="s">
        <v>2134</v>
      </c>
      <c r="F1139" s="15" t="s">
        <v>2124</v>
      </c>
      <c r="G1139" s="15" t="s">
        <v>2140</v>
      </c>
      <c r="H1139" s="15">
        <v>1108</v>
      </c>
      <c r="I1139" s="15">
        <v>200.83</v>
      </c>
    </row>
    <row r="1140" spans="1:9">
      <c r="A1140" s="13">
        <v>45198</v>
      </c>
      <c r="B1140" s="91">
        <f t="shared" si="19"/>
        <v>2023</v>
      </c>
      <c r="C1140" s="15" t="s">
        <v>2141</v>
      </c>
      <c r="D1140" s="15" t="s">
        <v>2118</v>
      </c>
      <c r="E1140" s="15" t="s">
        <v>2145</v>
      </c>
      <c r="F1140" s="15" t="s">
        <v>2116</v>
      </c>
      <c r="G1140" s="15" t="s">
        <v>2117</v>
      </c>
      <c r="H1140" s="15">
        <v>1937</v>
      </c>
      <c r="I1140" s="15">
        <v>413.07</v>
      </c>
    </row>
    <row r="1141" spans="1:9">
      <c r="A1141" s="13">
        <v>45627</v>
      </c>
      <c r="B1141" s="91">
        <f t="shared" si="19"/>
        <v>2024</v>
      </c>
      <c r="C1141" s="15" t="s">
        <v>2113</v>
      </c>
      <c r="D1141" s="15" t="s">
        <v>2152</v>
      </c>
      <c r="E1141" s="15" t="s">
        <v>2151</v>
      </c>
      <c r="F1141" s="15" t="s">
        <v>2120</v>
      </c>
      <c r="G1141" s="15" t="s">
        <v>2132</v>
      </c>
      <c r="H1141" s="15">
        <v>4685</v>
      </c>
      <c r="I1141" s="15">
        <v>508.35</v>
      </c>
    </row>
    <row r="1142" spans="1:9">
      <c r="A1142" s="13">
        <v>45469</v>
      </c>
      <c r="B1142" s="91">
        <f t="shared" si="19"/>
        <v>2024</v>
      </c>
      <c r="C1142" s="15" t="s">
        <v>104</v>
      </c>
      <c r="D1142" s="15" t="s">
        <v>2114</v>
      </c>
      <c r="E1142" s="15" t="s">
        <v>2129</v>
      </c>
      <c r="F1142" s="15" t="s">
        <v>2120</v>
      </c>
      <c r="G1142" s="15" t="s">
        <v>2132</v>
      </c>
      <c r="H1142" s="15">
        <v>9803</v>
      </c>
      <c r="I1142" s="15">
        <v>1098.46</v>
      </c>
    </row>
    <row r="1143" spans="1:9">
      <c r="A1143" s="13">
        <v>45448</v>
      </c>
      <c r="B1143" s="91">
        <f t="shared" si="19"/>
        <v>2024</v>
      </c>
      <c r="C1143" s="15" t="s">
        <v>104</v>
      </c>
      <c r="D1143" s="15" t="s">
        <v>2153</v>
      </c>
      <c r="E1143" s="15" t="s">
        <v>2136</v>
      </c>
      <c r="F1143" s="15" t="s">
        <v>2120</v>
      </c>
      <c r="G1143" s="15" t="s">
        <v>2133</v>
      </c>
      <c r="H1143" s="15">
        <v>5401</v>
      </c>
      <c r="I1143" s="15">
        <v>1306.44</v>
      </c>
    </row>
    <row r="1144" spans="1:9">
      <c r="A1144" s="13">
        <v>45356</v>
      </c>
      <c r="B1144" s="91">
        <f t="shared" si="19"/>
        <v>2024</v>
      </c>
      <c r="C1144" s="15" t="s">
        <v>2113</v>
      </c>
      <c r="D1144" s="15" t="s">
        <v>2142</v>
      </c>
      <c r="E1144" s="15" t="s">
        <v>2134</v>
      </c>
      <c r="F1144" s="15" t="s">
        <v>2124</v>
      </c>
      <c r="G1144" s="15" t="s">
        <v>2140</v>
      </c>
      <c r="H1144" s="15">
        <v>7448</v>
      </c>
      <c r="I1144" s="15">
        <v>889.99</v>
      </c>
    </row>
    <row r="1145" spans="1:9">
      <c r="A1145" s="13">
        <v>44974</v>
      </c>
      <c r="B1145" s="91">
        <f t="shared" si="19"/>
        <v>2023</v>
      </c>
      <c r="C1145" s="15" t="s">
        <v>107</v>
      </c>
      <c r="D1145" s="15" t="s">
        <v>2148</v>
      </c>
      <c r="E1145" s="15" t="s">
        <v>2143</v>
      </c>
      <c r="F1145" s="15" t="s">
        <v>2124</v>
      </c>
      <c r="G1145" s="15" t="s">
        <v>2125</v>
      </c>
      <c r="H1145" s="15">
        <v>4711</v>
      </c>
      <c r="I1145" s="15">
        <v>1100.95</v>
      </c>
    </row>
    <row r="1146" spans="1:9">
      <c r="A1146" s="13">
        <v>44895</v>
      </c>
      <c r="B1146" s="91">
        <f t="shared" si="19"/>
        <v>2022</v>
      </c>
      <c r="C1146" s="15" t="s">
        <v>2141</v>
      </c>
      <c r="D1146" s="15" t="s">
        <v>2131</v>
      </c>
      <c r="E1146" s="15" t="s">
        <v>2144</v>
      </c>
      <c r="F1146" s="15" t="s">
        <v>2116</v>
      </c>
      <c r="G1146" s="15" t="s">
        <v>2117</v>
      </c>
      <c r="H1146" s="15">
        <v>1466</v>
      </c>
      <c r="I1146" s="15">
        <v>332.24</v>
      </c>
    </row>
    <row r="1147" spans="1:9">
      <c r="A1147" s="13">
        <v>45517</v>
      </c>
      <c r="B1147" s="91">
        <f t="shared" si="19"/>
        <v>2024</v>
      </c>
      <c r="C1147" s="15" t="s">
        <v>104</v>
      </c>
      <c r="D1147" s="15" t="s">
        <v>2148</v>
      </c>
      <c r="E1147" s="15" t="s">
        <v>2129</v>
      </c>
      <c r="F1147" s="15" t="s">
        <v>2124</v>
      </c>
      <c r="G1147" s="15" t="s">
        <v>2125</v>
      </c>
      <c r="H1147" s="15">
        <v>8357</v>
      </c>
      <c r="I1147" s="15">
        <v>1852.71</v>
      </c>
    </row>
    <row r="1148" spans="1:9">
      <c r="A1148" s="13">
        <v>45527</v>
      </c>
      <c r="B1148" s="91">
        <f t="shared" si="19"/>
        <v>2024</v>
      </c>
      <c r="C1148" s="15" t="s">
        <v>107</v>
      </c>
      <c r="D1148" s="15" t="s">
        <v>2131</v>
      </c>
      <c r="E1148" s="15" t="s">
        <v>2115</v>
      </c>
      <c r="F1148" s="15" t="s">
        <v>2116</v>
      </c>
      <c r="G1148" s="15" t="s">
        <v>2127</v>
      </c>
      <c r="H1148" s="15">
        <v>4828</v>
      </c>
      <c r="I1148" s="15">
        <v>1266</v>
      </c>
    </row>
    <row r="1149" spans="1:9">
      <c r="A1149" s="13">
        <v>45092</v>
      </c>
      <c r="B1149" s="91">
        <f t="shared" si="19"/>
        <v>2023</v>
      </c>
      <c r="C1149" s="15" t="s">
        <v>104</v>
      </c>
      <c r="D1149" s="15" t="s">
        <v>2118</v>
      </c>
      <c r="E1149" s="15" t="s">
        <v>2129</v>
      </c>
      <c r="F1149" s="15" t="s">
        <v>2120</v>
      </c>
      <c r="G1149" s="15" t="s">
        <v>2133</v>
      </c>
      <c r="H1149" s="15">
        <v>5737</v>
      </c>
      <c r="I1149" s="15">
        <v>763.09</v>
      </c>
    </row>
    <row r="1150" spans="1:9">
      <c r="A1150" s="13">
        <v>45552</v>
      </c>
      <c r="B1150" s="91">
        <f t="shared" si="19"/>
        <v>2024</v>
      </c>
      <c r="C1150" s="15" t="s">
        <v>107</v>
      </c>
      <c r="D1150" s="15" t="s">
        <v>2148</v>
      </c>
      <c r="E1150" s="15" t="s">
        <v>2129</v>
      </c>
      <c r="F1150" s="15" t="s">
        <v>2116</v>
      </c>
      <c r="G1150" s="15" t="s">
        <v>2117</v>
      </c>
      <c r="H1150" s="15">
        <v>6299</v>
      </c>
      <c r="I1150" s="15">
        <v>881.84</v>
      </c>
    </row>
    <row r="1151" spans="1:9">
      <c r="A1151" s="13">
        <v>45022</v>
      </c>
      <c r="B1151" s="91">
        <f t="shared" si="19"/>
        <v>2023</v>
      </c>
      <c r="C1151" s="15" t="s">
        <v>104</v>
      </c>
      <c r="D1151" s="15" t="s">
        <v>2128</v>
      </c>
      <c r="E1151" s="15" t="s">
        <v>2145</v>
      </c>
      <c r="F1151" s="15" t="s">
        <v>2120</v>
      </c>
      <c r="G1151" s="15" t="s">
        <v>2133</v>
      </c>
      <c r="H1151" s="15">
        <v>9543</v>
      </c>
      <c r="I1151" s="15">
        <v>1777.29</v>
      </c>
    </row>
    <row r="1152" spans="1:9">
      <c r="A1152" s="13">
        <v>44791</v>
      </c>
      <c r="B1152" s="91">
        <f t="shared" si="19"/>
        <v>2022</v>
      </c>
      <c r="C1152" s="15" t="s">
        <v>104</v>
      </c>
      <c r="D1152" s="15" t="s">
        <v>2118</v>
      </c>
      <c r="E1152" s="15" t="s">
        <v>2145</v>
      </c>
      <c r="F1152" s="15" t="s">
        <v>2120</v>
      </c>
      <c r="G1152" s="15" t="s">
        <v>2133</v>
      </c>
      <c r="H1152" s="15">
        <v>5499</v>
      </c>
      <c r="I1152" s="15">
        <v>1138.28</v>
      </c>
    </row>
    <row r="1153" spans="1:9">
      <c r="A1153" s="13">
        <v>45613</v>
      </c>
      <c r="B1153" s="91">
        <f t="shared" si="19"/>
        <v>2024</v>
      </c>
      <c r="C1153" s="15" t="s">
        <v>107</v>
      </c>
      <c r="D1153" s="15" t="s">
        <v>2135</v>
      </c>
      <c r="E1153" s="15" t="s">
        <v>2123</v>
      </c>
      <c r="F1153" s="15" t="s">
        <v>2124</v>
      </c>
      <c r="G1153" s="15" t="s">
        <v>2130</v>
      </c>
      <c r="H1153" s="15">
        <v>1044</v>
      </c>
      <c r="I1153" s="15">
        <v>105.04</v>
      </c>
    </row>
    <row r="1154" spans="1:9">
      <c r="A1154" s="13">
        <v>45082</v>
      </c>
      <c r="B1154" s="91">
        <f t="shared" si="19"/>
        <v>2023</v>
      </c>
      <c r="C1154" s="15" t="s">
        <v>2141</v>
      </c>
      <c r="D1154" s="15" t="s">
        <v>2131</v>
      </c>
      <c r="E1154" s="15" t="s">
        <v>2151</v>
      </c>
      <c r="F1154" s="15" t="s">
        <v>2138</v>
      </c>
      <c r="G1154" s="15" t="s">
        <v>2149</v>
      </c>
      <c r="H1154" s="15">
        <v>7861</v>
      </c>
      <c r="I1154" s="15">
        <v>2204.35</v>
      </c>
    </row>
    <row r="1155" spans="1:9">
      <c r="A1155" s="13">
        <v>45333</v>
      </c>
      <c r="B1155" s="91">
        <f t="shared" ref="B1155:B1218" si="20">YEAR(A1155)</f>
        <v>2024</v>
      </c>
      <c r="C1155" s="15" t="s">
        <v>2141</v>
      </c>
      <c r="D1155" s="15" t="s">
        <v>2131</v>
      </c>
      <c r="E1155" s="15" t="s">
        <v>2145</v>
      </c>
      <c r="F1155" s="15" t="s">
        <v>2120</v>
      </c>
      <c r="G1155" s="15" t="s">
        <v>2133</v>
      </c>
      <c r="H1155" s="15">
        <v>5493</v>
      </c>
      <c r="I1155" s="15">
        <v>1308.3499999999999</v>
      </c>
    </row>
    <row r="1156" spans="1:9">
      <c r="A1156" s="13">
        <v>44590</v>
      </c>
      <c r="B1156" s="91">
        <f t="shared" si="20"/>
        <v>2022</v>
      </c>
      <c r="C1156" s="15" t="s">
        <v>2141</v>
      </c>
      <c r="D1156" s="15" t="s">
        <v>2131</v>
      </c>
      <c r="E1156" s="15" t="s">
        <v>2151</v>
      </c>
      <c r="F1156" s="15" t="s">
        <v>2124</v>
      </c>
      <c r="G1156" s="15" t="s">
        <v>2125</v>
      </c>
      <c r="H1156" s="15">
        <v>5081</v>
      </c>
      <c r="I1156" s="15">
        <v>1344.27</v>
      </c>
    </row>
    <row r="1157" spans="1:9">
      <c r="A1157" s="13">
        <v>45560</v>
      </c>
      <c r="B1157" s="91">
        <f t="shared" si="20"/>
        <v>2024</v>
      </c>
      <c r="C1157" s="15" t="s">
        <v>104</v>
      </c>
      <c r="D1157" s="15" t="s">
        <v>2148</v>
      </c>
      <c r="E1157" s="15" t="s">
        <v>2129</v>
      </c>
      <c r="F1157" s="15" t="s">
        <v>2120</v>
      </c>
      <c r="G1157" s="15" t="s">
        <v>2121</v>
      </c>
      <c r="H1157" s="15">
        <v>5523</v>
      </c>
      <c r="I1157" s="15">
        <v>1462.02</v>
      </c>
    </row>
    <row r="1158" spans="1:9">
      <c r="A1158" s="13">
        <v>45170</v>
      </c>
      <c r="B1158" s="91">
        <f t="shared" si="20"/>
        <v>2023</v>
      </c>
      <c r="C1158" s="15" t="s">
        <v>2141</v>
      </c>
      <c r="D1158" s="15" t="s">
        <v>2142</v>
      </c>
      <c r="E1158" s="15" t="s">
        <v>2119</v>
      </c>
      <c r="F1158" s="15" t="s">
        <v>2124</v>
      </c>
      <c r="G1158" s="15" t="s">
        <v>2140</v>
      </c>
      <c r="H1158" s="15">
        <v>6867</v>
      </c>
      <c r="I1158" s="15">
        <v>977.39</v>
      </c>
    </row>
    <row r="1159" spans="1:9">
      <c r="A1159" s="13">
        <v>44968</v>
      </c>
      <c r="B1159" s="91">
        <f t="shared" si="20"/>
        <v>2023</v>
      </c>
      <c r="C1159" s="15" t="s">
        <v>104</v>
      </c>
      <c r="D1159" s="15" t="s">
        <v>2131</v>
      </c>
      <c r="E1159" s="15" t="s">
        <v>2123</v>
      </c>
      <c r="F1159" s="15" t="s">
        <v>2124</v>
      </c>
      <c r="G1159" s="15" t="s">
        <v>2140</v>
      </c>
      <c r="H1159" s="15">
        <v>2360</v>
      </c>
      <c r="I1159" s="15">
        <v>385.67</v>
      </c>
    </row>
    <row r="1160" spans="1:9">
      <c r="A1160" s="13">
        <v>44993</v>
      </c>
      <c r="B1160" s="91">
        <f t="shared" si="20"/>
        <v>2023</v>
      </c>
      <c r="C1160" s="15" t="s">
        <v>107</v>
      </c>
      <c r="D1160" s="15" t="s">
        <v>2135</v>
      </c>
      <c r="E1160" s="15" t="s">
        <v>2144</v>
      </c>
      <c r="F1160" s="15" t="s">
        <v>2120</v>
      </c>
      <c r="G1160" s="15" t="s">
        <v>2132</v>
      </c>
      <c r="H1160" s="15">
        <v>1178</v>
      </c>
      <c r="I1160" s="15">
        <v>165.12</v>
      </c>
    </row>
    <row r="1161" spans="1:9">
      <c r="A1161" s="13">
        <v>45037</v>
      </c>
      <c r="B1161" s="91">
        <f t="shared" si="20"/>
        <v>2023</v>
      </c>
      <c r="C1161" s="15" t="s">
        <v>107</v>
      </c>
      <c r="D1161" s="15" t="s">
        <v>2118</v>
      </c>
      <c r="E1161" s="15" t="s">
        <v>2144</v>
      </c>
      <c r="F1161" s="15" t="s">
        <v>2120</v>
      </c>
      <c r="G1161" s="15" t="s">
        <v>2133</v>
      </c>
      <c r="H1161" s="15">
        <v>9444</v>
      </c>
      <c r="I1161" s="15">
        <v>1032.76</v>
      </c>
    </row>
    <row r="1162" spans="1:9">
      <c r="A1162" s="13">
        <v>45522</v>
      </c>
      <c r="B1162" s="91">
        <f t="shared" si="20"/>
        <v>2024</v>
      </c>
      <c r="C1162" s="15" t="s">
        <v>104</v>
      </c>
      <c r="D1162" s="15" t="s">
        <v>2128</v>
      </c>
      <c r="E1162" s="15" t="s">
        <v>2119</v>
      </c>
      <c r="F1162" s="15" t="s">
        <v>2116</v>
      </c>
      <c r="G1162" s="15" t="s">
        <v>2127</v>
      </c>
      <c r="H1162" s="15">
        <v>1102</v>
      </c>
      <c r="I1162" s="15">
        <v>304.98</v>
      </c>
    </row>
    <row r="1163" spans="1:9">
      <c r="A1163" s="13">
        <v>44900</v>
      </c>
      <c r="B1163" s="91">
        <f t="shared" si="20"/>
        <v>2022</v>
      </c>
      <c r="C1163" s="15" t="s">
        <v>104</v>
      </c>
      <c r="D1163" s="15" t="s">
        <v>2153</v>
      </c>
      <c r="E1163" s="15" t="s">
        <v>2119</v>
      </c>
      <c r="F1163" s="15" t="s">
        <v>2120</v>
      </c>
      <c r="G1163" s="15" t="s">
        <v>2132</v>
      </c>
      <c r="H1163" s="15">
        <v>1796</v>
      </c>
      <c r="I1163" s="15">
        <v>429.4</v>
      </c>
    </row>
    <row r="1164" spans="1:9">
      <c r="A1164" s="13">
        <v>44947</v>
      </c>
      <c r="B1164" s="91">
        <f t="shared" si="20"/>
        <v>2023</v>
      </c>
      <c r="C1164" s="15" t="s">
        <v>2141</v>
      </c>
      <c r="D1164" s="15" t="s">
        <v>2126</v>
      </c>
      <c r="E1164" s="15" t="s">
        <v>2123</v>
      </c>
      <c r="F1164" s="15" t="s">
        <v>2138</v>
      </c>
      <c r="G1164" s="15" t="s">
        <v>2146</v>
      </c>
      <c r="H1164" s="15">
        <v>1023</v>
      </c>
      <c r="I1164" s="15">
        <v>103.28</v>
      </c>
    </row>
    <row r="1165" spans="1:9">
      <c r="A1165" s="13">
        <v>44680</v>
      </c>
      <c r="B1165" s="91">
        <f t="shared" si="20"/>
        <v>2022</v>
      </c>
      <c r="C1165" s="15" t="s">
        <v>2141</v>
      </c>
      <c r="D1165" s="15" t="s">
        <v>2153</v>
      </c>
      <c r="E1165" s="15" t="s">
        <v>2134</v>
      </c>
      <c r="F1165" s="15" t="s">
        <v>2124</v>
      </c>
      <c r="G1165" s="15" t="s">
        <v>2125</v>
      </c>
      <c r="H1165" s="15">
        <v>7839</v>
      </c>
      <c r="I1165" s="15">
        <v>2145.4699999999998</v>
      </c>
    </row>
    <row r="1166" spans="1:9">
      <c r="A1166" s="13">
        <v>44771</v>
      </c>
      <c r="B1166" s="91">
        <f t="shared" si="20"/>
        <v>2022</v>
      </c>
      <c r="C1166" s="15" t="s">
        <v>2113</v>
      </c>
      <c r="D1166" s="15" t="s">
        <v>2128</v>
      </c>
      <c r="E1166" s="15" t="s">
        <v>2144</v>
      </c>
      <c r="F1166" s="15" t="s">
        <v>2116</v>
      </c>
      <c r="G1166" s="15" t="s">
        <v>2117</v>
      </c>
      <c r="H1166" s="15">
        <v>7862</v>
      </c>
      <c r="I1166" s="15">
        <v>2190.0100000000002</v>
      </c>
    </row>
    <row r="1167" spans="1:9">
      <c r="A1167" s="13">
        <v>44692</v>
      </c>
      <c r="B1167" s="91">
        <f t="shared" si="20"/>
        <v>2022</v>
      </c>
      <c r="C1167" s="15" t="s">
        <v>2141</v>
      </c>
      <c r="D1167" s="15" t="s">
        <v>2148</v>
      </c>
      <c r="E1167" s="15" t="s">
        <v>2123</v>
      </c>
      <c r="F1167" s="15" t="s">
        <v>2120</v>
      </c>
      <c r="G1167" s="15" t="s">
        <v>2132</v>
      </c>
      <c r="H1167" s="15">
        <v>5775</v>
      </c>
      <c r="I1167" s="15">
        <v>1348.07</v>
      </c>
    </row>
    <row r="1168" spans="1:9">
      <c r="A1168" s="13">
        <v>45538</v>
      </c>
      <c r="B1168" s="91">
        <f t="shared" si="20"/>
        <v>2024</v>
      </c>
      <c r="C1168" s="15" t="s">
        <v>104</v>
      </c>
      <c r="D1168" s="15" t="s">
        <v>2153</v>
      </c>
      <c r="E1168" s="15" t="s">
        <v>2144</v>
      </c>
      <c r="F1168" s="15" t="s">
        <v>2124</v>
      </c>
      <c r="G1168" s="15" t="s">
        <v>2140</v>
      </c>
      <c r="H1168" s="15">
        <v>8874</v>
      </c>
      <c r="I1168" s="15">
        <v>1837.74</v>
      </c>
    </row>
    <row r="1169" spans="1:9">
      <c r="A1169" s="13">
        <v>45536</v>
      </c>
      <c r="B1169" s="91">
        <f t="shared" si="20"/>
        <v>2024</v>
      </c>
      <c r="C1169" s="15" t="s">
        <v>104</v>
      </c>
      <c r="D1169" s="15" t="s">
        <v>2153</v>
      </c>
      <c r="E1169" s="15" t="s">
        <v>2119</v>
      </c>
      <c r="F1169" s="15" t="s">
        <v>2124</v>
      </c>
      <c r="G1169" s="15" t="s">
        <v>2125</v>
      </c>
      <c r="H1169" s="15">
        <v>2448</v>
      </c>
      <c r="I1169" s="15">
        <v>300.26</v>
      </c>
    </row>
    <row r="1170" spans="1:9">
      <c r="A1170" s="13">
        <v>45048</v>
      </c>
      <c r="B1170" s="91">
        <f t="shared" si="20"/>
        <v>2023</v>
      </c>
      <c r="C1170" s="15" t="s">
        <v>107</v>
      </c>
      <c r="D1170" s="15" t="s">
        <v>2148</v>
      </c>
      <c r="E1170" s="15" t="s">
        <v>2119</v>
      </c>
      <c r="F1170" s="15" t="s">
        <v>2138</v>
      </c>
      <c r="G1170" s="15" t="s">
        <v>2146</v>
      </c>
      <c r="H1170" s="15">
        <v>1335</v>
      </c>
      <c r="I1170" s="15">
        <v>184.12</v>
      </c>
    </row>
    <row r="1171" spans="1:9">
      <c r="A1171" s="13">
        <v>44887</v>
      </c>
      <c r="B1171" s="91">
        <f t="shared" si="20"/>
        <v>2022</v>
      </c>
      <c r="C1171" s="15" t="s">
        <v>104</v>
      </c>
      <c r="D1171" s="15" t="s">
        <v>2126</v>
      </c>
      <c r="E1171" s="15" t="s">
        <v>2123</v>
      </c>
      <c r="F1171" s="15" t="s">
        <v>2138</v>
      </c>
      <c r="G1171" s="15" t="s">
        <v>2139</v>
      </c>
      <c r="H1171" s="15">
        <v>5494</v>
      </c>
      <c r="I1171" s="15">
        <v>888.92</v>
      </c>
    </row>
    <row r="1172" spans="1:9">
      <c r="A1172" s="13">
        <v>44873</v>
      </c>
      <c r="B1172" s="91">
        <f t="shared" si="20"/>
        <v>2022</v>
      </c>
      <c r="C1172" s="15" t="s">
        <v>2113</v>
      </c>
      <c r="D1172" s="15" t="s">
        <v>2126</v>
      </c>
      <c r="E1172" s="15" t="s">
        <v>2134</v>
      </c>
      <c r="F1172" s="15" t="s">
        <v>2124</v>
      </c>
      <c r="G1172" s="15" t="s">
        <v>2140</v>
      </c>
      <c r="H1172" s="15">
        <v>4810</v>
      </c>
      <c r="I1172" s="15">
        <v>1021.41</v>
      </c>
    </row>
    <row r="1173" spans="1:9">
      <c r="A1173" s="13">
        <v>44756</v>
      </c>
      <c r="B1173" s="91">
        <f t="shared" si="20"/>
        <v>2022</v>
      </c>
      <c r="C1173" s="15" t="s">
        <v>2113</v>
      </c>
      <c r="D1173" s="15" t="s">
        <v>2152</v>
      </c>
      <c r="E1173" s="15" t="s">
        <v>2134</v>
      </c>
      <c r="F1173" s="15" t="s">
        <v>2124</v>
      </c>
      <c r="G1173" s="15" t="s">
        <v>2125</v>
      </c>
      <c r="H1173" s="15">
        <v>7497</v>
      </c>
      <c r="I1173" s="15">
        <v>2110.4899999999998</v>
      </c>
    </row>
    <row r="1174" spans="1:9">
      <c r="A1174" s="13">
        <v>44662</v>
      </c>
      <c r="B1174" s="91">
        <f t="shared" si="20"/>
        <v>2022</v>
      </c>
      <c r="C1174" s="15" t="s">
        <v>2141</v>
      </c>
      <c r="D1174" s="15" t="s">
        <v>2152</v>
      </c>
      <c r="E1174" s="15" t="s">
        <v>2123</v>
      </c>
      <c r="F1174" s="15" t="s">
        <v>2120</v>
      </c>
      <c r="G1174" s="15" t="s">
        <v>2132</v>
      </c>
      <c r="H1174" s="15">
        <v>5636</v>
      </c>
      <c r="I1174" s="15">
        <v>1151.6400000000001</v>
      </c>
    </row>
    <row r="1175" spans="1:9">
      <c r="A1175" s="13">
        <v>45375</v>
      </c>
      <c r="B1175" s="91">
        <f t="shared" si="20"/>
        <v>2024</v>
      </c>
      <c r="C1175" s="15" t="s">
        <v>107</v>
      </c>
      <c r="D1175" s="15" t="s">
        <v>2128</v>
      </c>
      <c r="E1175" s="15" t="s">
        <v>2119</v>
      </c>
      <c r="F1175" s="15" t="s">
        <v>2116</v>
      </c>
      <c r="G1175" s="15" t="s">
        <v>2127</v>
      </c>
      <c r="H1175" s="15">
        <v>8449</v>
      </c>
      <c r="I1175" s="15">
        <v>2406.2399999999998</v>
      </c>
    </row>
    <row r="1176" spans="1:9">
      <c r="A1176" s="13">
        <v>45636</v>
      </c>
      <c r="B1176" s="91">
        <f t="shared" si="20"/>
        <v>2024</v>
      </c>
      <c r="C1176" s="15" t="s">
        <v>104</v>
      </c>
      <c r="D1176" s="15" t="s">
        <v>2148</v>
      </c>
      <c r="E1176" s="15" t="s">
        <v>2129</v>
      </c>
      <c r="F1176" s="15" t="s">
        <v>2138</v>
      </c>
      <c r="G1176" s="15" t="s">
        <v>2149</v>
      </c>
      <c r="H1176" s="15">
        <v>4297</v>
      </c>
      <c r="I1176" s="15">
        <v>718.44</v>
      </c>
    </row>
    <row r="1177" spans="1:9">
      <c r="A1177" s="13">
        <v>44834</v>
      </c>
      <c r="B1177" s="91">
        <f t="shared" si="20"/>
        <v>2022</v>
      </c>
      <c r="C1177" s="15" t="s">
        <v>2141</v>
      </c>
      <c r="D1177" s="15" t="s">
        <v>2142</v>
      </c>
      <c r="E1177" s="15" t="s">
        <v>2134</v>
      </c>
      <c r="F1177" s="15" t="s">
        <v>2138</v>
      </c>
      <c r="G1177" s="15" t="s">
        <v>2139</v>
      </c>
      <c r="H1177" s="15">
        <v>1234</v>
      </c>
      <c r="I1177" s="15">
        <v>360.67</v>
      </c>
    </row>
    <row r="1178" spans="1:9">
      <c r="A1178" s="13">
        <v>44727</v>
      </c>
      <c r="B1178" s="91">
        <f t="shared" si="20"/>
        <v>2022</v>
      </c>
      <c r="C1178" s="15" t="s">
        <v>104</v>
      </c>
      <c r="D1178" s="15" t="s">
        <v>2131</v>
      </c>
      <c r="E1178" s="15" t="s">
        <v>2144</v>
      </c>
      <c r="F1178" s="15" t="s">
        <v>2138</v>
      </c>
      <c r="G1178" s="15" t="s">
        <v>2139</v>
      </c>
      <c r="H1178" s="15">
        <v>4130</v>
      </c>
      <c r="I1178" s="15">
        <v>696.5</v>
      </c>
    </row>
    <row r="1179" spans="1:9">
      <c r="A1179" s="13">
        <v>45382</v>
      </c>
      <c r="B1179" s="91">
        <f t="shared" si="20"/>
        <v>2024</v>
      </c>
      <c r="C1179" s="15" t="s">
        <v>2141</v>
      </c>
      <c r="D1179" s="15" t="s">
        <v>2118</v>
      </c>
      <c r="E1179" s="15" t="s">
        <v>2151</v>
      </c>
      <c r="F1179" s="15" t="s">
        <v>2124</v>
      </c>
      <c r="G1179" s="15" t="s">
        <v>2140</v>
      </c>
      <c r="H1179" s="15">
        <v>6253</v>
      </c>
      <c r="I1179" s="15">
        <v>1522.89</v>
      </c>
    </row>
    <row r="1180" spans="1:9">
      <c r="A1180" s="13">
        <v>45467</v>
      </c>
      <c r="B1180" s="91">
        <f t="shared" si="20"/>
        <v>2024</v>
      </c>
      <c r="C1180" s="15" t="s">
        <v>104</v>
      </c>
      <c r="D1180" s="15" t="s">
        <v>2131</v>
      </c>
      <c r="E1180" s="15" t="s">
        <v>2145</v>
      </c>
      <c r="F1180" s="15" t="s">
        <v>2138</v>
      </c>
      <c r="G1180" s="15" t="s">
        <v>2149</v>
      </c>
      <c r="H1180" s="15">
        <v>6128</v>
      </c>
      <c r="I1180" s="15">
        <v>897.88</v>
      </c>
    </row>
    <row r="1181" spans="1:9">
      <c r="A1181" s="13">
        <v>44989</v>
      </c>
      <c r="B1181" s="91">
        <f t="shared" si="20"/>
        <v>2023</v>
      </c>
      <c r="C1181" s="15" t="s">
        <v>107</v>
      </c>
      <c r="D1181" s="15" t="s">
        <v>2135</v>
      </c>
      <c r="E1181" s="15" t="s">
        <v>2145</v>
      </c>
      <c r="F1181" s="15" t="s">
        <v>2116</v>
      </c>
      <c r="G1181" s="15" t="s">
        <v>2127</v>
      </c>
      <c r="H1181" s="15">
        <v>6407</v>
      </c>
      <c r="I1181" s="15">
        <v>1693.27</v>
      </c>
    </row>
    <row r="1182" spans="1:9">
      <c r="A1182" s="13">
        <v>45423</v>
      </c>
      <c r="B1182" s="91">
        <f t="shared" si="20"/>
        <v>2024</v>
      </c>
      <c r="C1182" s="15" t="s">
        <v>2113</v>
      </c>
      <c r="D1182" s="15" t="s">
        <v>2135</v>
      </c>
      <c r="E1182" s="15" t="s">
        <v>2136</v>
      </c>
      <c r="F1182" s="15" t="s">
        <v>2124</v>
      </c>
      <c r="G1182" s="15" t="s">
        <v>2140</v>
      </c>
      <c r="H1182" s="15">
        <v>5805</v>
      </c>
      <c r="I1182" s="15">
        <v>827.41</v>
      </c>
    </row>
    <row r="1183" spans="1:9">
      <c r="A1183" s="13">
        <v>44893</v>
      </c>
      <c r="B1183" s="91">
        <f t="shared" si="20"/>
        <v>2022</v>
      </c>
      <c r="C1183" s="15" t="s">
        <v>2113</v>
      </c>
      <c r="D1183" s="15" t="s">
        <v>2131</v>
      </c>
      <c r="E1183" s="15" t="s">
        <v>2151</v>
      </c>
      <c r="F1183" s="15" t="s">
        <v>2124</v>
      </c>
      <c r="G1183" s="15" t="s">
        <v>2125</v>
      </c>
      <c r="H1183" s="15">
        <v>4270</v>
      </c>
      <c r="I1183" s="15">
        <v>1241.6600000000001</v>
      </c>
    </row>
    <row r="1184" spans="1:9">
      <c r="A1184" s="13">
        <v>45070</v>
      </c>
      <c r="B1184" s="91">
        <f t="shared" si="20"/>
        <v>2023</v>
      </c>
      <c r="C1184" s="15" t="s">
        <v>2141</v>
      </c>
      <c r="D1184" s="15" t="s">
        <v>2152</v>
      </c>
      <c r="E1184" s="15" t="s">
        <v>2129</v>
      </c>
      <c r="F1184" s="15" t="s">
        <v>2124</v>
      </c>
      <c r="G1184" s="15" t="s">
        <v>2130</v>
      </c>
      <c r="H1184" s="15">
        <v>2416</v>
      </c>
      <c r="I1184" s="15">
        <v>419.74</v>
      </c>
    </row>
    <row r="1185" spans="1:9">
      <c r="A1185" s="13">
        <v>45521</v>
      </c>
      <c r="B1185" s="91">
        <f t="shared" si="20"/>
        <v>2024</v>
      </c>
      <c r="C1185" s="15" t="s">
        <v>2113</v>
      </c>
      <c r="D1185" s="15" t="s">
        <v>2126</v>
      </c>
      <c r="E1185" s="15" t="s">
        <v>2136</v>
      </c>
      <c r="F1185" s="15" t="s">
        <v>2124</v>
      </c>
      <c r="G1185" s="15" t="s">
        <v>2130</v>
      </c>
      <c r="H1185" s="15">
        <v>1845</v>
      </c>
      <c r="I1185" s="15">
        <v>478.02</v>
      </c>
    </row>
    <row r="1186" spans="1:9">
      <c r="A1186" s="13">
        <v>45632</v>
      </c>
      <c r="B1186" s="91">
        <f t="shared" si="20"/>
        <v>2024</v>
      </c>
      <c r="C1186" s="15" t="s">
        <v>2113</v>
      </c>
      <c r="D1186" s="15" t="s">
        <v>2153</v>
      </c>
      <c r="E1186" s="15" t="s">
        <v>2145</v>
      </c>
      <c r="F1186" s="15" t="s">
        <v>2124</v>
      </c>
      <c r="G1186" s="15" t="s">
        <v>2125</v>
      </c>
      <c r="H1186" s="15">
        <v>6806</v>
      </c>
      <c r="I1186" s="15">
        <v>2020.8</v>
      </c>
    </row>
    <row r="1187" spans="1:9">
      <c r="A1187" s="13">
        <v>45022</v>
      </c>
      <c r="B1187" s="91">
        <f t="shared" si="20"/>
        <v>2023</v>
      </c>
      <c r="C1187" s="15" t="s">
        <v>104</v>
      </c>
      <c r="D1187" s="15" t="s">
        <v>2131</v>
      </c>
      <c r="E1187" s="15" t="s">
        <v>2136</v>
      </c>
      <c r="F1187" s="15" t="s">
        <v>2138</v>
      </c>
      <c r="G1187" s="15" t="s">
        <v>2149</v>
      </c>
      <c r="H1187" s="15">
        <v>1089</v>
      </c>
      <c r="I1187" s="15">
        <v>132.59</v>
      </c>
    </row>
    <row r="1188" spans="1:9">
      <c r="A1188" s="13">
        <v>44733</v>
      </c>
      <c r="B1188" s="91">
        <f t="shared" si="20"/>
        <v>2022</v>
      </c>
      <c r="C1188" s="15" t="s">
        <v>2141</v>
      </c>
      <c r="D1188" s="15" t="s">
        <v>2142</v>
      </c>
      <c r="E1188" s="15" t="s">
        <v>2115</v>
      </c>
      <c r="F1188" s="15" t="s">
        <v>2124</v>
      </c>
      <c r="G1188" s="15" t="s">
        <v>2140</v>
      </c>
      <c r="H1188" s="15">
        <v>9532</v>
      </c>
      <c r="I1188" s="15">
        <v>2833.01</v>
      </c>
    </row>
    <row r="1189" spans="1:9">
      <c r="A1189" s="13">
        <v>44594</v>
      </c>
      <c r="B1189" s="91">
        <f t="shared" si="20"/>
        <v>2022</v>
      </c>
      <c r="C1189" s="15" t="s">
        <v>107</v>
      </c>
      <c r="D1189" s="15" t="s">
        <v>2131</v>
      </c>
      <c r="E1189" s="15" t="s">
        <v>2134</v>
      </c>
      <c r="F1189" s="15" t="s">
        <v>2120</v>
      </c>
      <c r="G1189" s="15" t="s">
        <v>2132</v>
      </c>
      <c r="H1189" s="15">
        <v>2758</v>
      </c>
      <c r="I1189" s="15">
        <v>470.71</v>
      </c>
    </row>
    <row r="1190" spans="1:9">
      <c r="A1190" s="13">
        <v>45282</v>
      </c>
      <c r="B1190" s="91">
        <f t="shared" si="20"/>
        <v>2023</v>
      </c>
      <c r="C1190" s="15" t="s">
        <v>2113</v>
      </c>
      <c r="D1190" s="15" t="s">
        <v>2148</v>
      </c>
      <c r="E1190" s="15" t="s">
        <v>2123</v>
      </c>
      <c r="F1190" s="15" t="s">
        <v>2120</v>
      </c>
      <c r="G1190" s="15" t="s">
        <v>2132</v>
      </c>
      <c r="H1190" s="15">
        <v>4167</v>
      </c>
      <c r="I1190" s="15">
        <v>604.33000000000004</v>
      </c>
    </row>
    <row r="1191" spans="1:9">
      <c r="A1191" s="13">
        <v>45579</v>
      </c>
      <c r="B1191" s="91">
        <f t="shared" si="20"/>
        <v>2024</v>
      </c>
      <c r="C1191" s="15" t="s">
        <v>2141</v>
      </c>
      <c r="D1191" s="15" t="s">
        <v>2153</v>
      </c>
      <c r="E1191" s="15" t="s">
        <v>2143</v>
      </c>
      <c r="F1191" s="15" t="s">
        <v>2116</v>
      </c>
      <c r="G1191" s="15" t="s">
        <v>2154</v>
      </c>
      <c r="H1191" s="15">
        <v>7317</v>
      </c>
      <c r="I1191" s="15">
        <v>1263.8399999999999</v>
      </c>
    </row>
    <row r="1192" spans="1:9">
      <c r="A1192" s="13">
        <v>44844</v>
      </c>
      <c r="B1192" s="91">
        <f t="shared" si="20"/>
        <v>2022</v>
      </c>
      <c r="C1192" s="15" t="s">
        <v>107</v>
      </c>
      <c r="D1192" s="15" t="s">
        <v>2148</v>
      </c>
      <c r="E1192" s="15" t="s">
        <v>2119</v>
      </c>
      <c r="F1192" s="15" t="s">
        <v>2120</v>
      </c>
      <c r="G1192" s="15" t="s">
        <v>2133</v>
      </c>
      <c r="H1192" s="15">
        <v>4211</v>
      </c>
      <c r="I1192" s="15">
        <v>580.02</v>
      </c>
    </row>
    <row r="1193" spans="1:9">
      <c r="A1193" s="13">
        <v>45409</v>
      </c>
      <c r="B1193" s="91">
        <f t="shared" si="20"/>
        <v>2024</v>
      </c>
      <c r="C1193" s="15" t="s">
        <v>104</v>
      </c>
      <c r="D1193" s="15" t="s">
        <v>2153</v>
      </c>
      <c r="E1193" s="15" t="s">
        <v>2151</v>
      </c>
      <c r="F1193" s="15" t="s">
        <v>2116</v>
      </c>
      <c r="G1193" s="15" t="s">
        <v>2117</v>
      </c>
      <c r="H1193" s="15">
        <v>6326</v>
      </c>
      <c r="I1193" s="15">
        <v>693.15</v>
      </c>
    </row>
    <row r="1194" spans="1:9">
      <c r="A1194" s="13">
        <v>44963</v>
      </c>
      <c r="B1194" s="91">
        <f t="shared" si="20"/>
        <v>2023</v>
      </c>
      <c r="C1194" s="15" t="s">
        <v>104</v>
      </c>
      <c r="D1194" s="15" t="s">
        <v>2148</v>
      </c>
      <c r="E1194" s="15" t="s">
        <v>2145</v>
      </c>
      <c r="F1194" s="15" t="s">
        <v>2138</v>
      </c>
      <c r="G1194" s="15" t="s">
        <v>2149</v>
      </c>
      <c r="H1194" s="15">
        <v>9313</v>
      </c>
      <c r="I1194" s="15">
        <v>2538.64</v>
      </c>
    </row>
    <row r="1195" spans="1:9">
      <c r="A1195" s="13">
        <v>45000</v>
      </c>
      <c r="B1195" s="91">
        <f t="shared" si="20"/>
        <v>2023</v>
      </c>
      <c r="C1195" s="15" t="s">
        <v>107</v>
      </c>
      <c r="D1195" s="15" t="s">
        <v>2135</v>
      </c>
      <c r="E1195" s="15" t="s">
        <v>2151</v>
      </c>
      <c r="F1195" s="15" t="s">
        <v>2120</v>
      </c>
      <c r="G1195" s="15" t="s">
        <v>2132</v>
      </c>
      <c r="H1195" s="15">
        <v>8861</v>
      </c>
      <c r="I1195" s="15">
        <v>2484.06</v>
      </c>
    </row>
    <row r="1196" spans="1:9">
      <c r="A1196" s="13">
        <v>44603</v>
      </c>
      <c r="B1196" s="91">
        <f t="shared" si="20"/>
        <v>2022</v>
      </c>
      <c r="C1196" s="15" t="s">
        <v>107</v>
      </c>
      <c r="D1196" s="15" t="s">
        <v>2153</v>
      </c>
      <c r="E1196" s="15" t="s">
        <v>2144</v>
      </c>
      <c r="F1196" s="15" t="s">
        <v>2138</v>
      </c>
      <c r="G1196" s="15" t="s">
        <v>2139</v>
      </c>
      <c r="H1196" s="15">
        <v>8838</v>
      </c>
      <c r="I1196" s="15">
        <v>1303.1199999999999</v>
      </c>
    </row>
    <row r="1197" spans="1:9">
      <c r="A1197" s="13">
        <v>44945</v>
      </c>
      <c r="B1197" s="91">
        <f t="shared" si="20"/>
        <v>2023</v>
      </c>
      <c r="C1197" s="15" t="s">
        <v>2141</v>
      </c>
      <c r="D1197" s="15" t="s">
        <v>2131</v>
      </c>
      <c r="E1197" s="15" t="s">
        <v>2136</v>
      </c>
      <c r="F1197" s="15" t="s">
        <v>2116</v>
      </c>
      <c r="G1197" s="15" t="s">
        <v>2117</v>
      </c>
      <c r="H1197" s="15">
        <v>7369</v>
      </c>
      <c r="I1197" s="15">
        <v>1679.25</v>
      </c>
    </row>
    <row r="1198" spans="1:9">
      <c r="A1198" s="13">
        <v>44955</v>
      </c>
      <c r="B1198" s="91">
        <f t="shared" si="20"/>
        <v>2023</v>
      </c>
      <c r="C1198" s="15" t="s">
        <v>107</v>
      </c>
      <c r="D1198" s="15" t="s">
        <v>2153</v>
      </c>
      <c r="E1198" s="15" t="s">
        <v>2145</v>
      </c>
      <c r="F1198" s="15" t="s">
        <v>2138</v>
      </c>
      <c r="G1198" s="15" t="s">
        <v>2149</v>
      </c>
      <c r="H1198" s="15">
        <v>7394</v>
      </c>
      <c r="I1198" s="15">
        <v>1369.73</v>
      </c>
    </row>
    <row r="1199" spans="1:9">
      <c r="A1199" s="13">
        <v>45127</v>
      </c>
      <c r="B1199" s="91">
        <f t="shared" si="20"/>
        <v>2023</v>
      </c>
      <c r="C1199" s="15" t="s">
        <v>107</v>
      </c>
      <c r="D1199" s="15" t="s">
        <v>2114</v>
      </c>
      <c r="E1199" s="15" t="s">
        <v>2151</v>
      </c>
      <c r="F1199" s="15" t="s">
        <v>2124</v>
      </c>
      <c r="G1199" s="15" t="s">
        <v>2130</v>
      </c>
      <c r="H1199" s="15">
        <v>9024</v>
      </c>
      <c r="I1199" s="15">
        <v>1880</v>
      </c>
    </row>
    <row r="1200" spans="1:9">
      <c r="A1200" s="13">
        <v>45483</v>
      </c>
      <c r="B1200" s="91">
        <f t="shared" si="20"/>
        <v>2024</v>
      </c>
      <c r="C1200" s="15" t="s">
        <v>2113</v>
      </c>
      <c r="D1200" s="15" t="s">
        <v>2135</v>
      </c>
      <c r="E1200" s="15" t="s">
        <v>2144</v>
      </c>
      <c r="F1200" s="15" t="s">
        <v>2116</v>
      </c>
      <c r="G1200" s="15" t="s">
        <v>2154</v>
      </c>
      <c r="H1200" s="15">
        <v>5836</v>
      </c>
      <c r="I1200" s="15">
        <v>1304.81</v>
      </c>
    </row>
    <row r="1201" spans="1:9">
      <c r="A1201" s="13">
        <v>44714</v>
      </c>
      <c r="B1201" s="91">
        <f t="shared" si="20"/>
        <v>2022</v>
      </c>
      <c r="C1201" s="15" t="s">
        <v>107</v>
      </c>
      <c r="D1201" s="15" t="s">
        <v>2152</v>
      </c>
      <c r="E1201" s="15" t="s">
        <v>2143</v>
      </c>
      <c r="F1201" s="15" t="s">
        <v>2124</v>
      </c>
      <c r="G1201" s="15" t="s">
        <v>2130</v>
      </c>
      <c r="H1201" s="15">
        <v>4734</v>
      </c>
      <c r="I1201" s="15">
        <v>1053.9000000000001</v>
      </c>
    </row>
    <row r="1202" spans="1:9">
      <c r="A1202" s="13">
        <v>45611</v>
      </c>
      <c r="B1202" s="91">
        <f t="shared" si="20"/>
        <v>2024</v>
      </c>
      <c r="C1202" s="15" t="s">
        <v>2113</v>
      </c>
      <c r="D1202" s="15" t="s">
        <v>2148</v>
      </c>
      <c r="E1202" s="15" t="s">
        <v>2119</v>
      </c>
      <c r="F1202" s="15" t="s">
        <v>2116</v>
      </c>
      <c r="G1202" s="15" t="s">
        <v>2117</v>
      </c>
      <c r="H1202" s="15">
        <v>5955</v>
      </c>
      <c r="I1202" s="15">
        <v>1014.14</v>
      </c>
    </row>
    <row r="1203" spans="1:9">
      <c r="A1203" s="13">
        <v>44769</v>
      </c>
      <c r="B1203" s="91">
        <f t="shared" si="20"/>
        <v>2022</v>
      </c>
      <c r="C1203" s="15" t="s">
        <v>2141</v>
      </c>
      <c r="D1203" s="15" t="s">
        <v>2142</v>
      </c>
      <c r="E1203" s="15" t="s">
        <v>2119</v>
      </c>
      <c r="F1203" s="15" t="s">
        <v>2116</v>
      </c>
      <c r="G1203" s="15" t="s">
        <v>2127</v>
      </c>
      <c r="H1203" s="15">
        <v>5263</v>
      </c>
      <c r="I1203" s="15">
        <v>577.76</v>
      </c>
    </row>
    <row r="1204" spans="1:9">
      <c r="A1204" s="13">
        <v>45051</v>
      </c>
      <c r="B1204" s="91">
        <f t="shared" si="20"/>
        <v>2023</v>
      </c>
      <c r="C1204" s="15" t="s">
        <v>104</v>
      </c>
      <c r="D1204" s="15" t="s">
        <v>2148</v>
      </c>
      <c r="E1204" s="15" t="s">
        <v>2129</v>
      </c>
      <c r="F1204" s="15" t="s">
        <v>2120</v>
      </c>
      <c r="G1204" s="15" t="s">
        <v>2132</v>
      </c>
      <c r="H1204" s="15">
        <v>2180</v>
      </c>
      <c r="I1204" s="15">
        <v>431.74</v>
      </c>
    </row>
    <row r="1205" spans="1:9">
      <c r="A1205" s="13">
        <v>44698</v>
      </c>
      <c r="B1205" s="91">
        <f t="shared" si="20"/>
        <v>2022</v>
      </c>
      <c r="C1205" s="15" t="s">
        <v>104</v>
      </c>
      <c r="D1205" s="15" t="s">
        <v>2126</v>
      </c>
      <c r="E1205" s="15" t="s">
        <v>2123</v>
      </c>
      <c r="F1205" s="15" t="s">
        <v>2124</v>
      </c>
      <c r="G1205" s="15" t="s">
        <v>2140</v>
      </c>
      <c r="H1205" s="15">
        <v>3082</v>
      </c>
      <c r="I1205" s="15">
        <v>312.54000000000002</v>
      </c>
    </row>
    <row r="1206" spans="1:9">
      <c r="A1206" s="13">
        <v>44914</v>
      </c>
      <c r="B1206" s="91">
        <f t="shared" si="20"/>
        <v>2022</v>
      </c>
      <c r="C1206" s="15" t="s">
        <v>107</v>
      </c>
      <c r="D1206" s="15" t="s">
        <v>2118</v>
      </c>
      <c r="E1206" s="15" t="s">
        <v>2143</v>
      </c>
      <c r="F1206" s="15" t="s">
        <v>2116</v>
      </c>
      <c r="G1206" s="15" t="s">
        <v>2117</v>
      </c>
      <c r="H1206" s="15">
        <v>2972</v>
      </c>
      <c r="I1206" s="15">
        <v>864</v>
      </c>
    </row>
    <row r="1207" spans="1:9">
      <c r="A1207" s="13">
        <v>45202</v>
      </c>
      <c r="B1207" s="91">
        <f t="shared" si="20"/>
        <v>2023</v>
      </c>
      <c r="C1207" s="15" t="s">
        <v>107</v>
      </c>
      <c r="D1207" s="15" t="s">
        <v>2118</v>
      </c>
      <c r="E1207" s="15" t="s">
        <v>2134</v>
      </c>
      <c r="F1207" s="15" t="s">
        <v>2116</v>
      </c>
      <c r="G1207" s="15" t="s">
        <v>2154</v>
      </c>
      <c r="H1207" s="15">
        <v>7324</v>
      </c>
      <c r="I1207" s="15">
        <v>1186.3800000000001</v>
      </c>
    </row>
    <row r="1208" spans="1:9">
      <c r="A1208" s="13">
        <v>44905</v>
      </c>
      <c r="B1208" s="91">
        <f t="shared" si="20"/>
        <v>2022</v>
      </c>
      <c r="C1208" s="15" t="s">
        <v>107</v>
      </c>
      <c r="D1208" s="15" t="s">
        <v>2148</v>
      </c>
      <c r="E1208" s="15" t="s">
        <v>2145</v>
      </c>
      <c r="F1208" s="15" t="s">
        <v>2138</v>
      </c>
      <c r="G1208" s="15" t="s">
        <v>2139</v>
      </c>
      <c r="H1208" s="15">
        <v>1483</v>
      </c>
      <c r="I1208" s="15">
        <v>203.54</v>
      </c>
    </row>
    <row r="1209" spans="1:9">
      <c r="A1209" s="13">
        <v>45338</v>
      </c>
      <c r="B1209" s="91">
        <f t="shared" si="20"/>
        <v>2024</v>
      </c>
      <c r="C1209" s="15" t="s">
        <v>107</v>
      </c>
      <c r="D1209" s="15" t="s">
        <v>2142</v>
      </c>
      <c r="E1209" s="15" t="s">
        <v>2119</v>
      </c>
      <c r="F1209" s="15" t="s">
        <v>2116</v>
      </c>
      <c r="G1209" s="15" t="s">
        <v>2117</v>
      </c>
      <c r="H1209" s="15">
        <v>1033</v>
      </c>
      <c r="I1209" s="15">
        <v>125.17</v>
      </c>
    </row>
    <row r="1210" spans="1:9">
      <c r="A1210" s="13">
        <v>45155</v>
      </c>
      <c r="B1210" s="91">
        <f t="shared" si="20"/>
        <v>2023</v>
      </c>
      <c r="C1210" s="15" t="s">
        <v>104</v>
      </c>
      <c r="D1210" s="15" t="s">
        <v>2114</v>
      </c>
      <c r="E1210" s="15" t="s">
        <v>2145</v>
      </c>
      <c r="F1210" s="15" t="s">
        <v>2124</v>
      </c>
      <c r="G1210" s="15" t="s">
        <v>2125</v>
      </c>
      <c r="H1210" s="15">
        <v>9000</v>
      </c>
      <c r="I1210" s="15">
        <v>1635.95</v>
      </c>
    </row>
    <row r="1211" spans="1:9">
      <c r="A1211" s="13">
        <v>44885</v>
      </c>
      <c r="B1211" s="91">
        <f t="shared" si="20"/>
        <v>2022</v>
      </c>
      <c r="C1211" s="15" t="s">
        <v>107</v>
      </c>
      <c r="D1211" s="15" t="s">
        <v>2118</v>
      </c>
      <c r="E1211" s="15" t="s">
        <v>2115</v>
      </c>
      <c r="F1211" s="15" t="s">
        <v>2116</v>
      </c>
      <c r="G1211" s="15" t="s">
        <v>2117</v>
      </c>
      <c r="H1211" s="15">
        <v>2955</v>
      </c>
      <c r="I1211" s="15">
        <v>874.26</v>
      </c>
    </row>
    <row r="1212" spans="1:9">
      <c r="A1212" s="13">
        <v>45151</v>
      </c>
      <c r="B1212" s="91">
        <f t="shared" si="20"/>
        <v>2023</v>
      </c>
      <c r="C1212" s="15" t="s">
        <v>107</v>
      </c>
      <c r="D1212" s="15" t="s">
        <v>2128</v>
      </c>
      <c r="E1212" s="15" t="s">
        <v>2136</v>
      </c>
      <c r="F1212" s="15" t="s">
        <v>2124</v>
      </c>
      <c r="G1212" s="15" t="s">
        <v>2130</v>
      </c>
      <c r="H1212" s="15">
        <v>2457</v>
      </c>
      <c r="I1212" s="15">
        <v>286.95</v>
      </c>
    </row>
    <row r="1213" spans="1:9">
      <c r="A1213" s="13">
        <v>45214</v>
      </c>
      <c r="B1213" s="91">
        <f t="shared" si="20"/>
        <v>2023</v>
      </c>
      <c r="C1213" s="15" t="s">
        <v>2141</v>
      </c>
      <c r="D1213" s="15" t="s">
        <v>2126</v>
      </c>
      <c r="E1213" s="15" t="s">
        <v>2151</v>
      </c>
      <c r="F1213" s="15" t="s">
        <v>2124</v>
      </c>
      <c r="G1213" s="15" t="s">
        <v>2125</v>
      </c>
      <c r="H1213" s="15">
        <v>5346</v>
      </c>
      <c r="I1213" s="15">
        <v>746.48</v>
      </c>
    </row>
    <row r="1214" spans="1:9">
      <c r="A1214" s="13">
        <v>45569</v>
      </c>
      <c r="B1214" s="91">
        <f t="shared" si="20"/>
        <v>2024</v>
      </c>
      <c r="C1214" s="15" t="s">
        <v>107</v>
      </c>
      <c r="D1214" s="15" t="s">
        <v>2153</v>
      </c>
      <c r="E1214" s="15" t="s">
        <v>2144</v>
      </c>
      <c r="F1214" s="15" t="s">
        <v>2120</v>
      </c>
      <c r="G1214" s="15" t="s">
        <v>2121</v>
      </c>
      <c r="H1214" s="15">
        <v>3558</v>
      </c>
      <c r="I1214" s="15">
        <v>556.97</v>
      </c>
    </row>
    <row r="1215" spans="1:9">
      <c r="A1215" s="13">
        <v>44845</v>
      </c>
      <c r="B1215" s="91">
        <f t="shared" si="20"/>
        <v>2022</v>
      </c>
      <c r="C1215" s="15" t="s">
        <v>2141</v>
      </c>
      <c r="D1215" s="15" t="s">
        <v>2114</v>
      </c>
      <c r="E1215" s="15" t="s">
        <v>2151</v>
      </c>
      <c r="F1215" s="15" t="s">
        <v>2116</v>
      </c>
      <c r="G1215" s="15" t="s">
        <v>2154</v>
      </c>
      <c r="H1215" s="15">
        <v>9760</v>
      </c>
      <c r="I1215" s="15">
        <v>2377.3000000000002</v>
      </c>
    </row>
    <row r="1216" spans="1:9">
      <c r="A1216" s="13">
        <v>45407</v>
      </c>
      <c r="B1216" s="91">
        <f t="shared" si="20"/>
        <v>2024</v>
      </c>
      <c r="C1216" s="15" t="s">
        <v>104</v>
      </c>
      <c r="D1216" s="15" t="s">
        <v>2114</v>
      </c>
      <c r="E1216" s="15" t="s">
        <v>2143</v>
      </c>
      <c r="F1216" s="15" t="s">
        <v>2116</v>
      </c>
      <c r="G1216" s="15" t="s">
        <v>2127</v>
      </c>
      <c r="H1216" s="15">
        <v>7423</v>
      </c>
      <c r="I1216" s="15">
        <v>846.21</v>
      </c>
    </row>
    <row r="1217" spans="1:9">
      <c r="A1217" s="13">
        <v>44896</v>
      </c>
      <c r="B1217" s="91">
        <f t="shared" si="20"/>
        <v>2022</v>
      </c>
      <c r="C1217" s="15" t="s">
        <v>104</v>
      </c>
      <c r="D1217" s="15" t="s">
        <v>2148</v>
      </c>
      <c r="E1217" s="15" t="s">
        <v>2134</v>
      </c>
      <c r="F1217" s="15" t="s">
        <v>2120</v>
      </c>
      <c r="G1217" s="15" t="s">
        <v>2133</v>
      </c>
      <c r="H1217" s="15">
        <v>7016</v>
      </c>
      <c r="I1217" s="15">
        <v>1059.19</v>
      </c>
    </row>
    <row r="1218" spans="1:9">
      <c r="A1218" s="13">
        <v>45042</v>
      </c>
      <c r="B1218" s="91">
        <f t="shared" si="20"/>
        <v>2023</v>
      </c>
      <c r="C1218" s="15" t="s">
        <v>104</v>
      </c>
      <c r="D1218" s="15" t="s">
        <v>2114</v>
      </c>
      <c r="E1218" s="15" t="s">
        <v>2134</v>
      </c>
      <c r="F1218" s="15" t="s">
        <v>2138</v>
      </c>
      <c r="G1218" s="15" t="s">
        <v>2146</v>
      </c>
      <c r="H1218" s="15">
        <v>7973</v>
      </c>
      <c r="I1218" s="15">
        <v>809.34</v>
      </c>
    </row>
    <row r="1219" spans="1:9">
      <c r="A1219" s="13">
        <v>44583</v>
      </c>
      <c r="B1219" s="91">
        <f t="shared" ref="B1219:B1282" si="21">YEAR(A1219)</f>
        <v>2022</v>
      </c>
      <c r="C1219" s="15" t="s">
        <v>107</v>
      </c>
      <c r="D1219" s="15" t="s">
        <v>2131</v>
      </c>
      <c r="E1219" s="15" t="s">
        <v>2144</v>
      </c>
      <c r="F1219" s="15" t="s">
        <v>2116</v>
      </c>
      <c r="G1219" s="15" t="s">
        <v>2117</v>
      </c>
      <c r="H1219" s="15">
        <v>6089</v>
      </c>
      <c r="I1219" s="15">
        <v>746.63</v>
      </c>
    </row>
    <row r="1220" spans="1:9">
      <c r="A1220" s="13">
        <v>44889</v>
      </c>
      <c r="B1220" s="91">
        <f t="shared" si="21"/>
        <v>2022</v>
      </c>
      <c r="C1220" s="15" t="s">
        <v>2141</v>
      </c>
      <c r="D1220" s="15" t="s">
        <v>2142</v>
      </c>
      <c r="E1220" s="15" t="s">
        <v>2115</v>
      </c>
      <c r="F1220" s="15" t="s">
        <v>2124</v>
      </c>
      <c r="G1220" s="15" t="s">
        <v>2130</v>
      </c>
      <c r="H1220" s="15">
        <v>7038</v>
      </c>
      <c r="I1220" s="15">
        <v>1360.48</v>
      </c>
    </row>
    <row r="1221" spans="1:9">
      <c r="A1221" s="13">
        <v>45464</v>
      </c>
      <c r="B1221" s="91">
        <f t="shared" si="21"/>
        <v>2024</v>
      </c>
      <c r="C1221" s="15" t="s">
        <v>104</v>
      </c>
      <c r="D1221" s="15" t="s">
        <v>2128</v>
      </c>
      <c r="E1221" s="15" t="s">
        <v>2134</v>
      </c>
      <c r="F1221" s="15" t="s">
        <v>2124</v>
      </c>
      <c r="G1221" s="15" t="s">
        <v>2130</v>
      </c>
      <c r="H1221" s="15">
        <v>4037</v>
      </c>
      <c r="I1221" s="15">
        <v>1180.08</v>
      </c>
    </row>
    <row r="1222" spans="1:9">
      <c r="A1222" s="13">
        <v>44792</v>
      </c>
      <c r="B1222" s="91">
        <f t="shared" si="21"/>
        <v>2022</v>
      </c>
      <c r="C1222" s="15" t="s">
        <v>2113</v>
      </c>
      <c r="D1222" s="15" t="s">
        <v>2152</v>
      </c>
      <c r="E1222" s="15" t="s">
        <v>2134</v>
      </c>
      <c r="F1222" s="15" t="s">
        <v>2116</v>
      </c>
      <c r="G1222" s="15" t="s">
        <v>2127</v>
      </c>
      <c r="H1222" s="15">
        <v>3861</v>
      </c>
      <c r="I1222" s="15">
        <v>1032.74</v>
      </c>
    </row>
    <row r="1223" spans="1:9">
      <c r="A1223" s="13">
        <v>45522</v>
      </c>
      <c r="B1223" s="91">
        <f t="shared" si="21"/>
        <v>2024</v>
      </c>
      <c r="C1223" s="15" t="s">
        <v>2113</v>
      </c>
      <c r="D1223" s="15" t="s">
        <v>2128</v>
      </c>
      <c r="E1223" s="15" t="s">
        <v>2119</v>
      </c>
      <c r="F1223" s="15" t="s">
        <v>2116</v>
      </c>
      <c r="G1223" s="15" t="s">
        <v>2127</v>
      </c>
      <c r="H1223" s="15">
        <v>7324</v>
      </c>
      <c r="I1223" s="15">
        <v>2002.6</v>
      </c>
    </row>
    <row r="1224" spans="1:9">
      <c r="A1224" s="13">
        <v>45330</v>
      </c>
      <c r="B1224" s="91">
        <f t="shared" si="21"/>
        <v>2024</v>
      </c>
      <c r="C1224" s="15" t="s">
        <v>107</v>
      </c>
      <c r="D1224" s="15" t="s">
        <v>2142</v>
      </c>
      <c r="E1224" s="15" t="s">
        <v>2123</v>
      </c>
      <c r="F1224" s="15" t="s">
        <v>2138</v>
      </c>
      <c r="G1224" s="15" t="s">
        <v>2139</v>
      </c>
      <c r="H1224" s="15">
        <v>9093</v>
      </c>
      <c r="I1224" s="15">
        <v>1669.01</v>
      </c>
    </row>
    <row r="1225" spans="1:9">
      <c r="A1225" s="13">
        <v>45509</v>
      </c>
      <c r="B1225" s="91">
        <f t="shared" si="21"/>
        <v>2024</v>
      </c>
      <c r="C1225" s="15" t="s">
        <v>2141</v>
      </c>
      <c r="D1225" s="15" t="s">
        <v>2128</v>
      </c>
      <c r="E1225" s="15" t="s">
        <v>2129</v>
      </c>
      <c r="F1225" s="15" t="s">
        <v>2124</v>
      </c>
      <c r="G1225" s="15" t="s">
        <v>2140</v>
      </c>
      <c r="H1225" s="15">
        <v>9394</v>
      </c>
      <c r="I1225" s="15">
        <v>2322.4699999999998</v>
      </c>
    </row>
    <row r="1226" spans="1:9">
      <c r="A1226" s="13">
        <v>45353</v>
      </c>
      <c r="B1226" s="91">
        <f t="shared" si="21"/>
        <v>2024</v>
      </c>
      <c r="C1226" s="15" t="s">
        <v>104</v>
      </c>
      <c r="D1226" s="15" t="s">
        <v>2118</v>
      </c>
      <c r="E1226" s="15" t="s">
        <v>2134</v>
      </c>
      <c r="F1226" s="15" t="s">
        <v>2124</v>
      </c>
      <c r="G1226" s="15" t="s">
        <v>2125</v>
      </c>
      <c r="H1226" s="15">
        <v>6476</v>
      </c>
      <c r="I1226" s="15">
        <v>1530.37</v>
      </c>
    </row>
    <row r="1227" spans="1:9">
      <c r="A1227" s="13">
        <v>45507</v>
      </c>
      <c r="B1227" s="91">
        <f t="shared" si="21"/>
        <v>2024</v>
      </c>
      <c r="C1227" s="15" t="s">
        <v>2141</v>
      </c>
      <c r="D1227" s="15" t="s">
        <v>2152</v>
      </c>
      <c r="E1227" s="15" t="s">
        <v>2123</v>
      </c>
      <c r="F1227" s="15" t="s">
        <v>2124</v>
      </c>
      <c r="G1227" s="15" t="s">
        <v>2140</v>
      </c>
      <c r="H1227" s="15">
        <v>3067</v>
      </c>
      <c r="I1227" s="15">
        <v>917.14</v>
      </c>
    </row>
    <row r="1228" spans="1:9">
      <c r="A1228" s="13">
        <v>45595</v>
      </c>
      <c r="B1228" s="91">
        <f t="shared" si="21"/>
        <v>2024</v>
      </c>
      <c r="C1228" s="15" t="s">
        <v>2113</v>
      </c>
      <c r="D1228" s="15" t="s">
        <v>2126</v>
      </c>
      <c r="E1228" s="15" t="s">
        <v>2144</v>
      </c>
      <c r="F1228" s="15" t="s">
        <v>2124</v>
      </c>
      <c r="G1228" s="15" t="s">
        <v>2140</v>
      </c>
      <c r="H1228" s="15">
        <v>8346</v>
      </c>
      <c r="I1228" s="15">
        <v>2323</v>
      </c>
    </row>
    <row r="1229" spans="1:9">
      <c r="A1229" s="13">
        <v>44789</v>
      </c>
      <c r="B1229" s="91">
        <f t="shared" si="21"/>
        <v>2022</v>
      </c>
      <c r="C1229" s="15" t="s">
        <v>107</v>
      </c>
      <c r="D1229" s="15" t="s">
        <v>2114</v>
      </c>
      <c r="E1229" s="15" t="s">
        <v>2151</v>
      </c>
      <c r="F1229" s="15" t="s">
        <v>2124</v>
      </c>
      <c r="G1229" s="15" t="s">
        <v>2125</v>
      </c>
      <c r="H1229" s="15">
        <v>6696</v>
      </c>
      <c r="I1229" s="15">
        <v>1593.47</v>
      </c>
    </row>
    <row r="1230" spans="1:9">
      <c r="A1230" s="13">
        <v>45395</v>
      </c>
      <c r="B1230" s="91">
        <f t="shared" si="21"/>
        <v>2024</v>
      </c>
      <c r="C1230" s="15" t="s">
        <v>2113</v>
      </c>
      <c r="D1230" s="15" t="s">
        <v>2118</v>
      </c>
      <c r="E1230" s="15" t="s">
        <v>2129</v>
      </c>
      <c r="F1230" s="15" t="s">
        <v>2124</v>
      </c>
      <c r="G1230" s="15" t="s">
        <v>2130</v>
      </c>
      <c r="H1230" s="15">
        <v>1391</v>
      </c>
      <c r="I1230" s="15">
        <v>321.62</v>
      </c>
    </row>
    <row r="1231" spans="1:9">
      <c r="A1231" s="13">
        <v>45485</v>
      </c>
      <c r="B1231" s="91">
        <f t="shared" si="21"/>
        <v>2024</v>
      </c>
      <c r="C1231" s="15" t="s">
        <v>104</v>
      </c>
      <c r="D1231" s="15" t="s">
        <v>2114</v>
      </c>
      <c r="E1231" s="15" t="s">
        <v>2143</v>
      </c>
      <c r="F1231" s="15" t="s">
        <v>2116</v>
      </c>
      <c r="G1231" s="15" t="s">
        <v>2117</v>
      </c>
      <c r="H1231" s="15">
        <v>3130</v>
      </c>
      <c r="I1231" s="15">
        <v>740.68</v>
      </c>
    </row>
    <row r="1232" spans="1:9">
      <c r="A1232" s="13">
        <v>44885</v>
      </c>
      <c r="B1232" s="91">
        <f t="shared" si="21"/>
        <v>2022</v>
      </c>
      <c r="C1232" s="15" t="s">
        <v>2113</v>
      </c>
      <c r="D1232" s="15" t="s">
        <v>2128</v>
      </c>
      <c r="E1232" s="15" t="s">
        <v>2115</v>
      </c>
      <c r="F1232" s="15" t="s">
        <v>2124</v>
      </c>
      <c r="G1232" s="15" t="s">
        <v>2130</v>
      </c>
      <c r="H1232" s="15">
        <v>3056</v>
      </c>
      <c r="I1232" s="15">
        <v>881.72</v>
      </c>
    </row>
    <row r="1233" spans="1:9">
      <c r="A1233" s="13">
        <v>44634</v>
      </c>
      <c r="B1233" s="91">
        <f t="shared" si="21"/>
        <v>2022</v>
      </c>
      <c r="C1233" s="15" t="s">
        <v>2113</v>
      </c>
      <c r="D1233" s="15" t="s">
        <v>2135</v>
      </c>
      <c r="E1233" s="15" t="s">
        <v>2134</v>
      </c>
      <c r="F1233" s="15" t="s">
        <v>2116</v>
      </c>
      <c r="G1233" s="15" t="s">
        <v>2127</v>
      </c>
      <c r="H1233" s="15">
        <v>4457</v>
      </c>
      <c r="I1233" s="15">
        <v>754.05</v>
      </c>
    </row>
    <row r="1234" spans="1:9">
      <c r="A1234" s="13">
        <v>44807</v>
      </c>
      <c r="B1234" s="91">
        <f t="shared" si="21"/>
        <v>2022</v>
      </c>
      <c r="C1234" s="15" t="s">
        <v>104</v>
      </c>
      <c r="D1234" s="15" t="s">
        <v>2148</v>
      </c>
      <c r="E1234" s="15" t="s">
        <v>2144</v>
      </c>
      <c r="F1234" s="15" t="s">
        <v>2116</v>
      </c>
      <c r="G1234" s="15" t="s">
        <v>2117</v>
      </c>
      <c r="H1234" s="15">
        <v>5058</v>
      </c>
      <c r="I1234" s="15">
        <v>1123.53</v>
      </c>
    </row>
    <row r="1235" spans="1:9">
      <c r="A1235" s="13">
        <v>44679</v>
      </c>
      <c r="B1235" s="91">
        <f t="shared" si="21"/>
        <v>2022</v>
      </c>
      <c r="C1235" s="15" t="s">
        <v>104</v>
      </c>
      <c r="D1235" s="15" t="s">
        <v>2118</v>
      </c>
      <c r="E1235" s="15" t="s">
        <v>2115</v>
      </c>
      <c r="F1235" s="15" t="s">
        <v>2138</v>
      </c>
      <c r="G1235" s="15" t="s">
        <v>2146</v>
      </c>
      <c r="H1235" s="15">
        <v>7306</v>
      </c>
      <c r="I1235" s="15">
        <v>1363.78</v>
      </c>
    </row>
    <row r="1236" spans="1:9">
      <c r="A1236" s="13">
        <v>44887</v>
      </c>
      <c r="B1236" s="91">
        <f t="shared" si="21"/>
        <v>2022</v>
      </c>
      <c r="C1236" s="15" t="s">
        <v>2141</v>
      </c>
      <c r="D1236" s="15" t="s">
        <v>2142</v>
      </c>
      <c r="E1236" s="15" t="s">
        <v>2123</v>
      </c>
      <c r="F1236" s="15" t="s">
        <v>2120</v>
      </c>
      <c r="G1236" s="15" t="s">
        <v>2133</v>
      </c>
      <c r="H1236" s="15">
        <v>7171</v>
      </c>
      <c r="I1236" s="15">
        <v>766.04</v>
      </c>
    </row>
    <row r="1237" spans="1:9">
      <c r="A1237" s="13">
        <v>44563</v>
      </c>
      <c r="B1237" s="91">
        <f t="shared" si="21"/>
        <v>2022</v>
      </c>
      <c r="C1237" s="15" t="s">
        <v>107</v>
      </c>
      <c r="D1237" s="15" t="s">
        <v>2148</v>
      </c>
      <c r="E1237" s="15" t="s">
        <v>2145</v>
      </c>
      <c r="F1237" s="15" t="s">
        <v>2120</v>
      </c>
      <c r="G1237" s="15" t="s">
        <v>2132</v>
      </c>
      <c r="H1237" s="15">
        <v>4474</v>
      </c>
      <c r="I1237" s="15">
        <v>893.68</v>
      </c>
    </row>
    <row r="1238" spans="1:9">
      <c r="A1238" s="13">
        <v>45369</v>
      </c>
      <c r="B1238" s="91">
        <f t="shared" si="21"/>
        <v>2024</v>
      </c>
      <c r="C1238" s="15" t="s">
        <v>2141</v>
      </c>
      <c r="D1238" s="15" t="s">
        <v>2114</v>
      </c>
      <c r="E1238" s="15" t="s">
        <v>2143</v>
      </c>
      <c r="F1238" s="15" t="s">
        <v>2138</v>
      </c>
      <c r="G1238" s="15" t="s">
        <v>2146</v>
      </c>
      <c r="H1238" s="15">
        <v>2073</v>
      </c>
      <c r="I1238" s="15">
        <v>474.36</v>
      </c>
    </row>
    <row r="1239" spans="1:9">
      <c r="A1239" s="13">
        <v>45338</v>
      </c>
      <c r="B1239" s="91">
        <f t="shared" si="21"/>
        <v>2024</v>
      </c>
      <c r="C1239" s="15" t="s">
        <v>2113</v>
      </c>
      <c r="D1239" s="15" t="s">
        <v>2126</v>
      </c>
      <c r="E1239" s="15" t="s">
        <v>2134</v>
      </c>
      <c r="F1239" s="15" t="s">
        <v>2138</v>
      </c>
      <c r="G1239" s="15" t="s">
        <v>2139</v>
      </c>
      <c r="H1239" s="15">
        <v>2025</v>
      </c>
      <c r="I1239" s="15">
        <v>537.14</v>
      </c>
    </row>
    <row r="1240" spans="1:9">
      <c r="A1240" s="13">
        <v>45023</v>
      </c>
      <c r="B1240" s="91">
        <f t="shared" si="21"/>
        <v>2023</v>
      </c>
      <c r="C1240" s="15" t="s">
        <v>104</v>
      </c>
      <c r="D1240" s="15" t="s">
        <v>2131</v>
      </c>
      <c r="E1240" s="15" t="s">
        <v>2134</v>
      </c>
      <c r="F1240" s="15" t="s">
        <v>2116</v>
      </c>
      <c r="G1240" s="15" t="s">
        <v>2117</v>
      </c>
      <c r="H1240" s="15">
        <v>3662</v>
      </c>
      <c r="I1240" s="15">
        <v>583.41</v>
      </c>
    </row>
    <row r="1241" spans="1:9">
      <c r="A1241" s="13">
        <v>45445</v>
      </c>
      <c r="B1241" s="91">
        <f t="shared" si="21"/>
        <v>2024</v>
      </c>
      <c r="C1241" s="15" t="s">
        <v>2113</v>
      </c>
      <c r="D1241" s="15" t="s">
        <v>2118</v>
      </c>
      <c r="E1241" s="15" t="s">
        <v>2123</v>
      </c>
      <c r="F1241" s="15" t="s">
        <v>2120</v>
      </c>
      <c r="G1241" s="15" t="s">
        <v>2132</v>
      </c>
      <c r="H1241" s="15">
        <v>4116</v>
      </c>
      <c r="I1241" s="15">
        <v>745.98</v>
      </c>
    </row>
    <row r="1242" spans="1:9">
      <c r="A1242" s="13">
        <v>45355</v>
      </c>
      <c r="B1242" s="91">
        <f t="shared" si="21"/>
        <v>2024</v>
      </c>
      <c r="C1242" s="15" t="s">
        <v>2113</v>
      </c>
      <c r="D1242" s="15" t="s">
        <v>2148</v>
      </c>
      <c r="E1242" s="15" t="s">
        <v>2151</v>
      </c>
      <c r="F1242" s="15" t="s">
        <v>2120</v>
      </c>
      <c r="G1242" s="15" t="s">
        <v>2132</v>
      </c>
      <c r="H1242" s="15">
        <v>9020</v>
      </c>
      <c r="I1242" s="15">
        <v>1514.17</v>
      </c>
    </row>
    <row r="1243" spans="1:9">
      <c r="A1243" s="13">
        <v>44918</v>
      </c>
      <c r="B1243" s="91">
        <f t="shared" si="21"/>
        <v>2022</v>
      </c>
      <c r="C1243" s="15" t="s">
        <v>104</v>
      </c>
      <c r="D1243" s="15" t="s">
        <v>2114</v>
      </c>
      <c r="E1243" s="15" t="s">
        <v>2143</v>
      </c>
      <c r="F1243" s="15" t="s">
        <v>2116</v>
      </c>
      <c r="G1243" s="15" t="s">
        <v>2127</v>
      </c>
      <c r="H1243" s="15">
        <v>7279</v>
      </c>
      <c r="I1243" s="15">
        <v>958.87</v>
      </c>
    </row>
    <row r="1244" spans="1:9">
      <c r="A1244" s="13">
        <v>44952</v>
      </c>
      <c r="B1244" s="91">
        <f t="shared" si="21"/>
        <v>2023</v>
      </c>
      <c r="C1244" s="15" t="s">
        <v>2141</v>
      </c>
      <c r="D1244" s="15" t="s">
        <v>2114</v>
      </c>
      <c r="E1244" s="15" t="s">
        <v>2115</v>
      </c>
      <c r="F1244" s="15" t="s">
        <v>2124</v>
      </c>
      <c r="G1244" s="15" t="s">
        <v>2125</v>
      </c>
      <c r="H1244" s="15">
        <v>4358</v>
      </c>
      <c r="I1244" s="15">
        <v>1256.6400000000001</v>
      </c>
    </row>
    <row r="1245" spans="1:9">
      <c r="A1245" s="13">
        <v>45419</v>
      </c>
      <c r="B1245" s="91">
        <f t="shared" si="21"/>
        <v>2024</v>
      </c>
      <c r="C1245" s="15" t="s">
        <v>104</v>
      </c>
      <c r="D1245" s="15" t="s">
        <v>2153</v>
      </c>
      <c r="E1245" s="15" t="s">
        <v>2151</v>
      </c>
      <c r="F1245" s="15" t="s">
        <v>2124</v>
      </c>
      <c r="G1245" s="15" t="s">
        <v>2130</v>
      </c>
      <c r="H1245" s="15">
        <v>1137</v>
      </c>
      <c r="I1245" s="15">
        <v>307.13</v>
      </c>
    </row>
    <row r="1246" spans="1:9">
      <c r="A1246" s="13">
        <v>44596</v>
      </c>
      <c r="B1246" s="91">
        <f t="shared" si="21"/>
        <v>2022</v>
      </c>
      <c r="C1246" s="15" t="s">
        <v>107</v>
      </c>
      <c r="D1246" s="15" t="s">
        <v>2114</v>
      </c>
      <c r="E1246" s="15" t="s">
        <v>2151</v>
      </c>
      <c r="F1246" s="15" t="s">
        <v>2120</v>
      </c>
      <c r="G1246" s="15" t="s">
        <v>2121</v>
      </c>
      <c r="H1246" s="15">
        <v>1176</v>
      </c>
      <c r="I1246" s="15">
        <v>259.06</v>
      </c>
    </row>
    <row r="1247" spans="1:9">
      <c r="A1247" s="13">
        <v>45036</v>
      </c>
      <c r="B1247" s="91">
        <f t="shared" si="21"/>
        <v>2023</v>
      </c>
      <c r="C1247" s="15" t="s">
        <v>104</v>
      </c>
      <c r="D1247" s="15" t="s">
        <v>2148</v>
      </c>
      <c r="E1247" s="15" t="s">
        <v>2115</v>
      </c>
      <c r="F1247" s="15" t="s">
        <v>2120</v>
      </c>
      <c r="G1247" s="15" t="s">
        <v>2133</v>
      </c>
      <c r="H1247" s="15">
        <v>6800</v>
      </c>
      <c r="I1247" s="15">
        <v>1371.42</v>
      </c>
    </row>
    <row r="1248" spans="1:9">
      <c r="A1248" s="13">
        <v>45455</v>
      </c>
      <c r="B1248" s="91">
        <f t="shared" si="21"/>
        <v>2024</v>
      </c>
      <c r="C1248" s="15" t="s">
        <v>107</v>
      </c>
      <c r="D1248" s="15" t="s">
        <v>2118</v>
      </c>
      <c r="E1248" s="15" t="s">
        <v>2145</v>
      </c>
      <c r="F1248" s="15" t="s">
        <v>2138</v>
      </c>
      <c r="G1248" s="15" t="s">
        <v>2139</v>
      </c>
      <c r="H1248" s="15">
        <v>6215</v>
      </c>
      <c r="I1248" s="15">
        <v>1237.44</v>
      </c>
    </row>
    <row r="1249" spans="1:9">
      <c r="A1249" s="13">
        <v>45447</v>
      </c>
      <c r="B1249" s="91">
        <f t="shared" si="21"/>
        <v>2024</v>
      </c>
      <c r="C1249" s="15" t="s">
        <v>104</v>
      </c>
      <c r="D1249" s="15" t="s">
        <v>2153</v>
      </c>
      <c r="E1249" s="15" t="s">
        <v>2145</v>
      </c>
      <c r="F1249" s="15" t="s">
        <v>2116</v>
      </c>
      <c r="G1249" s="15" t="s">
        <v>2117</v>
      </c>
      <c r="H1249" s="15">
        <v>4139</v>
      </c>
      <c r="I1249" s="15">
        <v>1034.93</v>
      </c>
    </row>
    <row r="1250" spans="1:9">
      <c r="A1250" s="13">
        <v>44650</v>
      </c>
      <c r="B1250" s="91">
        <f t="shared" si="21"/>
        <v>2022</v>
      </c>
      <c r="C1250" s="15" t="s">
        <v>104</v>
      </c>
      <c r="D1250" s="15" t="s">
        <v>2142</v>
      </c>
      <c r="E1250" s="15" t="s">
        <v>2145</v>
      </c>
      <c r="F1250" s="15" t="s">
        <v>2124</v>
      </c>
      <c r="G1250" s="15" t="s">
        <v>2130</v>
      </c>
      <c r="H1250" s="15">
        <v>1193</v>
      </c>
      <c r="I1250" s="15">
        <v>266.05</v>
      </c>
    </row>
    <row r="1251" spans="1:9">
      <c r="A1251" s="13">
        <v>45533</v>
      </c>
      <c r="B1251" s="91">
        <f t="shared" si="21"/>
        <v>2024</v>
      </c>
      <c r="C1251" s="15" t="s">
        <v>104</v>
      </c>
      <c r="D1251" s="15" t="s">
        <v>2126</v>
      </c>
      <c r="E1251" s="15" t="s">
        <v>2143</v>
      </c>
      <c r="F1251" s="15" t="s">
        <v>2120</v>
      </c>
      <c r="G1251" s="15" t="s">
        <v>2132</v>
      </c>
      <c r="H1251" s="15">
        <v>5648</v>
      </c>
      <c r="I1251" s="15">
        <v>654.66999999999996</v>
      </c>
    </row>
    <row r="1252" spans="1:9">
      <c r="A1252" s="13">
        <v>45600</v>
      </c>
      <c r="B1252" s="91">
        <f t="shared" si="21"/>
        <v>2024</v>
      </c>
      <c r="C1252" s="15" t="s">
        <v>2141</v>
      </c>
      <c r="D1252" s="15" t="s">
        <v>2126</v>
      </c>
      <c r="E1252" s="15" t="s">
        <v>2115</v>
      </c>
      <c r="F1252" s="15" t="s">
        <v>2138</v>
      </c>
      <c r="G1252" s="15" t="s">
        <v>2149</v>
      </c>
      <c r="H1252" s="15">
        <v>2238</v>
      </c>
      <c r="I1252" s="15">
        <v>227.57</v>
      </c>
    </row>
    <row r="1253" spans="1:9">
      <c r="A1253" s="13">
        <v>45036</v>
      </c>
      <c r="B1253" s="91">
        <f t="shared" si="21"/>
        <v>2023</v>
      </c>
      <c r="C1253" s="15" t="s">
        <v>2141</v>
      </c>
      <c r="D1253" s="15" t="s">
        <v>2135</v>
      </c>
      <c r="E1253" s="15" t="s">
        <v>2151</v>
      </c>
      <c r="F1253" s="15" t="s">
        <v>2124</v>
      </c>
      <c r="G1253" s="15" t="s">
        <v>2140</v>
      </c>
      <c r="H1253" s="15">
        <v>5178</v>
      </c>
      <c r="I1253" s="15">
        <v>832.72</v>
      </c>
    </row>
    <row r="1254" spans="1:9">
      <c r="A1254" s="13">
        <v>45558</v>
      </c>
      <c r="B1254" s="91">
        <f t="shared" si="21"/>
        <v>2024</v>
      </c>
      <c r="C1254" s="15" t="s">
        <v>107</v>
      </c>
      <c r="D1254" s="15" t="s">
        <v>2131</v>
      </c>
      <c r="E1254" s="15" t="s">
        <v>2143</v>
      </c>
      <c r="F1254" s="15" t="s">
        <v>2138</v>
      </c>
      <c r="G1254" s="15" t="s">
        <v>2149</v>
      </c>
      <c r="H1254" s="15">
        <v>9865</v>
      </c>
      <c r="I1254" s="15">
        <v>1439.45</v>
      </c>
    </row>
    <row r="1255" spans="1:9">
      <c r="A1255" s="13">
        <v>44856</v>
      </c>
      <c r="B1255" s="91">
        <f t="shared" si="21"/>
        <v>2022</v>
      </c>
      <c r="C1255" s="15" t="s">
        <v>2141</v>
      </c>
      <c r="D1255" s="15" t="s">
        <v>2114</v>
      </c>
      <c r="E1255" s="15" t="s">
        <v>2119</v>
      </c>
      <c r="F1255" s="15" t="s">
        <v>2124</v>
      </c>
      <c r="G1255" s="15" t="s">
        <v>2140</v>
      </c>
      <c r="H1255" s="15">
        <v>8597</v>
      </c>
      <c r="I1255" s="15">
        <v>1875.86</v>
      </c>
    </row>
    <row r="1256" spans="1:9">
      <c r="A1256" s="13">
        <v>44840</v>
      </c>
      <c r="B1256" s="91">
        <f t="shared" si="21"/>
        <v>2022</v>
      </c>
      <c r="C1256" s="15" t="s">
        <v>107</v>
      </c>
      <c r="D1256" s="15" t="s">
        <v>2148</v>
      </c>
      <c r="E1256" s="15" t="s">
        <v>2119</v>
      </c>
      <c r="F1256" s="15" t="s">
        <v>2138</v>
      </c>
      <c r="G1256" s="15" t="s">
        <v>2139</v>
      </c>
      <c r="H1256" s="15">
        <v>1214</v>
      </c>
      <c r="I1256" s="15">
        <v>170.93</v>
      </c>
    </row>
    <row r="1257" spans="1:9">
      <c r="A1257" s="13">
        <v>44860</v>
      </c>
      <c r="B1257" s="91">
        <f t="shared" si="21"/>
        <v>2022</v>
      </c>
      <c r="C1257" s="15" t="s">
        <v>107</v>
      </c>
      <c r="D1257" s="15" t="s">
        <v>2128</v>
      </c>
      <c r="E1257" s="15" t="s">
        <v>2129</v>
      </c>
      <c r="F1257" s="15" t="s">
        <v>2120</v>
      </c>
      <c r="G1257" s="15" t="s">
        <v>2133</v>
      </c>
      <c r="H1257" s="15">
        <v>3711</v>
      </c>
      <c r="I1257" s="15">
        <v>997.49</v>
      </c>
    </row>
    <row r="1258" spans="1:9">
      <c r="A1258" s="13">
        <v>45221</v>
      </c>
      <c r="B1258" s="91">
        <f t="shared" si="21"/>
        <v>2023</v>
      </c>
      <c r="C1258" s="15" t="s">
        <v>107</v>
      </c>
      <c r="D1258" s="15" t="s">
        <v>2114</v>
      </c>
      <c r="E1258" s="15" t="s">
        <v>2115</v>
      </c>
      <c r="F1258" s="15" t="s">
        <v>2124</v>
      </c>
      <c r="G1258" s="15" t="s">
        <v>2130</v>
      </c>
      <c r="H1258" s="15">
        <v>9154</v>
      </c>
      <c r="I1258" s="15">
        <v>1271.6400000000001</v>
      </c>
    </row>
    <row r="1259" spans="1:9">
      <c r="A1259" s="13">
        <v>45426</v>
      </c>
      <c r="B1259" s="91">
        <f t="shared" si="21"/>
        <v>2024</v>
      </c>
      <c r="C1259" s="15" t="s">
        <v>2141</v>
      </c>
      <c r="D1259" s="15" t="s">
        <v>2153</v>
      </c>
      <c r="E1259" s="15" t="s">
        <v>2144</v>
      </c>
      <c r="F1259" s="15" t="s">
        <v>2120</v>
      </c>
      <c r="G1259" s="15" t="s">
        <v>2121</v>
      </c>
      <c r="H1259" s="15">
        <v>4676</v>
      </c>
      <c r="I1259" s="15">
        <v>1136.95</v>
      </c>
    </row>
    <row r="1260" spans="1:9">
      <c r="A1260" s="13">
        <v>44788</v>
      </c>
      <c r="B1260" s="91">
        <f t="shared" si="21"/>
        <v>2022</v>
      </c>
      <c r="C1260" s="15" t="s">
        <v>104</v>
      </c>
      <c r="D1260" s="15" t="s">
        <v>2142</v>
      </c>
      <c r="E1260" s="15" t="s">
        <v>2119</v>
      </c>
      <c r="F1260" s="15" t="s">
        <v>2116</v>
      </c>
      <c r="G1260" s="15" t="s">
        <v>2154</v>
      </c>
      <c r="H1260" s="15">
        <v>6151</v>
      </c>
      <c r="I1260" s="15">
        <v>1103.8699999999999</v>
      </c>
    </row>
    <row r="1261" spans="1:9">
      <c r="A1261" s="13">
        <v>45590</v>
      </c>
      <c r="B1261" s="91">
        <f t="shared" si="21"/>
        <v>2024</v>
      </c>
      <c r="C1261" s="15" t="s">
        <v>2141</v>
      </c>
      <c r="D1261" s="15" t="s">
        <v>2142</v>
      </c>
      <c r="E1261" s="15" t="s">
        <v>2136</v>
      </c>
      <c r="F1261" s="15" t="s">
        <v>2124</v>
      </c>
      <c r="G1261" s="15" t="s">
        <v>2140</v>
      </c>
      <c r="H1261" s="15">
        <v>1993</v>
      </c>
      <c r="I1261" s="15">
        <v>348.1</v>
      </c>
    </row>
    <row r="1262" spans="1:9">
      <c r="A1262" s="13">
        <v>45379</v>
      </c>
      <c r="B1262" s="91">
        <f t="shared" si="21"/>
        <v>2024</v>
      </c>
      <c r="C1262" s="15" t="s">
        <v>107</v>
      </c>
      <c r="D1262" s="15" t="s">
        <v>2114</v>
      </c>
      <c r="E1262" s="15" t="s">
        <v>2145</v>
      </c>
      <c r="F1262" s="15" t="s">
        <v>2116</v>
      </c>
      <c r="G1262" s="15" t="s">
        <v>2117</v>
      </c>
      <c r="H1262" s="15">
        <v>7958</v>
      </c>
      <c r="I1262" s="15">
        <v>1348.04</v>
      </c>
    </row>
    <row r="1263" spans="1:9">
      <c r="A1263" s="13">
        <v>44601</v>
      </c>
      <c r="B1263" s="91">
        <f t="shared" si="21"/>
        <v>2022</v>
      </c>
      <c r="C1263" s="15" t="s">
        <v>2113</v>
      </c>
      <c r="D1263" s="15" t="s">
        <v>2128</v>
      </c>
      <c r="E1263" s="15" t="s">
        <v>2134</v>
      </c>
      <c r="F1263" s="15" t="s">
        <v>2120</v>
      </c>
      <c r="G1263" s="15" t="s">
        <v>2121</v>
      </c>
      <c r="H1263" s="15">
        <v>6151</v>
      </c>
      <c r="I1263" s="15">
        <v>1778.75</v>
      </c>
    </row>
    <row r="1264" spans="1:9">
      <c r="A1264" s="13">
        <v>45065</v>
      </c>
      <c r="B1264" s="91">
        <f t="shared" si="21"/>
        <v>2023</v>
      </c>
      <c r="C1264" s="15" t="s">
        <v>2141</v>
      </c>
      <c r="D1264" s="15" t="s">
        <v>2118</v>
      </c>
      <c r="E1264" s="15" t="s">
        <v>2134</v>
      </c>
      <c r="F1264" s="15" t="s">
        <v>2138</v>
      </c>
      <c r="G1264" s="15" t="s">
        <v>2146</v>
      </c>
      <c r="H1264" s="15">
        <v>2228</v>
      </c>
      <c r="I1264" s="15">
        <v>312.32</v>
      </c>
    </row>
    <row r="1265" spans="1:9">
      <c r="A1265" s="13">
        <v>45506</v>
      </c>
      <c r="B1265" s="91">
        <f t="shared" si="21"/>
        <v>2024</v>
      </c>
      <c r="C1265" s="15" t="s">
        <v>107</v>
      </c>
      <c r="D1265" s="15" t="s">
        <v>2152</v>
      </c>
      <c r="E1265" s="15" t="s">
        <v>2151</v>
      </c>
      <c r="F1265" s="15" t="s">
        <v>2116</v>
      </c>
      <c r="G1265" s="15" t="s">
        <v>2127</v>
      </c>
      <c r="H1265" s="15">
        <v>9180</v>
      </c>
      <c r="I1265" s="15">
        <v>1422.7</v>
      </c>
    </row>
    <row r="1266" spans="1:9">
      <c r="A1266" s="13">
        <v>44808</v>
      </c>
      <c r="B1266" s="91">
        <f t="shared" si="21"/>
        <v>2022</v>
      </c>
      <c r="C1266" s="15" t="s">
        <v>104</v>
      </c>
      <c r="D1266" s="15" t="s">
        <v>2148</v>
      </c>
      <c r="E1266" s="15" t="s">
        <v>2143</v>
      </c>
      <c r="F1266" s="15" t="s">
        <v>2124</v>
      </c>
      <c r="G1266" s="15" t="s">
        <v>2140</v>
      </c>
      <c r="H1266" s="15">
        <v>7172</v>
      </c>
      <c r="I1266" s="15">
        <v>2138.73</v>
      </c>
    </row>
    <row r="1267" spans="1:9">
      <c r="A1267" s="13">
        <v>44863</v>
      </c>
      <c r="B1267" s="91">
        <f t="shared" si="21"/>
        <v>2022</v>
      </c>
      <c r="C1267" s="15" t="s">
        <v>2113</v>
      </c>
      <c r="D1267" s="15" t="s">
        <v>2152</v>
      </c>
      <c r="E1267" s="15" t="s">
        <v>2115</v>
      </c>
      <c r="F1267" s="15" t="s">
        <v>2116</v>
      </c>
      <c r="G1267" s="15" t="s">
        <v>2117</v>
      </c>
      <c r="H1267" s="15">
        <v>6302</v>
      </c>
      <c r="I1267" s="15">
        <v>1466.95</v>
      </c>
    </row>
    <row r="1268" spans="1:9">
      <c r="A1268" s="13">
        <v>45518</v>
      </c>
      <c r="B1268" s="91">
        <f t="shared" si="21"/>
        <v>2024</v>
      </c>
      <c r="C1268" s="15" t="s">
        <v>2113</v>
      </c>
      <c r="D1268" s="15" t="s">
        <v>2114</v>
      </c>
      <c r="E1268" s="15" t="s">
        <v>2143</v>
      </c>
      <c r="F1268" s="15" t="s">
        <v>2116</v>
      </c>
      <c r="G1268" s="15" t="s">
        <v>2127</v>
      </c>
      <c r="H1268" s="15">
        <v>8166</v>
      </c>
      <c r="I1268" s="15">
        <v>1400</v>
      </c>
    </row>
    <row r="1269" spans="1:9">
      <c r="A1269" s="13">
        <v>44842</v>
      </c>
      <c r="B1269" s="91">
        <f t="shared" si="21"/>
        <v>2022</v>
      </c>
      <c r="C1269" s="15" t="s">
        <v>2113</v>
      </c>
      <c r="D1269" s="15" t="s">
        <v>2142</v>
      </c>
      <c r="E1269" s="15" t="s">
        <v>2143</v>
      </c>
      <c r="F1269" s="15" t="s">
        <v>2138</v>
      </c>
      <c r="G1269" s="15" t="s">
        <v>2149</v>
      </c>
      <c r="H1269" s="15">
        <v>2427</v>
      </c>
      <c r="I1269" s="15">
        <v>263.74</v>
      </c>
    </row>
    <row r="1270" spans="1:9">
      <c r="A1270" s="13">
        <v>45649</v>
      </c>
      <c r="B1270" s="91">
        <f t="shared" si="21"/>
        <v>2024</v>
      </c>
      <c r="C1270" s="15" t="s">
        <v>107</v>
      </c>
      <c r="D1270" s="15" t="s">
        <v>2142</v>
      </c>
      <c r="E1270" s="15" t="s">
        <v>2136</v>
      </c>
      <c r="F1270" s="15" t="s">
        <v>2116</v>
      </c>
      <c r="G1270" s="15" t="s">
        <v>2117</v>
      </c>
      <c r="H1270" s="15">
        <v>7692</v>
      </c>
      <c r="I1270" s="15">
        <v>1113.8</v>
      </c>
    </row>
    <row r="1271" spans="1:9">
      <c r="A1271" s="13">
        <v>44993</v>
      </c>
      <c r="B1271" s="91">
        <f t="shared" si="21"/>
        <v>2023</v>
      </c>
      <c r="C1271" s="15" t="s">
        <v>104</v>
      </c>
      <c r="D1271" s="15" t="s">
        <v>2126</v>
      </c>
      <c r="E1271" s="15" t="s">
        <v>2151</v>
      </c>
      <c r="F1271" s="15" t="s">
        <v>2124</v>
      </c>
      <c r="G1271" s="15" t="s">
        <v>2130</v>
      </c>
      <c r="H1271" s="15">
        <v>8155</v>
      </c>
      <c r="I1271" s="15">
        <v>1228.3499999999999</v>
      </c>
    </row>
    <row r="1272" spans="1:9">
      <c r="A1272" s="13">
        <v>45580</v>
      </c>
      <c r="B1272" s="91">
        <f t="shared" si="21"/>
        <v>2024</v>
      </c>
      <c r="C1272" s="15" t="s">
        <v>107</v>
      </c>
      <c r="D1272" s="15" t="s">
        <v>2148</v>
      </c>
      <c r="E1272" s="15" t="s">
        <v>2129</v>
      </c>
      <c r="F1272" s="15" t="s">
        <v>2138</v>
      </c>
      <c r="G1272" s="15" t="s">
        <v>2149</v>
      </c>
      <c r="H1272" s="15">
        <v>5758</v>
      </c>
      <c r="I1272" s="15">
        <v>1354.59</v>
      </c>
    </row>
    <row r="1273" spans="1:9">
      <c r="A1273" s="13">
        <v>45633</v>
      </c>
      <c r="B1273" s="91">
        <f t="shared" si="21"/>
        <v>2024</v>
      </c>
      <c r="C1273" s="15" t="s">
        <v>107</v>
      </c>
      <c r="D1273" s="15" t="s">
        <v>2152</v>
      </c>
      <c r="E1273" s="15" t="s">
        <v>2144</v>
      </c>
      <c r="F1273" s="15" t="s">
        <v>2116</v>
      </c>
      <c r="G1273" s="15" t="s">
        <v>2117</v>
      </c>
      <c r="H1273" s="15">
        <v>8434</v>
      </c>
      <c r="I1273" s="15">
        <v>1767.17</v>
      </c>
    </row>
    <row r="1274" spans="1:9">
      <c r="A1274" s="13">
        <v>44813</v>
      </c>
      <c r="B1274" s="91">
        <f t="shared" si="21"/>
        <v>2022</v>
      </c>
      <c r="C1274" s="15" t="s">
        <v>2113</v>
      </c>
      <c r="D1274" s="15" t="s">
        <v>2126</v>
      </c>
      <c r="E1274" s="15" t="s">
        <v>2123</v>
      </c>
      <c r="F1274" s="15" t="s">
        <v>2116</v>
      </c>
      <c r="G1274" s="15" t="s">
        <v>2117</v>
      </c>
      <c r="H1274" s="15">
        <v>9222</v>
      </c>
      <c r="I1274" s="15">
        <v>2592.44</v>
      </c>
    </row>
    <row r="1275" spans="1:9">
      <c r="A1275" s="13">
        <v>45069</v>
      </c>
      <c r="B1275" s="91">
        <f t="shared" si="21"/>
        <v>2023</v>
      </c>
      <c r="C1275" s="15" t="s">
        <v>107</v>
      </c>
      <c r="D1275" s="15" t="s">
        <v>2152</v>
      </c>
      <c r="E1275" s="15" t="s">
        <v>2123</v>
      </c>
      <c r="F1275" s="15" t="s">
        <v>2116</v>
      </c>
      <c r="G1275" s="15" t="s">
        <v>2154</v>
      </c>
      <c r="H1275" s="15">
        <v>9273</v>
      </c>
      <c r="I1275" s="15">
        <v>2389.64</v>
      </c>
    </row>
    <row r="1276" spans="1:9">
      <c r="A1276" s="13">
        <v>45568</v>
      </c>
      <c r="B1276" s="91">
        <f t="shared" si="21"/>
        <v>2024</v>
      </c>
      <c r="C1276" s="15" t="s">
        <v>104</v>
      </c>
      <c r="D1276" s="15" t="s">
        <v>2142</v>
      </c>
      <c r="E1276" s="15" t="s">
        <v>2119</v>
      </c>
      <c r="F1276" s="15" t="s">
        <v>2116</v>
      </c>
      <c r="G1276" s="15" t="s">
        <v>2117</v>
      </c>
      <c r="H1276" s="15">
        <v>8453</v>
      </c>
      <c r="I1276" s="15">
        <v>1546.6</v>
      </c>
    </row>
    <row r="1277" spans="1:9">
      <c r="A1277" s="13">
        <v>44968</v>
      </c>
      <c r="B1277" s="91">
        <f t="shared" si="21"/>
        <v>2023</v>
      </c>
      <c r="C1277" s="15" t="s">
        <v>2113</v>
      </c>
      <c r="D1277" s="15" t="s">
        <v>2128</v>
      </c>
      <c r="E1277" s="15" t="s">
        <v>2129</v>
      </c>
      <c r="F1277" s="15" t="s">
        <v>2116</v>
      </c>
      <c r="G1277" s="15" t="s">
        <v>2154</v>
      </c>
      <c r="H1277" s="15">
        <v>9861</v>
      </c>
      <c r="I1277" s="15">
        <v>2534.69</v>
      </c>
    </row>
    <row r="1278" spans="1:9">
      <c r="A1278" s="13">
        <v>44954</v>
      </c>
      <c r="B1278" s="91">
        <f t="shared" si="21"/>
        <v>2023</v>
      </c>
      <c r="C1278" s="15" t="s">
        <v>107</v>
      </c>
      <c r="D1278" s="15" t="s">
        <v>2135</v>
      </c>
      <c r="E1278" s="15" t="s">
        <v>2129</v>
      </c>
      <c r="F1278" s="15" t="s">
        <v>2124</v>
      </c>
      <c r="G1278" s="15" t="s">
        <v>2125</v>
      </c>
      <c r="H1278" s="15">
        <v>9540</v>
      </c>
      <c r="I1278" s="15">
        <v>1459.69</v>
      </c>
    </row>
    <row r="1279" spans="1:9">
      <c r="A1279" s="13">
        <v>44712</v>
      </c>
      <c r="B1279" s="91">
        <f t="shared" si="21"/>
        <v>2022</v>
      </c>
      <c r="C1279" s="15" t="s">
        <v>2141</v>
      </c>
      <c r="D1279" s="15" t="s">
        <v>2148</v>
      </c>
      <c r="E1279" s="15" t="s">
        <v>2144</v>
      </c>
      <c r="F1279" s="15" t="s">
        <v>2120</v>
      </c>
      <c r="G1279" s="15" t="s">
        <v>2121</v>
      </c>
      <c r="H1279" s="15">
        <v>8144</v>
      </c>
      <c r="I1279" s="15">
        <v>2171.66</v>
      </c>
    </row>
    <row r="1280" spans="1:9">
      <c r="A1280" s="13">
        <v>45331</v>
      </c>
      <c r="B1280" s="91">
        <f t="shared" si="21"/>
        <v>2024</v>
      </c>
      <c r="C1280" s="15" t="s">
        <v>2113</v>
      </c>
      <c r="D1280" s="15" t="s">
        <v>2142</v>
      </c>
      <c r="E1280" s="15" t="s">
        <v>2144</v>
      </c>
      <c r="F1280" s="15" t="s">
        <v>2120</v>
      </c>
      <c r="G1280" s="15" t="s">
        <v>2133</v>
      </c>
      <c r="H1280" s="15">
        <v>5845</v>
      </c>
      <c r="I1280" s="15">
        <v>1627.8</v>
      </c>
    </row>
    <row r="1281" spans="1:9">
      <c r="A1281" s="13">
        <v>45095</v>
      </c>
      <c r="B1281" s="91">
        <f t="shared" si="21"/>
        <v>2023</v>
      </c>
      <c r="C1281" s="15" t="s">
        <v>107</v>
      </c>
      <c r="D1281" s="15" t="s">
        <v>2148</v>
      </c>
      <c r="E1281" s="15" t="s">
        <v>2143</v>
      </c>
      <c r="F1281" s="15" t="s">
        <v>2116</v>
      </c>
      <c r="G1281" s="15" t="s">
        <v>2154</v>
      </c>
      <c r="H1281" s="15">
        <v>4756</v>
      </c>
      <c r="I1281" s="15">
        <v>901.77</v>
      </c>
    </row>
    <row r="1282" spans="1:9">
      <c r="A1282" s="13">
        <v>45478</v>
      </c>
      <c r="B1282" s="91">
        <f t="shared" si="21"/>
        <v>2024</v>
      </c>
      <c r="C1282" s="15" t="s">
        <v>2113</v>
      </c>
      <c r="D1282" s="15" t="s">
        <v>2114</v>
      </c>
      <c r="E1282" s="15" t="s">
        <v>2119</v>
      </c>
      <c r="F1282" s="15" t="s">
        <v>2138</v>
      </c>
      <c r="G1282" s="15" t="s">
        <v>2146</v>
      </c>
      <c r="H1282" s="15">
        <v>6232</v>
      </c>
      <c r="I1282" s="15">
        <v>1517.94</v>
      </c>
    </row>
    <row r="1283" spans="1:9">
      <c r="A1283" s="13">
        <v>44962</v>
      </c>
      <c r="B1283" s="91">
        <f t="shared" ref="B1283:B1346" si="22">YEAR(A1283)</f>
        <v>2023</v>
      </c>
      <c r="C1283" s="15" t="s">
        <v>107</v>
      </c>
      <c r="D1283" s="15" t="s">
        <v>2142</v>
      </c>
      <c r="E1283" s="15" t="s">
        <v>2136</v>
      </c>
      <c r="F1283" s="15" t="s">
        <v>2120</v>
      </c>
      <c r="G1283" s="15" t="s">
        <v>2133</v>
      </c>
      <c r="H1283" s="15">
        <v>7521</v>
      </c>
      <c r="I1283" s="15">
        <v>1380.55</v>
      </c>
    </row>
    <row r="1284" spans="1:9">
      <c r="A1284" s="13">
        <v>44572</v>
      </c>
      <c r="B1284" s="91">
        <f t="shared" si="22"/>
        <v>2022</v>
      </c>
      <c r="C1284" s="15" t="s">
        <v>2113</v>
      </c>
      <c r="D1284" s="15" t="s">
        <v>2142</v>
      </c>
      <c r="E1284" s="15" t="s">
        <v>2144</v>
      </c>
      <c r="F1284" s="15" t="s">
        <v>2138</v>
      </c>
      <c r="G1284" s="15" t="s">
        <v>2149</v>
      </c>
      <c r="H1284" s="15">
        <v>7543</v>
      </c>
      <c r="I1284" s="15">
        <v>1713.86</v>
      </c>
    </row>
    <row r="1285" spans="1:9">
      <c r="A1285" s="13">
        <v>45180</v>
      </c>
      <c r="B1285" s="91">
        <f t="shared" si="22"/>
        <v>2023</v>
      </c>
      <c r="C1285" s="15" t="s">
        <v>2141</v>
      </c>
      <c r="D1285" s="15" t="s">
        <v>2152</v>
      </c>
      <c r="E1285" s="15" t="s">
        <v>2136</v>
      </c>
      <c r="F1285" s="15" t="s">
        <v>2120</v>
      </c>
      <c r="G1285" s="15" t="s">
        <v>2133</v>
      </c>
      <c r="H1285" s="15">
        <v>9832</v>
      </c>
      <c r="I1285" s="15">
        <v>1837.39</v>
      </c>
    </row>
    <row r="1286" spans="1:9">
      <c r="A1286" s="13">
        <v>44657</v>
      </c>
      <c r="B1286" s="91">
        <f t="shared" si="22"/>
        <v>2022</v>
      </c>
      <c r="C1286" s="15" t="s">
        <v>2113</v>
      </c>
      <c r="D1286" s="15" t="s">
        <v>2118</v>
      </c>
      <c r="E1286" s="15" t="s">
        <v>2136</v>
      </c>
      <c r="F1286" s="15" t="s">
        <v>2120</v>
      </c>
      <c r="G1286" s="15" t="s">
        <v>2121</v>
      </c>
      <c r="H1286" s="15">
        <v>6697</v>
      </c>
      <c r="I1286" s="15">
        <v>1900.1</v>
      </c>
    </row>
    <row r="1287" spans="1:9">
      <c r="A1287" s="13">
        <v>45461</v>
      </c>
      <c r="B1287" s="91">
        <f t="shared" si="22"/>
        <v>2024</v>
      </c>
      <c r="C1287" s="15" t="s">
        <v>107</v>
      </c>
      <c r="D1287" s="15" t="s">
        <v>2148</v>
      </c>
      <c r="E1287" s="15" t="s">
        <v>2145</v>
      </c>
      <c r="F1287" s="15" t="s">
        <v>2120</v>
      </c>
      <c r="G1287" s="15" t="s">
        <v>2132</v>
      </c>
      <c r="H1287" s="15">
        <v>1187</v>
      </c>
      <c r="I1287" s="15">
        <v>349.41</v>
      </c>
    </row>
    <row r="1288" spans="1:9">
      <c r="A1288" s="13">
        <v>44826</v>
      </c>
      <c r="B1288" s="91">
        <f t="shared" si="22"/>
        <v>2022</v>
      </c>
      <c r="C1288" s="15" t="s">
        <v>2113</v>
      </c>
      <c r="D1288" s="15" t="s">
        <v>2128</v>
      </c>
      <c r="E1288" s="15" t="s">
        <v>2115</v>
      </c>
      <c r="F1288" s="15" t="s">
        <v>2138</v>
      </c>
      <c r="G1288" s="15" t="s">
        <v>2149</v>
      </c>
      <c r="H1288" s="15">
        <v>9208</v>
      </c>
      <c r="I1288" s="15">
        <v>2508.77</v>
      </c>
    </row>
    <row r="1289" spans="1:9">
      <c r="A1289" s="13">
        <v>44682</v>
      </c>
      <c r="B1289" s="91">
        <f t="shared" si="22"/>
        <v>2022</v>
      </c>
      <c r="C1289" s="15" t="s">
        <v>104</v>
      </c>
      <c r="D1289" s="15" t="s">
        <v>2131</v>
      </c>
      <c r="E1289" s="15" t="s">
        <v>2115</v>
      </c>
      <c r="F1289" s="15" t="s">
        <v>2120</v>
      </c>
      <c r="G1289" s="15" t="s">
        <v>2121</v>
      </c>
      <c r="H1289" s="15">
        <v>2104</v>
      </c>
      <c r="I1289" s="15">
        <v>576.38</v>
      </c>
    </row>
    <row r="1290" spans="1:9">
      <c r="A1290" s="13">
        <v>45172</v>
      </c>
      <c r="B1290" s="91">
        <f t="shared" si="22"/>
        <v>2023</v>
      </c>
      <c r="C1290" s="15" t="s">
        <v>107</v>
      </c>
      <c r="D1290" s="15" t="s">
        <v>2152</v>
      </c>
      <c r="E1290" s="15" t="s">
        <v>2123</v>
      </c>
      <c r="F1290" s="15" t="s">
        <v>2116</v>
      </c>
      <c r="G1290" s="15" t="s">
        <v>2117</v>
      </c>
      <c r="H1290" s="15">
        <v>5463</v>
      </c>
      <c r="I1290" s="15">
        <v>1603.47</v>
      </c>
    </row>
    <row r="1291" spans="1:9">
      <c r="A1291" s="13">
        <v>45595</v>
      </c>
      <c r="B1291" s="91">
        <f t="shared" si="22"/>
        <v>2024</v>
      </c>
      <c r="C1291" s="15" t="s">
        <v>2141</v>
      </c>
      <c r="D1291" s="15" t="s">
        <v>2131</v>
      </c>
      <c r="E1291" s="15" t="s">
        <v>2143</v>
      </c>
      <c r="F1291" s="15" t="s">
        <v>2124</v>
      </c>
      <c r="G1291" s="15" t="s">
        <v>2130</v>
      </c>
      <c r="H1291" s="15">
        <v>4535</v>
      </c>
      <c r="I1291" s="15">
        <v>752.15</v>
      </c>
    </row>
    <row r="1292" spans="1:9">
      <c r="A1292" s="13">
        <v>44943</v>
      </c>
      <c r="B1292" s="91">
        <f t="shared" si="22"/>
        <v>2023</v>
      </c>
      <c r="C1292" s="15" t="s">
        <v>2113</v>
      </c>
      <c r="D1292" s="15" t="s">
        <v>2142</v>
      </c>
      <c r="E1292" s="15" t="s">
        <v>2144</v>
      </c>
      <c r="F1292" s="15" t="s">
        <v>2116</v>
      </c>
      <c r="G1292" s="15" t="s">
        <v>2154</v>
      </c>
      <c r="H1292" s="15">
        <v>3435</v>
      </c>
      <c r="I1292" s="15">
        <v>566.4</v>
      </c>
    </row>
    <row r="1293" spans="1:9">
      <c r="A1293" s="13">
        <v>45079</v>
      </c>
      <c r="B1293" s="91">
        <f t="shared" si="22"/>
        <v>2023</v>
      </c>
      <c r="C1293" s="15" t="s">
        <v>2141</v>
      </c>
      <c r="D1293" s="15" t="s">
        <v>2128</v>
      </c>
      <c r="E1293" s="15" t="s">
        <v>2145</v>
      </c>
      <c r="F1293" s="15" t="s">
        <v>2138</v>
      </c>
      <c r="G1293" s="15" t="s">
        <v>2146</v>
      </c>
      <c r="H1293" s="15">
        <v>8356</v>
      </c>
      <c r="I1293" s="15">
        <v>2229.33</v>
      </c>
    </row>
    <row r="1294" spans="1:9">
      <c r="A1294" s="13">
        <v>44567</v>
      </c>
      <c r="B1294" s="91">
        <f t="shared" si="22"/>
        <v>2022</v>
      </c>
      <c r="C1294" s="15" t="s">
        <v>2141</v>
      </c>
      <c r="D1294" s="15" t="s">
        <v>2152</v>
      </c>
      <c r="E1294" s="15" t="s">
        <v>2115</v>
      </c>
      <c r="F1294" s="15" t="s">
        <v>2124</v>
      </c>
      <c r="G1294" s="15" t="s">
        <v>2125</v>
      </c>
      <c r="H1294" s="15">
        <v>4047</v>
      </c>
      <c r="I1294" s="15">
        <v>1143.95</v>
      </c>
    </row>
    <row r="1295" spans="1:9">
      <c r="A1295" s="13">
        <v>44941</v>
      </c>
      <c r="B1295" s="91">
        <f t="shared" si="22"/>
        <v>2023</v>
      </c>
      <c r="C1295" s="15" t="s">
        <v>104</v>
      </c>
      <c r="D1295" s="15" t="s">
        <v>2135</v>
      </c>
      <c r="E1295" s="15" t="s">
        <v>2115</v>
      </c>
      <c r="F1295" s="15" t="s">
        <v>2124</v>
      </c>
      <c r="G1295" s="15" t="s">
        <v>2130</v>
      </c>
      <c r="H1295" s="15">
        <v>4336</v>
      </c>
      <c r="I1295" s="15">
        <v>828.72</v>
      </c>
    </row>
    <row r="1296" spans="1:9">
      <c r="A1296" s="13">
        <v>45044</v>
      </c>
      <c r="B1296" s="91">
        <f t="shared" si="22"/>
        <v>2023</v>
      </c>
      <c r="C1296" s="15" t="s">
        <v>104</v>
      </c>
      <c r="D1296" s="15" t="s">
        <v>2142</v>
      </c>
      <c r="E1296" s="15" t="s">
        <v>2129</v>
      </c>
      <c r="F1296" s="15" t="s">
        <v>2120</v>
      </c>
      <c r="G1296" s="15" t="s">
        <v>2132</v>
      </c>
      <c r="H1296" s="15">
        <v>5450</v>
      </c>
      <c r="I1296" s="15">
        <v>1511.76</v>
      </c>
    </row>
    <row r="1297" spans="1:9">
      <c r="A1297" s="13">
        <v>45408</v>
      </c>
      <c r="B1297" s="91">
        <f t="shared" si="22"/>
        <v>2024</v>
      </c>
      <c r="C1297" s="15" t="s">
        <v>107</v>
      </c>
      <c r="D1297" s="15" t="s">
        <v>2128</v>
      </c>
      <c r="E1297" s="15" t="s">
        <v>2145</v>
      </c>
      <c r="F1297" s="15" t="s">
        <v>2116</v>
      </c>
      <c r="G1297" s="15" t="s">
        <v>2154</v>
      </c>
      <c r="H1297" s="15">
        <v>2249</v>
      </c>
      <c r="I1297" s="15">
        <v>229.86</v>
      </c>
    </row>
    <row r="1298" spans="1:9">
      <c r="A1298" s="13">
        <v>45551</v>
      </c>
      <c r="B1298" s="91">
        <f t="shared" si="22"/>
        <v>2024</v>
      </c>
      <c r="C1298" s="15" t="s">
        <v>104</v>
      </c>
      <c r="D1298" s="15" t="s">
        <v>2114</v>
      </c>
      <c r="E1298" s="15" t="s">
        <v>2151</v>
      </c>
      <c r="F1298" s="15" t="s">
        <v>2120</v>
      </c>
      <c r="G1298" s="15" t="s">
        <v>2132</v>
      </c>
      <c r="H1298" s="15">
        <v>9621</v>
      </c>
      <c r="I1298" s="15">
        <v>1282.26</v>
      </c>
    </row>
    <row r="1299" spans="1:9">
      <c r="A1299" s="13">
        <v>45645</v>
      </c>
      <c r="B1299" s="91">
        <f t="shared" si="22"/>
        <v>2024</v>
      </c>
      <c r="C1299" s="15" t="s">
        <v>2141</v>
      </c>
      <c r="D1299" s="15" t="s">
        <v>2126</v>
      </c>
      <c r="E1299" s="15" t="s">
        <v>2119</v>
      </c>
      <c r="F1299" s="15" t="s">
        <v>2116</v>
      </c>
      <c r="G1299" s="15" t="s">
        <v>2154</v>
      </c>
      <c r="H1299" s="15">
        <v>9787</v>
      </c>
      <c r="I1299" s="15">
        <v>1657.51</v>
      </c>
    </row>
    <row r="1300" spans="1:9">
      <c r="A1300" s="13">
        <v>45131</v>
      </c>
      <c r="B1300" s="91">
        <f t="shared" si="22"/>
        <v>2023</v>
      </c>
      <c r="C1300" s="15" t="s">
        <v>104</v>
      </c>
      <c r="D1300" s="15" t="s">
        <v>2126</v>
      </c>
      <c r="E1300" s="15" t="s">
        <v>2129</v>
      </c>
      <c r="F1300" s="15" t="s">
        <v>2116</v>
      </c>
      <c r="G1300" s="15" t="s">
        <v>2117</v>
      </c>
      <c r="H1300" s="15">
        <v>3791</v>
      </c>
      <c r="I1300" s="15">
        <v>884.5</v>
      </c>
    </row>
    <row r="1301" spans="1:9">
      <c r="A1301" s="13">
        <v>44774</v>
      </c>
      <c r="B1301" s="91">
        <f t="shared" si="22"/>
        <v>2022</v>
      </c>
      <c r="C1301" s="15" t="s">
        <v>2113</v>
      </c>
      <c r="D1301" s="15" t="s">
        <v>2128</v>
      </c>
      <c r="E1301" s="15" t="s">
        <v>2129</v>
      </c>
      <c r="F1301" s="15" t="s">
        <v>2124</v>
      </c>
      <c r="G1301" s="15" t="s">
        <v>2130</v>
      </c>
      <c r="H1301" s="15">
        <v>1288</v>
      </c>
      <c r="I1301" s="15">
        <v>238.02</v>
      </c>
    </row>
    <row r="1302" spans="1:9">
      <c r="A1302" s="13">
        <v>45412</v>
      </c>
      <c r="B1302" s="91">
        <f t="shared" si="22"/>
        <v>2024</v>
      </c>
      <c r="C1302" s="15" t="s">
        <v>104</v>
      </c>
      <c r="D1302" s="15" t="s">
        <v>2148</v>
      </c>
      <c r="E1302" s="15" t="s">
        <v>2145</v>
      </c>
      <c r="F1302" s="15" t="s">
        <v>2120</v>
      </c>
      <c r="G1302" s="15" t="s">
        <v>2121</v>
      </c>
      <c r="H1302" s="15">
        <v>2061</v>
      </c>
      <c r="I1302" s="15">
        <v>367.17</v>
      </c>
    </row>
    <row r="1303" spans="1:9">
      <c r="A1303" s="13">
        <v>45363</v>
      </c>
      <c r="B1303" s="91">
        <f t="shared" si="22"/>
        <v>2024</v>
      </c>
      <c r="C1303" s="15" t="s">
        <v>107</v>
      </c>
      <c r="D1303" s="15" t="s">
        <v>2118</v>
      </c>
      <c r="E1303" s="15" t="s">
        <v>2151</v>
      </c>
      <c r="F1303" s="15" t="s">
        <v>2124</v>
      </c>
      <c r="G1303" s="15" t="s">
        <v>2140</v>
      </c>
      <c r="H1303" s="15">
        <v>4626</v>
      </c>
      <c r="I1303" s="15">
        <v>1159.03</v>
      </c>
    </row>
    <row r="1304" spans="1:9">
      <c r="A1304" s="13">
        <v>45439</v>
      </c>
      <c r="B1304" s="91">
        <f t="shared" si="22"/>
        <v>2024</v>
      </c>
      <c r="C1304" s="15" t="s">
        <v>107</v>
      </c>
      <c r="D1304" s="15" t="s">
        <v>2131</v>
      </c>
      <c r="E1304" s="15" t="s">
        <v>2134</v>
      </c>
      <c r="F1304" s="15" t="s">
        <v>2120</v>
      </c>
      <c r="G1304" s="15" t="s">
        <v>2121</v>
      </c>
      <c r="H1304" s="15">
        <v>7394</v>
      </c>
      <c r="I1304" s="15">
        <v>1554.6</v>
      </c>
    </row>
    <row r="1305" spans="1:9">
      <c r="A1305" s="13">
        <v>44790</v>
      </c>
      <c r="B1305" s="91">
        <f t="shared" si="22"/>
        <v>2022</v>
      </c>
      <c r="C1305" s="15" t="s">
        <v>104</v>
      </c>
      <c r="D1305" s="15" t="s">
        <v>2152</v>
      </c>
      <c r="E1305" s="15" t="s">
        <v>2136</v>
      </c>
      <c r="F1305" s="15" t="s">
        <v>2124</v>
      </c>
      <c r="G1305" s="15" t="s">
        <v>2130</v>
      </c>
      <c r="H1305" s="15">
        <v>8940</v>
      </c>
      <c r="I1305" s="15">
        <v>1268.32</v>
      </c>
    </row>
    <row r="1306" spans="1:9">
      <c r="A1306" s="13">
        <v>44632</v>
      </c>
      <c r="B1306" s="91">
        <f t="shared" si="22"/>
        <v>2022</v>
      </c>
      <c r="C1306" s="15" t="s">
        <v>107</v>
      </c>
      <c r="D1306" s="15" t="s">
        <v>2128</v>
      </c>
      <c r="E1306" s="15" t="s">
        <v>2151</v>
      </c>
      <c r="F1306" s="15" t="s">
        <v>2138</v>
      </c>
      <c r="G1306" s="15" t="s">
        <v>2149</v>
      </c>
      <c r="H1306" s="15">
        <v>2506</v>
      </c>
      <c r="I1306" s="15">
        <v>488.8</v>
      </c>
    </row>
    <row r="1307" spans="1:9">
      <c r="A1307" s="13">
        <v>44845</v>
      </c>
      <c r="B1307" s="91">
        <f t="shared" si="22"/>
        <v>2022</v>
      </c>
      <c r="C1307" s="15" t="s">
        <v>107</v>
      </c>
      <c r="D1307" s="15" t="s">
        <v>2118</v>
      </c>
      <c r="E1307" s="15" t="s">
        <v>2144</v>
      </c>
      <c r="F1307" s="15" t="s">
        <v>2116</v>
      </c>
      <c r="G1307" s="15" t="s">
        <v>2117</v>
      </c>
      <c r="H1307" s="15">
        <v>6302</v>
      </c>
      <c r="I1307" s="15">
        <v>1619.84</v>
      </c>
    </row>
    <row r="1308" spans="1:9">
      <c r="A1308" s="13">
        <v>45532</v>
      </c>
      <c r="B1308" s="91">
        <f t="shared" si="22"/>
        <v>2024</v>
      </c>
      <c r="C1308" s="15" t="s">
        <v>2141</v>
      </c>
      <c r="D1308" s="15" t="s">
        <v>2118</v>
      </c>
      <c r="E1308" s="15" t="s">
        <v>2134</v>
      </c>
      <c r="F1308" s="15" t="s">
        <v>2124</v>
      </c>
      <c r="G1308" s="15" t="s">
        <v>2130</v>
      </c>
      <c r="H1308" s="15">
        <v>9855</v>
      </c>
      <c r="I1308" s="15">
        <v>2014.19</v>
      </c>
    </row>
    <row r="1309" spans="1:9">
      <c r="A1309" s="13">
        <v>44685</v>
      </c>
      <c r="B1309" s="91">
        <f t="shared" si="22"/>
        <v>2022</v>
      </c>
      <c r="C1309" s="15" t="s">
        <v>2141</v>
      </c>
      <c r="D1309" s="15" t="s">
        <v>2153</v>
      </c>
      <c r="E1309" s="15" t="s">
        <v>2119</v>
      </c>
      <c r="F1309" s="15" t="s">
        <v>2138</v>
      </c>
      <c r="G1309" s="15" t="s">
        <v>2146</v>
      </c>
      <c r="H1309" s="15">
        <v>6151</v>
      </c>
      <c r="I1309" s="15">
        <v>1808.36</v>
      </c>
    </row>
    <row r="1310" spans="1:9">
      <c r="A1310" s="13">
        <v>44658</v>
      </c>
      <c r="B1310" s="91">
        <f t="shared" si="22"/>
        <v>2022</v>
      </c>
      <c r="C1310" s="15" t="s">
        <v>107</v>
      </c>
      <c r="D1310" s="15" t="s">
        <v>2131</v>
      </c>
      <c r="E1310" s="15" t="s">
        <v>2123</v>
      </c>
      <c r="F1310" s="15" t="s">
        <v>2116</v>
      </c>
      <c r="G1310" s="15" t="s">
        <v>2154</v>
      </c>
      <c r="H1310" s="15">
        <v>7397</v>
      </c>
      <c r="I1310" s="15">
        <v>1242.46</v>
      </c>
    </row>
    <row r="1311" spans="1:9">
      <c r="A1311" s="13">
        <v>44748</v>
      </c>
      <c r="B1311" s="91">
        <f t="shared" si="22"/>
        <v>2022</v>
      </c>
      <c r="C1311" s="15" t="s">
        <v>107</v>
      </c>
      <c r="D1311" s="15" t="s">
        <v>2126</v>
      </c>
      <c r="E1311" s="15" t="s">
        <v>2136</v>
      </c>
      <c r="F1311" s="15" t="s">
        <v>2124</v>
      </c>
      <c r="G1311" s="15" t="s">
        <v>2130</v>
      </c>
      <c r="H1311" s="15">
        <v>8815</v>
      </c>
      <c r="I1311" s="15">
        <v>2419.61</v>
      </c>
    </row>
    <row r="1312" spans="1:9">
      <c r="A1312" s="13">
        <v>44686</v>
      </c>
      <c r="B1312" s="91">
        <f t="shared" si="22"/>
        <v>2022</v>
      </c>
      <c r="C1312" s="15" t="s">
        <v>104</v>
      </c>
      <c r="D1312" s="15" t="s">
        <v>2135</v>
      </c>
      <c r="E1312" s="15" t="s">
        <v>2136</v>
      </c>
      <c r="F1312" s="15" t="s">
        <v>2138</v>
      </c>
      <c r="G1312" s="15" t="s">
        <v>2139</v>
      </c>
      <c r="H1312" s="15">
        <v>6349</v>
      </c>
      <c r="I1312" s="15">
        <v>1030.93</v>
      </c>
    </row>
    <row r="1313" spans="1:9">
      <c r="A1313" s="13">
        <v>44568</v>
      </c>
      <c r="B1313" s="91">
        <f t="shared" si="22"/>
        <v>2022</v>
      </c>
      <c r="C1313" s="15" t="s">
        <v>2113</v>
      </c>
      <c r="D1313" s="15" t="s">
        <v>2153</v>
      </c>
      <c r="E1313" s="15" t="s">
        <v>2143</v>
      </c>
      <c r="F1313" s="15" t="s">
        <v>2138</v>
      </c>
      <c r="G1313" s="15" t="s">
        <v>2149</v>
      </c>
      <c r="H1313" s="15">
        <v>9438</v>
      </c>
      <c r="I1313" s="15">
        <v>1629.85</v>
      </c>
    </row>
    <row r="1314" spans="1:9">
      <c r="A1314" s="13">
        <v>44959</v>
      </c>
      <c r="B1314" s="91">
        <f t="shared" si="22"/>
        <v>2023</v>
      </c>
      <c r="C1314" s="15" t="s">
        <v>104</v>
      </c>
      <c r="D1314" s="15" t="s">
        <v>2153</v>
      </c>
      <c r="E1314" s="15" t="s">
        <v>2136</v>
      </c>
      <c r="F1314" s="15" t="s">
        <v>2124</v>
      </c>
      <c r="G1314" s="15" t="s">
        <v>2140</v>
      </c>
      <c r="H1314" s="15">
        <v>9281</v>
      </c>
      <c r="I1314" s="15">
        <v>2189.63</v>
      </c>
    </row>
    <row r="1315" spans="1:9">
      <c r="A1315" s="13">
        <v>44804</v>
      </c>
      <c r="B1315" s="91">
        <f t="shared" si="22"/>
        <v>2022</v>
      </c>
      <c r="C1315" s="15" t="s">
        <v>2141</v>
      </c>
      <c r="D1315" s="15" t="s">
        <v>2142</v>
      </c>
      <c r="E1315" s="15" t="s">
        <v>2143</v>
      </c>
      <c r="F1315" s="15" t="s">
        <v>2116</v>
      </c>
      <c r="G1315" s="15" t="s">
        <v>2154</v>
      </c>
      <c r="H1315" s="15">
        <v>4426</v>
      </c>
      <c r="I1315" s="15">
        <v>1001.8</v>
      </c>
    </row>
    <row r="1316" spans="1:9">
      <c r="A1316" s="13">
        <v>45516</v>
      </c>
      <c r="B1316" s="91">
        <f t="shared" si="22"/>
        <v>2024</v>
      </c>
      <c r="C1316" s="15" t="s">
        <v>107</v>
      </c>
      <c r="D1316" s="15" t="s">
        <v>2135</v>
      </c>
      <c r="E1316" s="15" t="s">
        <v>2144</v>
      </c>
      <c r="F1316" s="15" t="s">
        <v>2116</v>
      </c>
      <c r="G1316" s="15" t="s">
        <v>2117</v>
      </c>
      <c r="H1316" s="15">
        <v>8765</v>
      </c>
      <c r="I1316" s="15">
        <v>1891.28</v>
      </c>
    </row>
    <row r="1317" spans="1:9">
      <c r="A1317" s="13">
        <v>45605</v>
      </c>
      <c r="B1317" s="91">
        <f t="shared" si="22"/>
        <v>2024</v>
      </c>
      <c r="C1317" s="15" t="s">
        <v>107</v>
      </c>
      <c r="D1317" s="15" t="s">
        <v>2148</v>
      </c>
      <c r="E1317" s="15" t="s">
        <v>2129</v>
      </c>
      <c r="F1317" s="15" t="s">
        <v>2116</v>
      </c>
      <c r="G1317" s="15" t="s">
        <v>2117</v>
      </c>
      <c r="H1317" s="15">
        <v>3386</v>
      </c>
      <c r="I1317" s="15">
        <v>682.77</v>
      </c>
    </row>
    <row r="1318" spans="1:9">
      <c r="A1318" s="13">
        <v>44916</v>
      </c>
      <c r="B1318" s="91">
        <f t="shared" si="22"/>
        <v>2022</v>
      </c>
      <c r="C1318" s="15" t="s">
        <v>104</v>
      </c>
      <c r="D1318" s="15" t="s">
        <v>2114</v>
      </c>
      <c r="E1318" s="15" t="s">
        <v>2129</v>
      </c>
      <c r="F1318" s="15" t="s">
        <v>2124</v>
      </c>
      <c r="G1318" s="15" t="s">
        <v>2130</v>
      </c>
      <c r="H1318" s="15">
        <v>6381</v>
      </c>
      <c r="I1318" s="15">
        <v>1480.06</v>
      </c>
    </row>
    <row r="1319" spans="1:9">
      <c r="A1319" s="13">
        <v>45226</v>
      </c>
      <c r="B1319" s="91">
        <f t="shared" si="22"/>
        <v>2023</v>
      </c>
      <c r="C1319" s="15" t="s">
        <v>104</v>
      </c>
      <c r="D1319" s="15" t="s">
        <v>2152</v>
      </c>
      <c r="E1319" s="15" t="s">
        <v>2123</v>
      </c>
      <c r="F1319" s="15" t="s">
        <v>2124</v>
      </c>
      <c r="G1319" s="15" t="s">
        <v>2125</v>
      </c>
      <c r="H1319" s="15">
        <v>7768</v>
      </c>
      <c r="I1319" s="15">
        <v>2025.37</v>
      </c>
    </row>
    <row r="1320" spans="1:9">
      <c r="A1320" s="13">
        <v>45267</v>
      </c>
      <c r="B1320" s="91">
        <f t="shared" si="22"/>
        <v>2023</v>
      </c>
      <c r="C1320" s="15" t="s">
        <v>107</v>
      </c>
      <c r="D1320" s="15" t="s">
        <v>2153</v>
      </c>
      <c r="E1320" s="15" t="s">
        <v>2129</v>
      </c>
      <c r="F1320" s="15" t="s">
        <v>2120</v>
      </c>
      <c r="G1320" s="15" t="s">
        <v>2121</v>
      </c>
      <c r="H1320" s="15">
        <v>4591</v>
      </c>
      <c r="I1320" s="15">
        <v>484.69</v>
      </c>
    </row>
    <row r="1321" spans="1:9">
      <c r="A1321" s="13">
        <v>45032</v>
      </c>
      <c r="B1321" s="91">
        <f t="shared" si="22"/>
        <v>2023</v>
      </c>
      <c r="C1321" s="15" t="s">
        <v>107</v>
      </c>
      <c r="D1321" s="15" t="s">
        <v>2152</v>
      </c>
      <c r="E1321" s="15" t="s">
        <v>2144</v>
      </c>
      <c r="F1321" s="15" t="s">
        <v>2116</v>
      </c>
      <c r="G1321" s="15" t="s">
        <v>2117</v>
      </c>
      <c r="H1321" s="15">
        <v>2172</v>
      </c>
      <c r="I1321" s="15">
        <v>441.63</v>
      </c>
    </row>
    <row r="1322" spans="1:9">
      <c r="A1322" s="13">
        <v>45177</v>
      </c>
      <c r="B1322" s="91">
        <f t="shared" si="22"/>
        <v>2023</v>
      </c>
      <c r="C1322" s="15" t="s">
        <v>2113</v>
      </c>
      <c r="D1322" s="15" t="s">
        <v>2153</v>
      </c>
      <c r="E1322" s="15" t="s">
        <v>2143</v>
      </c>
      <c r="F1322" s="15" t="s">
        <v>2124</v>
      </c>
      <c r="G1322" s="15" t="s">
        <v>2130</v>
      </c>
      <c r="H1322" s="15">
        <v>5471</v>
      </c>
      <c r="I1322" s="15">
        <v>1298.8399999999999</v>
      </c>
    </row>
    <row r="1323" spans="1:9">
      <c r="A1323" s="13">
        <v>45238</v>
      </c>
      <c r="B1323" s="91">
        <f t="shared" si="22"/>
        <v>2023</v>
      </c>
      <c r="C1323" s="15" t="s">
        <v>2113</v>
      </c>
      <c r="D1323" s="15" t="s">
        <v>2148</v>
      </c>
      <c r="E1323" s="15" t="s">
        <v>2151</v>
      </c>
      <c r="F1323" s="15" t="s">
        <v>2138</v>
      </c>
      <c r="G1323" s="15" t="s">
        <v>2146</v>
      </c>
      <c r="H1323" s="15">
        <v>8562</v>
      </c>
      <c r="I1323" s="15">
        <v>2001.87</v>
      </c>
    </row>
    <row r="1324" spans="1:9">
      <c r="A1324" s="13">
        <v>45346</v>
      </c>
      <c r="B1324" s="91">
        <f t="shared" si="22"/>
        <v>2024</v>
      </c>
      <c r="C1324" s="15" t="s">
        <v>2113</v>
      </c>
      <c r="D1324" s="15" t="s">
        <v>2152</v>
      </c>
      <c r="E1324" s="15" t="s">
        <v>2151</v>
      </c>
      <c r="F1324" s="15" t="s">
        <v>2124</v>
      </c>
      <c r="G1324" s="15" t="s">
        <v>2125</v>
      </c>
      <c r="H1324" s="15">
        <v>4198</v>
      </c>
      <c r="I1324" s="15">
        <v>1250.07</v>
      </c>
    </row>
    <row r="1325" spans="1:9">
      <c r="A1325" s="13">
        <v>44855</v>
      </c>
      <c r="B1325" s="91">
        <f t="shared" si="22"/>
        <v>2022</v>
      </c>
      <c r="C1325" s="15" t="s">
        <v>2113</v>
      </c>
      <c r="D1325" s="15" t="s">
        <v>2131</v>
      </c>
      <c r="E1325" s="15" t="s">
        <v>2123</v>
      </c>
      <c r="F1325" s="15" t="s">
        <v>2120</v>
      </c>
      <c r="G1325" s="15" t="s">
        <v>2132</v>
      </c>
      <c r="H1325" s="15">
        <v>3318</v>
      </c>
      <c r="I1325" s="15">
        <v>976.56</v>
      </c>
    </row>
    <row r="1326" spans="1:9">
      <c r="A1326" s="13">
        <v>44940</v>
      </c>
      <c r="B1326" s="91">
        <f t="shared" si="22"/>
        <v>2023</v>
      </c>
      <c r="C1326" s="15" t="s">
        <v>2113</v>
      </c>
      <c r="D1326" s="15" t="s">
        <v>2153</v>
      </c>
      <c r="E1326" s="15" t="s">
        <v>2143</v>
      </c>
      <c r="F1326" s="15" t="s">
        <v>2120</v>
      </c>
      <c r="G1326" s="15" t="s">
        <v>2133</v>
      </c>
      <c r="H1326" s="15">
        <v>1055</v>
      </c>
      <c r="I1326" s="15">
        <v>205.86</v>
      </c>
    </row>
    <row r="1327" spans="1:9">
      <c r="A1327" s="13">
        <v>45568</v>
      </c>
      <c r="B1327" s="91">
        <f t="shared" si="22"/>
        <v>2024</v>
      </c>
      <c r="C1327" s="15" t="s">
        <v>2113</v>
      </c>
      <c r="D1327" s="15" t="s">
        <v>2118</v>
      </c>
      <c r="E1327" s="15" t="s">
        <v>2143</v>
      </c>
      <c r="F1327" s="15" t="s">
        <v>2138</v>
      </c>
      <c r="G1327" s="15" t="s">
        <v>2139</v>
      </c>
      <c r="H1327" s="15">
        <v>1914</v>
      </c>
      <c r="I1327" s="15">
        <v>346.87</v>
      </c>
    </row>
    <row r="1328" spans="1:9">
      <c r="A1328" s="13">
        <v>45302</v>
      </c>
      <c r="B1328" s="91">
        <f t="shared" si="22"/>
        <v>2024</v>
      </c>
      <c r="C1328" s="15" t="s">
        <v>2113</v>
      </c>
      <c r="D1328" s="15" t="s">
        <v>2148</v>
      </c>
      <c r="E1328" s="15" t="s">
        <v>2129</v>
      </c>
      <c r="F1328" s="15" t="s">
        <v>2116</v>
      </c>
      <c r="G1328" s="15" t="s">
        <v>2154</v>
      </c>
      <c r="H1328" s="15">
        <v>8507</v>
      </c>
      <c r="I1328" s="15">
        <v>1429.2</v>
      </c>
    </row>
    <row r="1329" spans="1:9">
      <c r="A1329" s="13">
        <v>45129</v>
      </c>
      <c r="B1329" s="91">
        <f t="shared" si="22"/>
        <v>2023</v>
      </c>
      <c r="C1329" s="15" t="s">
        <v>107</v>
      </c>
      <c r="D1329" s="15" t="s">
        <v>2142</v>
      </c>
      <c r="E1329" s="15" t="s">
        <v>2144</v>
      </c>
      <c r="F1329" s="15" t="s">
        <v>2124</v>
      </c>
      <c r="G1329" s="15" t="s">
        <v>2125</v>
      </c>
      <c r="H1329" s="15">
        <v>8183</v>
      </c>
      <c r="I1329" s="15">
        <v>1936.24</v>
      </c>
    </row>
    <row r="1330" spans="1:9">
      <c r="A1330" s="13">
        <v>45159</v>
      </c>
      <c r="B1330" s="91">
        <f t="shared" si="22"/>
        <v>2023</v>
      </c>
      <c r="C1330" s="15" t="s">
        <v>104</v>
      </c>
      <c r="D1330" s="15" t="s">
        <v>2126</v>
      </c>
      <c r="E1330" s="15" t="s">
        <v>2136</v>
      </c>
      <c r="F1330" s="15" t="s">
        <v>2138</v>
      </c>
      <c r="G1330" s="15" t="s">
        <v>2139</v>
      </c>
      <c r="H1330" s="15">
        <v>4830</v>
      </c>
      <c r="I1330" s="15">
        <v>815.56</v>
      </c>
    </row>
    <row r="1331" spans="1:9">
      <c r="A1331" s="13">
        <v>45488</v>
      </c>
      <c r="B1331" s="91">
        <f t="shared" si="22"/>
        <v>2024</v>
      </c>
      <c r="C1331" s="15" t="s">
        <v>2141</v>
      </c>
      <c r="D1331" s="15" t="s">
        <v>2114</v>
      </c>
      <c r="E1331" s="15" t="s">
        <v>2145</v>
      </c>
      <c r="F1331" s="15" t="s">
        <v>2120</v>
      </c>
      <c r="G1331" s="15" t="s">
        <v>2121</v>
      </c>
      <c r="H1331" s="15">
        <v>9930</v>
      </c>
      <c r="I1331" s="15">
        <v>2816.7</v>
      </c>
    </row>
    <row r="1332" spans="1:9">
      <c r="A1332" s="13">
        <v>45524</v>
      </c>
      <c r="B1332" s="91">
        <f t="shared" si="22"/>
        <v>2024</v>
      </c>
      <c r="C1332" s="15" t="s">
        <v>2141</v>
      </c>
      <c r="D1332" s="15" t="s">
        <v>2142</v>
      </c>
      <c r="E1332" s="15" t="s">
        <v>2145</v>
      </c>
      <c r="F1332" s="15" t="s">
        <v>2120</v>
      </c>
      <c r="G1332" s="15" t="s">
        <v>2133</v>
      </c>
      <c r="H1332" s="15">
        <v>8007</v>
      </c>
      <c r="I1332" s="15">
        <v>1620.49</v>
      </c>
    </row>
    <row r="1333" spans="1:9">
      <c r="A1333" s="13">
        <v>44629</v>
      </c>
      <c r="B1333" s="91">
        <f t="shared" si="22"/>
        <v>2022</v>
      </c>
      <c r="C1333" s="15" t="s">
        <v>104</v>
      </c>
      <c r="D1333" s="15" t="s">
        <v>2128</v>
      </c>
      <c r="E1333" s="15" t="s">
        <v>2136</v>
      </c>
      <c r="F1333" s="15" t="s">
        <v>2124</v>
      </c>
      <c r="G1333" s="15" t="s">
        <v>2130</v>
      </c>
      <c r="H1333" s="15">
        <v>3119</v>
      </c>
      <c r="I1333" s="15">
        <v>639.14</v>
      </c>
    </row>
    <row r="1334" spans="1:9">
      <c r="A1334" s="13">
        <v>45112</v>
      </c>
      <c r="B1334" s="91">
        <f t="shared" si="22"/>
        <v>2023</v>
      </c>
      <c r="C1334" s="15" t="s">
        <v>2113</v>
      </c>
      <c r="D1334" s="15" t="s">
        <v>2128</v>
      </c>
      <c r="E1334" s="15" t="s">
        <v>2115</v>
      </c>
      <c r="F1334" s="15" t="s">
        <v>2120</v>
      </c>
      <c r="G1334" s="15" t="s">
        <v>2132</v>
      </c>
      <c r="H1334" s="15">
        <v>8665</v>
      </c>
      <c r="I1334" s="15">
        <v>1279.71</v>
      </c>
    </row>
    <row r="1335" spans="1:9">
      <c r="A1335" s="13">
        <v>44882</v>
      </c>
      <c r="B1335" s="91">
        <f t="shared" si="22"/>
        <v>2022</v>
      </c>
      <c r="C1335" s="15" t="s">
        <v>107</v>
      </c>
      <c r="D1335" s="15" t="s">
        <v>2118</v>
      </c>
      <c r="E1335" s="15" t="s">
        <v>2119</v>
      </c>
      <c r="F1335" s="15" t="s">
        <v>2116</v>
      </c>
      <c r="G1335" s="15" t="s">
        <v>2127</v>
      </c>
      <c r="H1335" s="15">
        <v>8326</v>
      </c>
      <c r="I1335" s="15">
        <v>1478.52</v>
      </c>
    </row>
    <row r="1336" spans="1:9">
      <c r="A1336" s="13">
        <v>44735</v>
      </c>
      <c r="B1336" s="91">
        <f t="shared" si="22"/>
        <v>2022</v>
      </c>
      <c r="C1336" s="15" t="s">
        <v>2141</v>
      </c>
      <c r="D1336" s="15" t="s">
        <v>2152</v>
      </c>
      <c r="E1336" s="15" t="s">
        <v>2129</v>
      </c>
      <c r="F1336" s="15" t="s">
        <v>2116</v>
      </c>
      <c r="G1336" s="15" t="s">
        <v>2117</v>
      </c>
      <c r="H1336" s="15">
        <v>8550</v>
      </c>
      <c r="I1336" s="15">
        <v>1379.56</v>
      </c>
    </row>
    <row r="1337" spans="1:9">
      <c r="A1337" s="13">
        <v>45421</v>
      </c>
      <c r="B1337" s="91">
        <f t="shared" si="22"/>
        <v>2024</v>
      </c>
      <c r="C1337" s="15" t="s">
        <v>2141</v>
      </c>
      <c r="D1337" s="15" t="s">
        <v>2153</v>
      </c>
      <c r="E1337" s="15" t="s">
        <v>2119</v>
      </c>
      <c r="F1337" s="15" t="s">
        <v>2120</v>
      </c>
      <c r="G1337" s="15" t="s">
        <v>2121</v>
      </c>
      <c r="H1337" s="15">
        <v>6914</v>
      </c>
      <c r="I1337" s="15">
        <v>913.17</v>
      </c>
    </row>
    <row r="1338" spans="1:9">
      <c r="A1338" s="13">
        <v>45615</v>
      </c>
      <c r="B1338" s="91">
        <f t="shared" si="22"/>
        <v>2024</v>
      </c>
      <c r="C1338" s="15" t="s">
        <v>2141</v>
      </c>
      <c r="D1338" s="15" t="s">
        <v>2128</v>
      </c>
      <c r="E1338" s="15" t="s">
        <v>2129</v>
      </c>
      <c r="F1338" s="15" t="s">
        <v>2124</v>
      </c>
      <c r="G1338" s="15" t="s">
        <v>2130</v>
      </c>
      <c r="H1338" s="15">
        <v>5451</v>
      </c>
      <c r="I1338" s="15">
        <v>930.01</v>
      </c>
    </row>
    <row r="1339" spans="1:9">
      <c r="A1339" s="13">
        <v>45611</v>
      </c>
      <c r="B1339" s="91">
        <f t="shared" si="22"/>
        <v>2024</v>
      </c>
      <c r="C1339" s="15" t="s">
        <v>107</v>
      </c>
      <c r="D1339" s="15" t="s">
        <v>2148</v>
      </c>
      <c r="E1339" s="15" t="s">
        <v>2136</v>
      </c>
      <c r="F1339" s="15" t="s">
        <v>2138</v>
      </c>
      <c r="G1339" s="15" t="s">
        <v>2149</v>
      </c>
      <c r="H1339" s="15">
        <v>8405</v>
      </c>
      <c r="I1339" s="15">
        <v>895.77</v>
      </c>
    </row>
    <row r="1340" spans="1:9">
      <c r="A1340" s="13">
        <v>45193</v>
      </c>
      <c r="B1340" s="91">
        <f t="shared" si="22"/>
        <v>2023</v>
      </c>
      <c r="C1340" s="15" t="s">
        <v>2113</v>
      </c>
      <c r="D1340" s="15" t="s">
        <v>2153</v>
      </c>
      <c r="E1340" s="15" t="s">
        <v>2144</v>
      </c>
      <c r="F1340" s="15" t="s">
        <v>2120</v>
      </c>
      <c r="G1340" s="15" t="s">
        <v>2121</v>
      </c>
      <c r="H1340" s="15">
        <v>4687</v>
      </c>
      <c r="I1340" s="15">
        <v>1283.77</v>
      </c>
    </row>
    <row r="1341" spans="1:9">
      <c r="A1341" s="13">
        <v>45033</v>
      </c>
      <c r="B1341" s="91">
        <f t="shared" si="22"/>
        <v>2023</v>
      </c>
      <c r="C1341" s="15" t="s">
        <v>2113</v>
      </c>
      <c r="D1341" s="15" t="s">
        <v>2135</v>
      </c>
      <c r="E1341" s="15" t="s">
        <v>2115</v>
      </c>
      <c r="F1341" s="15" t="s">
        <v>2120</v>
      </c>
      <c r="G1341" s="15" t="s">
        <v>2133</v>
      </c>
      <c r="H1341" s="15">
        <v>5194</v>
      </c>
      <c r="I1341" s="15">
        <v>764.15</v>
      </c>
    </row>
    <row r="1342" spans="1:9">
      <c r="A1342" s="13">
        <v>45172</v>
      </c>
      <c r="B1342" s="91">
        <f t="shared" si="22"/>
        <v>2023</v>
      </c>
      <c r="C1342" s="15" t="s">
        <v>107</v>
      </c>
      <c r="D1342" s="15" t="s">
        <v>2118</v>
      </c>
      <c r="E1342" s="15" t="s">
        <v>2143</v>
      </c>
      <c r="F1342" s="15" t="s">
        <v>2138</v>
      </c>
      <c r="G1342" s="15" t="s">
        <v>2146</v>
      </c>
      <c r="H1342" s="15">
        <v>8436</v>
      </c>
      <c r="I1342" s="15">
        <v>1385.35</v>
      </c>
    </row>
    <row r="1343" spans="1:9">
      <c r="A1343" s="13">
        <v>44834</v>
      </c>
      <c r="B1343" s="91">
        <f t="shared" si="22"/>
        <v>2022</v>
      </c>
      <c r="C1343" s="15" t="s">
        <v>104</v>
      </c>
      <c r="D1343" s="15" t="s">
        <v>2142</v>
      </c>
      <c r="E1343" s="15" t="s">
        <v>2136</v>
      </c>
      <c r="F1343" s="15" t="s">
        <v>2138</v>
      </c>
      <c r="G1343" s="15" t="s">
        <v>2146</v>
      </c>
      <c r="H1343" s="15">
        <v>6240</v>
      </c>
      <c r="I1343" s="15">
        <v>1238.06</v>
      </c>
    </row>
    <row r="1344" spans="1:9">
      <c r="A1344" s="13">
        <v>45341</v>
      </c>
      <c r="B1344" s="91">
        <f t="shared" si="22"/>
        <v>2024</v>
      </c>
      <c r="C1344" s="15" t="s">
        <v>2113</v>
      </c>
      <c r="D1344" s="15" t="s">
        <v>2131</v>
      </c>
      <c r="E1344" s="15" t="s">
        <v>2144</v>
      </c>
      <c r="F1344" s="15" t="s">
        <v>2120</v>
      </c>
      <c r="G1344" s="15" t="s">
        <v>2121</v>
      </c>
      <c r="H1344" s="15">
        <v>1802</v>
      </c>
      <c r="I1344" s="15">
        <v>496.7</v>
      </c>
    </row>
    <row r="1345" spans="1:9">
      <c r="A1345" s="13">
        <v>45494</v>
      </c>
      <c r="B1345" s="91">
        <f t="shared" si="22"/>
        <v>2024</v>
      </c>
      <c r="C1345" s="15" t="s">
        <v>2141</v>
      </c>
      <c r="D1345" s="15" t="s">
        <v>2142</v>
      </c>
      <c r="E1345" s="15" t="s">
        <v>2145</v>
      </c>
      <c r="F1345" s="15" t="s">
        <v>2124</v>
      </c>
      <c r="G1345" s="15" t="s">
        <v>2125</v>
      </c>
      <c r="H1345" s="15">
        <v>6366</v>
      </c>
      <c r="I1345" s="15">
        <v>713.77</v>
      </c>
    </row>
    <row r="1346" spans="1:9">
      <c r="A1346" s="13">
        <v>44595</v>
      </c>
      <c r="B1346" s="91">
        <f t="shared" si="22"/>
        <v>2022</v>
      </c>
      <c r="C1346" s="15" t="s">
        <v>107</v>
      </c>
      <c r="D1346" s="15" t="s">
        <v>2135</v>
      </c>
      <c r="E1346" s="15" t="s">
        <v>2115</v>
      </c>
      <c r="F1346" s="15" t="s">
        <v>2116</v>
      </c>
      <c r="G1346" s="15" t="s">
        <v>2154</v>
      </c>
      <c r="H1346" s="15">
        <v>6642</v>
      </c>
      <c r="I1346" s="15">
        <v>850.23</v>
      </c>
    </row>
    <row r="1347" spans="1:9">
      <c r="A1347" s="13">
        <v>44719</v>
      </c>
      <c r="B1347" s="91">
        <f t="shared" ref="B1347:B1410" si="23">YEAR(A1347)</f>
        <v>2022</v>
      </c>
      <c r="C1347" s="15" t="s">
        <v>104</v>
      </c>
      <c r="D1347" s="15" t="s">
        <v>2135</v>
      </c>
      <c r="E1347" s="15" t="s">
        <v>2143</v>
      </c>
      <c r="F1347" s="15" t="s">
        <v>2124</v>
      </c>
      <c r="G1347" s="15" t="s">
        <v>2140</v>
      </c>
      <c r="H1347" s="15">
        <v>3168</v>
      </c>
      <c r="I1347" s="15">
        <v>893.35</v>
      </c>
    </row>
    <row r="1348" spans="1:9">
      <c r="A1348" s="13">
        <v>44989</v>
      </c>
      <c r="B1348" s="91">
        <f t="shared" si="23"/>
        <v>2023</v>
      </c>
      <c r="C1348" s="15" t="s">
        <v>2141</v>
      </c>
      <c r="D1348" s="15" t="s">
        <v>2131</v>
      </c>
      <c r="E1348" s="15" t="s">
        <v>2145</v>
      </c>
      <c r="F1348" s="15" t="s">
        <v>2138</v>
      </c>
      <c r="G1348" s="15" t="s">
        <v>2149</v>
      </c>
      <c r="H1348" s="15">
        <v>8534</v>
      </c>
      <c r="I1348" s="15">
        <v>1268.27</v>
      </c>
    </row>
    <row r="1349" spans="1:9">
      <c r="A1349" s="13">
        <v>44740</v>
      </c>
      <c r="B1349" s="91">
        <f t="shared" si="23"/>
        <v>2022</v>
      </c>
      <c r="C1349" s="15" t="s">
        <v>104</v>
      </c>
      <c r="D1349" s="15" t="s">
        <v>2153</v>
      </c>
      <c r="E1349" s="15" t="s">
        <v>2119</v>
      </c>
      <c r="F1349" s="15" t="s">
        <v>2116</v>
      </c>
      <c r="G1349" s="15" t="s">
        <v>2127</v>
      </c>
      <c r="H1349" s="15">
        <v>9634</v>
      </c>
      <c r="I1349" s="15">
        <v>1930.21</v>
      </c>
    </row>
    <row r="1350" spans="1:9">
      <c r="A1350" s="13">
        <v>45045</v>
      </c>
      <c r="B1350" s="91">
        <f t="shared" si="23"/>
        <v>2023</v>
      </c>
      <c r="C1350" s="15" t="s">
        <v>2113</v>
      </c>
      <c r="D1350" s="15" t="s">
        <v>2148</v>
      </c>
      <c r="E1350" s="15" t="s">
        <v>2143</v>
      </c>
      <c r="F1350" s="15" t="s">
        <v>2124</v>
      </c>
      <c r="G1350" s="15" t="s">
        <v>2125</v>
      </c>
      <c r="H1350" s="15">
        <v>3713</v>
      </c>
      <c r="I1350" s="15">
        <v>862.27</v>
      </c>
    </row>
    <row r="1351" spans="1:9">
      <c r="A1351" s="13">
        <v>44994</v>
      </c>
      <c r="B1351" s="91">
        <f t="shared" si="23"/>
        <v>2023</v>
      </c>
      <c r="C1351" s="15" t="s">
        <v>104</v>
      </c>
      <c r="D1351" s="15" t="s">
        <v>2126</v>
      </c>
      <c r="E1351" s="15" t="s">
        <v>2143</v>
      </c>
      <c r="F1351" s="15" t="s">
        <v>2120</v>
      </c>
      <c r="G1351" s="15" t="s">
        <v>2133</v>
      </c>
      <c r="H1351" s="15">
        <v>5457</v>
      </c>
      <c r="I1351" s="15">
        <v>943.02</v>
      </c>
    </row>
    <row r="1352" spans="1:9">
      <c r="A1352" s="13">
        <v>45407</v>
      </c>
      <c r="B1352" s="91">
        <f t="shared" si="23"/>
        <v>2024</v>
      </c>
      <c r="C1352" s="15" t="s">
        <v>104</v>
      </c>
      <c r="D1352" s="15" t="s">
        <v>2153</v>
      </c>
      <c r="E1352" s="15" t="s">
        <v>2143</v>
      </c>
      <c r="F1352" s="15" t="s">
        <v>2120</v>
      </c>
      <c r="G1352" s="15" t="s">
        <v>2132</v>
      </c>
      <c r="H1352" s="15">
        <v>6216</v>
      </c>
      <c r="I1352" s="15">
        <v>734.46</v>
      </c>
    </row>
    <row r="1353" spans="1:9">
      <c r="A1353" s="13">
        <v>44918</v>
      </c>
      <c r="B1353" s="91">
        <f t="shared" si="23"/>
        <v>2022</v>
      </c>
      <c r="C1353" s="15" t="s">
        <v>2113</v>
      </c>
      <c r="D1353" s="15" t="s">
        <v>2142</v>
      </c>
      <c r="E1353" s="15" t="s">
        <v>2145</v>
      </c>
      <c r="F1353" s="15" t="s">
        <v>2138</v>
      </c>
      <c r="G1353" s="15" t="s">
        <v>2139</v>
      </c>
      <c r="H1353" s="15">
        <v>8632</v>
      </c>
      <c r="I1353" s="15">
        <v>2464.85</v>
      </c>
    </row>
    <row r="1354" spans="1:9">
      <c r="A1354" s="13">
        <v>44901</v>
      </c>
      <c r="B1354" s="91">
        <f t="shared" si="23"/>
        <v>2022</v>
      </c>
      <c r="C1354" s="15" t="s">
        <v>2141</v>
      </c>
      <c r="D1354" s="15" t="s">
        <v>2128</v>
      </c>
      <c r="E1354" s="15" t="s">
        <v>2115</v>
      </c>
      <c r="F1354" s="15" t="s">
        <v>2138</v>
      </c>
      <c r="G1354" s="15" t="s">
        <v>2139</v>
      </c>
      <c r="H1354" s="15">
        <v>2704</v>
      </c>
      <c r="I1354" s="15">
        <v>543.36</v>
      </c>
    </row>
    <row r="1355" spans="1:9">
      <c r="A1355" s="13">
        <v>45234</v>
      </c>
      <c r="B1355" s="91">
        <f t="shared" si="23"/>
        <v>2023</v>
      </c>
      <c r="C1355" s="15" t="s">
        <v>2113</v>
      </c>
      <c r="D1355" s="15" t="s">
        <v>2128</v>
      </c>
      <c r="E1355" s="15" t="s">
        <v>2119</v>
      </c>
      <c r="F1355" s="15" t="s">
        <v>2116</v>
      </c>
      <c r="G1355" s="15" t="s">
        <v>2127</v>
      </c>
      <c r="H1355" s="15">
        <v>1492</v>
      </c>
      <c r="I1355" s="15">
        <v>372.41</v>
      </c>
    </row>
    <row r="1356" spans="1:9">
      <c r="A1356" s="13">
        <v>44787</v>
      </c>
      <c r="B1356" s="91">
        <f t="shared" si="23"/>
        <v>2022</v>
      </c>
      <c r="C1356" s="15" t="s">
        <v>104</v>
      </c>
      <c r="D1356" s="15" t="s">
        <v>2118</v>
      </c>
      <c r="E1356" s="15" t="s">
        <v>2115</v>
      </c>
      <c r="F1356" s="15" t="s">
        <v>2124</v>
      </c>
      <c r="G1356" s="15" t="s">
        <v>2140</v>
      </c>
      <c r="H1356" s="15">
        <v>6856</v>
      </c>
      <c r="I1356" s="15">
        <v>1637.7</v>
      </c>
    </row>
    <row r="1357" spans="1:9">
      <c r="A1357" s="13">
        <v>45297</v>
      </c>
      <c r="B1357" s="91">
        <f t="shared" si="23"/>
        <v>2024</v>
      </c>
      <c r="C1357" s="15" t="s">
        <v>107</v>
      </c>
      <c r="D1357" s="15" t="s">
        <v>2114</v>
      </c>
      <c r="E1357" s="15" t="s">
        <v>2143</v>
      </c>
      <c r="F1357" s="15" t="s">
        <v>2116</v>
      </c>
      <c r="G1357" s="15" t="s">
        <v>2117</v>
      </c>
      <c r="H1357" s="15">
        <v>2698</v>
      </c>
      <c r="I1357" s="15">
        <v>798.56</v>
      </c>
    </row>
    <row r="1358" spans="1:9">
      <c r="A1358" s="13">
        <v>44599</v>
      </c>
      <c r="B1358" s="91">
        <f t="shared" si="23"/>
        <v>2022</v>
      </c>
      <c r="C1358" s="15" t="s">
        <v>104</v>
      </c>
      <c r="D1358" s="15" t="s">
        <v>2142</v>
      </c>
      <c r="E1358" s="15" t="s">
        <v>2145</v>
      </c>
      <c r="F1358" s="15" t="s">
        <v>2138</v>
      </c>
      <c r="G1358" s="15" t="s">
        <v>2139</v>
      </c>
      <c r="H1358" s="15">
        <v>4407</v>
      </c>
      <c r="I1358" s="15">
        <v>464.47</v>
      </c>
    </row>
    <row r="1359" spans="1:9">
      <c r="A1359" s="13">
        <v>44605</v>
      </c>
      <c r="B1359" s="91">
        <f t="shared" si="23"/>
        <v>2022</v>
      </c>
      <c r="C1359" s="15" t="s">
        <v>2113</v>
      </c>
      <c r="D1359" s="15" t="s">
        <v>2153</v>
      </c>
      <c r="E1359" s="15" t="s">
        <v>2134</v>
      </c>
      <c r="F1359" s="15" t="s">
        <v>2116</v>
      </c>
      <c r="G1359" s="15" t="s">
        <v>2117</v>
      </c>
      <c r="H1359" s="15">
        <v>3975</v>
      </c>
      <c r="I1359" s="15">
        <v>1102.43</v>
      </c>
    </row>
    <row r="1360" spans="1:9">
      <c r="A1360" s="13">
        <v>44684</v>
      </c>
      <c r="B1360" s="91">
        <f t="shared" si="23"/>
        <v>2022</v>
      </c>
      <c r="C1360" s="15" t="s">
        <v>104</v>
      </c>
      <c r="D1360" s="15" t="s">
        <v>2128</v>
      </c>
      <c r="E1360" s="15" t="s">
        <v>2129</v>
      </c>
      <c r="F1360" s="15" t="s">
        <v>2138</v>
      </c>
      <c r="G1360" s="15" t="s">
        <v>2149</v>
      </c>
      <c r="H1360" s="15">
        <v>9853</v>
      </c>
      <c r="I1360" s="15">
        <v>1005.24</v>
      </c>
    </row>
    <row r="1361" spans="1:9">
      <c r="A1361" s="13">
        <v>44808</v>
      </c>
      <c r="B1361" s="91">
        <f t="shared" si="23"/>
        <v>2022</v>
      </c>
      <c r="C1361" s="15" t="s">
        <v>107</v>
      </c>
      <c r="D1361" s="15" t="s">
        <v>2118</v>
      </c>
      <c r="E1361" s="15" t="s">
        <v>2145</v>
      </c>
      <c r="F1361" s="15" t="s">
        <v>2138</v>
      </c>
      <c r="G1361" s="15" t="s">
        <v>2149</v>
      </c>
      <c r="H1361" s="15">
        <v>7238</v>
      </c>
      <c r="I1361" s="15">
        <v>754.05</v>
      </c>
    </row>
    <row r="1362" spans="1:9">
      <c r="A1362" s="13">
        <v>44950</v>
      </c>
      <c r="B1362" s="91">
        <f t="shared" si="23"/>
        <v>2023</v>
      </c>
      <c r="C1362" s="15" t="s">
        <v>2141</v>
      </c>
      <c r="D1362" s="15" t="s">
        <v>2114</v>
      </c>
      <c r="E1362" s="15" t="s">
        <v>2134</v>
      </c>
      <c r="F1362" s="15" t="s">
        <v>2116</v>
      </c>
      <c r="G1362" s="15" t="s">
        <v>2127</v>
      </c>
      <c r="H1362" s="15">
        <v>1977</v>
      </c>
      <c r="I1362" s="15">
        <v>588.52</v>
      </c>
    </row>
    <row r="1363" spans="1:9">
      <c r="A1363" s="13">
        <v>44954</v>
      </c>
      <c r="B1363" s="91">
        <f t="shared" si="23"/>
        <v>2023</v>
      </c>
      <c r="C1363" s="15" t="s">
        <v>107</v>
      </c>
      <c r="D1363" s="15" t="s">
        <v>2118</v>
      </c>
      <c r="E1363" s="15" t="s">
        <v>2119</v>
      </c>
      <c r="F1363" s="15" t="s">
        <v>2124</v>
      </c>
      <c r="G1363" s="15" t="s">
        <v>2140</v>
      </c>
      <c r="H1363" s="15">
        <v>2045</v>
      </c>
      <c r="I1363" s="15">
        <v>347.24</v>
      </c>
    </row>
    <row r="1364" spans="1:9">
      <c r="A1364" s="13">
        <v>44778</v>
      </c>
      <c r="B1364" s="91">
        <f t="shared" si="23"/>
        <v>2022</v>
      </c>
      <c r="C1364" s="15" t="s">
        <v>2113</v>
      </c>
      <c r="D1364" s="15" t="s">
        <v>2152</v>
      </c>
      <c r="E1364" s="15" t="s">
        <v>2129</v>
      </c>
      <c r="F1364" s="15" t="s">
        <v>2116</v>
      </c>
      <c r="G1364" s="15" t="s">
        <v>2127</v>
      </c>
      <c r="H1364" s="15">
        <v>5617</v>
      </c>
      <c r="I1364" s="15">
        <v>680.16</v>
      </c>
    </row>
    <row r="1365" spans="1:9">
      <c r="A1365" s="13">
        <v>44741</v>
      </c>
      <c r="B1365" s="91">
        <f t="shared" si="23"/>
        <v>2022</v>
      </c>
      <c r="C1365" s="15" t="s">
        <v>2141</v>
      </c>
      <c r="D1365" s="15" t="s">
        <v>2128</v>
      </c>
      <c r="E1365" s="15" t="s">
        <v>2129</v>
      </c>
      <c r="F1365" s="15" t="s">
        <v>2138</v>
      </c>
      <c r="G1365" s="15" t="s">
        <v>2139</v>
      </c>
      <c r="H1365" s="15">
        <v>1578</v>
      </c>
      <c r="I1365" s="15">
        <v>229.6</v>
      </c>
    </row>
    <row r="1366" spans="1:9">
      <c r="A1366" s="13">
        <v>44613</v>
      </c>
      <c r="B1366" s="91">
        <f t="shared" si="23"/>
        <v>2022</v>
      </c>
      <c r="C1366" s="15" t="s">
        <v>2141</v>
      </c>
      <c r="D1366" s="15" t="s">
        <v>2135</v>
      </c>
      <c r="E1366" s="15" t="s">
        <v>2119</v>
      </c>
      <c r="F1366" s="15" t="s">
        <v>2138</v>
      </c>
      <c r="G1366" s="15" t="s">
        <v>2146</v>
      </c>
      <c r="H1366" s="15">
        <v>4949</v>
      </c>
      <c r="I1366" s="15">
        <v>1132.3599999999999</v>
      </c>
    </row>
    <row r="1367" spans="1:9">
      <c r="A1367" s="13">
        <v>44877</v>
      </c>
      <c r="B1367" s="91">
        <f t="shared" si="23"/>
        <v>2022</v>
      </c>
      <c r="C1367" s="15" t="s">
        <v>2141</v>
      </c>
      <c r="D1367" s="15" t="s">
        <v>2114</v>
      </c>
      <c r="E1367" s="15" t="s">
        <v>2151</v>
      </c>
      <c r="F1367" s="15" t="s">
        <v>2120</v>
      </c>
      <c r="G1367" s="15" t="s">
        <v>2132</v>
      </c>
      <c r="H1367" s="15">
        <v>8447</v>
      </c>
      <c r="I1367" s="15">
        <v>2176.0300000000002</v>
      </c>
    </row>
    <row r="1368" spans="1:9">
      <c r="A1368" s="13">
        <v>44793</v>
      </c>
      <c r="B1368" s="91">
        <f t="shared" si="23"/>
        <v>2022</v>
      </c>
      <c r="C1368" s="15" t="s">
        <v>2141</v>
      </c>
      <c r="D1368" s="15" t="s">
        <v>2152</v>
      </c>
      <c r="E1368" s="15" t="s">
        <v>2145</v>
      </c>
      <c r="F1368" s="15" t="s">
        <v>2120</v>
      </c>
      <c r="G1368" s="15" t="s">
        <v>2132</v>
      </c>
      <c r="H1368" s="15">
        <v>1233</v>
      </c>
      <c r="I1368" s="15">
        <v>338.09</v>
      </c>
    </row>
    <row r="1369" spans="1:9">
      <c r="A1369" s="13">
        <v>45032</v>
      </c>
      <c r="B1369" s="91">
        <f t="shared" si="23"/>
        <v>2023</v>
      </c>
      <c r="C1369" s="15" t="s">
        <v>2113</v>
      </c>
      <c r="D1369" s="15" t="s">
        <v>2142</v>
      </c>
      <c r="E1369" s="15" t="s">
        <v>2144</v>
      </c>
      <c r="F1369" s="15" t="s">
        <v>2120</v>
      </c>
      <c r="G1369" s="15" t="s">
        <v>2121</v>
      </c>
      <c r="H1369" s="15">
        <v>2940</v>
      </c>
      <c r="I1369" s="15">
        <v>773.21</v>
      </c>
    </row>
    <row r="1370" spans="1:9">
      <c r="A1370" s="13">
        <v>45603</v>
      </c>
      <c r="B1370" s="91">
        <f t="shared" si="23"/>
        <v>2024</v>
      </c>
      <c r="C1370" s="15" t="s">
        <v>2113</v>
      </c>
      <c r="D1370" s="15" t="s">
        <v>2118</v>
      </c>
      <c r="E1370" s="15" t="s">
        <v>2144</v>
      </c>
      <c r="F1370" s="15" t="s">
        <v>2116</v>
      </c>
      <c r="G1370" s="15" t="s">
        <v>2154</v>
      </c>
      <c r="H1370" s="15">
        <v>2600</v>
      </c>
      <c r="I1370" s="15">
        <v>677.52</v>
      </c>
    </row>
    <row r="1371" spans="1:9">
      <c r="A1371" s="13">
        <v>45505</v>
      </c>
      <c r="B1371" s="91">
        <f t="shared" si="23"/>
        <v>2024</v>
      </c>
      <c r="C1371" s="15" t="s">
        <v>2113</v>
      </c>
      <c r="D1371" s="15" t="s">
        <v>2126</v>
      </c>
      <c r="E1371" s="15" t="s">
        <v>2151</v>
      </c>
      <c r="F1371" s="15" t="s">
        <v>2116</v>
      </c>
      <c r="G1371" s="15" t="s">
        <v>2127</v>
      </c>
      <c r="H1371" s="15">
        <v>6505</v>
      </c>
      <c r="I1371" s="15">
        <v>1023.81</v>
      </c>
    </row>
    <row r="1372" spans="1:9">
      <c r="A1372" s="13">
        <v>44604</v>
      </c>
      <c r="B1372" s="91">
        <f t="shared" si="23"/>
        <v>2022</v>
      </c>
      <c r="C1372" s="15" t="s">
        <v>104</v>
      </c>
      <c r="D1372" s="15" t="s">
        <v>2126</v>
      </c>
      <c r="E1372" s="15" t="s">
        <v>2134</v>
      </c>
      <c r="F1372" s="15" t="s">
        <v>2120</v>
      </c>
      <c r="G1372" s="15" t="s">
        <v>2121</v>
      </c>
      <c r="H1372" s="15">
        <v>8951</v>
      </c>
      <c r="I1372" s="15">
        <v>2503.66</v>
      </c>
    </row>
    <row r="1373" spans="1:9">
      <c r="A1373" s="13">
        <v>45065</v>
      </c>
      <c r="B1373" s="91">
        <f t="shared" si="23"/>
        <v>2023</v>
      </c>
      <c r="C1373" s="15" t="s">
        <v>107</v>
      </c>
      <c r="D1373" s="15" t="s">
        <v>2118</v>
      </c>
      <c r="E1373" s="15" t="s">
        <v>2134</v>
      </c>
      <c r="F1373" s="15" t="s">
        <v>2138</v>
      </c>
      <c r="G1373" s="15" t="s">
        <v>2146</v>
      </c>
      <c r="H1373" s="15">
        <v>4541</v>
      </c>
      <c r="I1373" s="15">
        <v>1195.3</v>
      </c>
    </row>
    <row r="1374" spans="1:9">
      <c r="A1374" s="13">
        <v>45129</v>
      </c>
      <c r="B1374" s="91">
        <f t="shared" si="23"/>
        <v>2023</v>
      </c>
      <c r="C1374" s="15" t="s">
        <v>107</v>
      </c>
      <c r="D1374" s="15" t="s">
        <v>2135</v>
      </c>
      <c r="E1374" s="15" t="s">
        <v>2145</v>
      </c>
      <c r="F1374" s="15" t="s">
        <v>2120</v>
      </c>
      <c r="G1374" s="15" t="s">
        <v>2132</v>
      </c>
      <c r="H1374" s="15">
        <v>6141</v>
      </c>
      <c r="I1374" s="15">
        <v>639.99</v>
      </c>
    </row>
    <row r="1375" spans="1:9">
      <c r="A1375" s="13">
        <v>45267</v>
      </c>
      <c r="B1375" s="91">
        <f t="shared" si="23"/>
        <v>2023</v>
      </c>
      <c r="C1375" s="15" t="s">
        <v>104</v>
      </c>
      <c r="D1375" s="15" t="s">
        <v>2135</v>
      </c>
      <c r="E1375" s="15" t="s">
        <v>2129</v>
      </c>
      <c r="F1375" s="15" t="s">
        <v>2116</v>
      </c>
      <c r="G1375" s="15" t="s">
        <v>2117</v>
      </c>
      <c r="H1375" s="15">
        <v>6829</v>
      </c>
      <c r="I1375" s="15">
        <v>1794.04</v>
      </c>
    </row>
    <row r="1376" spans="1:9">
      <c r="A1376" s="13">
        <v>45228</v>
      </c>
      <c r="B1376" s="91">
        <f t="shared" si="23"/>
        <v>2023</v>
      </c>
      <c r="C1376" s="15" t="s">
        <v>2141</v>
      </c>
      <c r="D1376" s="15" t="s">
        <v>2153</v>
      </c>
      <c r="E1376" s="15" t="s">
        <v>2143</v>
      </c>
      <c r="F1376" s="15" t="s">
        <v>2120</v>
      </c>
      <c r="G1376" s="15" t="s">
        <v>2121</v>
      </c>
      <c r="H1376" s="15">
        <v>3208</v>
      </c>
      <c r="I1376" s="15">
        <v>681.51</v>
      </c>
    </row>
    <row r="1377" spans="1:9">
      <c r="A1377" s="13">
        <v>45239</v>
      </c>
      <c r="B1377" s="91">
        <f t="shared" si="23"/>
        <v>2023</v>
      </c>
      <c r="C1377" s="15" t="s">
        <v>2141</v>
      </c>
      <c r="D1377" s="15" t="s">
        <v>2118</v>
      </c>
      <c r="E1377" s="15" t="s">
        <v>2143</v>
      </c>
      <c r="F1377" s="15" t="s">
        <v>2120</v>
      </c>
      <c r="G1377" s="15" t="s">
        <v>2132</v>
      </c>
      <c r="H1377" s="15">
        <v>1381</v>
      </c>
      <c r="I1377" s="15">
        <v>243.66</v>
      </c>
    </row>
    <row r="1378" spans="1:9">
      <c r="A1378" s="13">
        <v>44815</v>
      </c>
      <c r="B1378" s="91">
        <f t="shared" si="23"/>
        <v>2022</v>
      </c>
      <c r="C1378" s="15" t="s">
        <v>2141</v>
      </c>
      <c r="D1378" s="15" t="s">
        <v>2128</v>
      </c>
      <c r="E1378" s="15" t="s">
        <v>2129</v>
      </c>
      <c r="F1378" s="15" t="s">
        <v>2138</v>
      </c>
      <c r="G1378" s="15" t="s">
        <v>2146</v>
      </c>
      <c r="H1378" s="15">
        <v>6404</v>
      </c>
      <c r="I1378" s="15">
        <v>1485.79</v>
      </c>
    </row>
    <row r="1379" spans="1:9">
      <c r="A1379" s="13">
        <v>44823</v>
      </c>
      <c r="B1379" s="91">
        <f t="shared" si="23"/>
        <v>2022</v>
      </c>
      <c r="C1379" s="15" t="s">
        <v>104</v>
      </c>
      <c r="D1379" s="15" t="s">
        <v>2128</v>
      </c>
      <c r="E1379" s="15" t="s">
        <v>2119</v>
      </c>
      <c r="F1379" s="15" t="s">
        <v>2120</v>
      </c>
      <c r="G1379" s="15" t="s">
        <v>2133</v>
      </c>
      <c r="H1379" s="15">
        <v>7309</v>
      </c>
      <c r="I1379" s="15">
        <v>1030.1300000000001</v>
      </c>
    </row>
    <row r="1380" spans="1:9">
      <c r="A1380" s="13">
        <v>45242</v>
      </c>
      <c r="B1380" s="91">
        <f t="shared" si="23"/>
        <v>2023</v>
      </c>
      <c r="C1380" s="15" t="s">
        <v>107</v>
      </c>
      <c r="D1380" s="15" t="s">
        <v>2128</v>
      </c>
      <c r="E1380" s="15" t="s">
        <v>2136</v>
      </c>
      <c r="F1380" s="15" t="s">
        <v>2138</v>
      </c>
      <c r="G1380" s="15" t="s">
        <v>2139</v>
      </c>
      <c r="H1380" s="15">
        <v>5081</v>
      </c>
      <c r="I1380" s="15">
        <v>1236.5899999999999</v>
      </c>
    </row>
    <row r="1381" spans="1:9">
      <c r="A1381" s="13">
        <v>44603</v>
      </c>
      <c r="B1381" s="91">
        <f t="shared" si="23"/>
        <v>2022</v>
      </c>
      <c r="C1381" s="15" t="s">
        <v>104</v>
      </c>
      <c r="D1381" s="15" t="s">
        <v>2128</v>
      </c>
      <c r="E1381" s="15" t="s">
        <v>2144</v>
      </c>
      <c r="F1381" s="15" t="s">
        <v>2124</v>
      </c>
      <c r="G1381" s="15" t="s">
        <v>2130</v>
      </c>
      <c r="H1381" s="15">
        <v>5504</v>
      </c>
      <c r="I1381" s="15">
        <v>940.4</v>
      </c>
    </row>
    <row r="1382" spans="1:9">
      <c r="A1382" s="13">
        <v>45369</v>
      </c>
      <c r="B1382" s="91">
        <f t="shared" si="23"/>
        <v>2024</v>
      </c>
      <c r="C1382" s="15" t="s">
        <v>2113</v>
      </c>
      <c r="D1382" s="15" t="s">
        <v>2152</v>
      </c>
      <c r="E1382" s="15" t="s">
        <v>2145</v>
      </c>
      <c r="F1382" s="15" t="s">
        <v>2138</v>
      </c>
      <c r="G1382" s="15" t="s">
        <v>2139</v>
      </c>
      <c r="H1382" s="15">
        <v>4608</v>
      </c>
      <c r="I1382" s="15">
        <v>663.09</v>
      </c>
    </row>
    <row r="1383" spans="1:9">
      <c r="A1383" s="13">
        <v>44839</v>
      </c>
      <c r="B1383" s="91">
        <f t="shared" si="23"/>
        <v>2022</v>
      </c>
      <c r="C1383" s="15" t="s">
        <v>104</v>
      </c>
      <c r="D1383" s="15" t="s">
        <v>2142</v>
      </c>
      <c r="E1383" s="15" t="s">
        <v>2119</v>
      </c>
      <c r="F1383" s="15" t="s">
        <v>2124</v>
      </c>
      <c r="G1383" s="15" t="s">
        <v>2125</v>
      </c>
      <c r="H1383" s="15">
        <v>3961</v>
      </c>
      <c r="I1383" s="15">
        <v>641.09</v>
      </c>
    </row>
    <row r="1384" spans="1:9">
      <c r="A1384" s="13">
        <v>45120</v>
      </c>
      <c r="B1384" s="91">
        <f t="shared" si="23"/>
        <v>2023</v>
      </c>
      <c r="C1384" s="15" t="s">
        <v>107</v>
      </c>
      <c r="D1384" s="15" t="s">
        <v>2152</v>
      </c>
      <c r="E1384" s="15" t="s">
        <v>2143</v>
      </c>
      <c r="F1384" s="15" t="s">
        <v>2138</v>
      </c>
      <c r="G1384" s="15" t="s">
        <v>2149</v>
      </c>
      <c r="H1384" s="15">
        <v>8721</v>
      </c>
      <c r="I1384" s="15">
        <v>1381.71</v>
      </c>
    </row>
    <row r="1385" spans="1:9">
      <c r="A1385" s="13">
        <v>45413</v>
      </c>
      <c r="B1385" s="91">
        <f t="shared" si="23"/>
        <v>2024</v>
      </c>
      <c r="C1385" s="15" t="s">
        <v>104</v>
      </c>
      <c r="D1385" s="15" t="s">
        <v>2131</v>
      </c>
      <c r="E1385" s="15" t="s">
        <v>2143</v>
      </c>
      <c r="F1385" s="15" t="s">
        <v>2124</v>
      </c>
      <c r="G1385" s="15" t="s">
        <v>2125</v>
      </c>
      <c r="H1385" s="15">
        <v>3605</v>
      </c>
      <c r="I1385" s="15">
        <v>683.37</v>
      </c>
    </row>
    <row r="1386" spans="1:9">
      <c r="A1386" s="13">
        <v>45151</v>
      </c>
      <c r="B1386" s="91">
        <f t="shared" si="23"/>
        <v>2023</v>
      </c>
      <c r="C1386" s="15" t="s">
        <v>2141</v>
      </c>
      <c r="D1386" s="15" t="s">
        <v>2128</v>
      </c>
      <c r="E1386" s="15" t="s">
        <v>2129</v>
      </c>
      <c r="F1386" s="15" t="s">
        <v>2138</v>
      </c>
      <c r="G1386" s="15" t="s">
        <v>2146</v>
      </c>
      <c r="H1386" s="15">
        <v>3222</v>
      </c>
      <c r="I1386" s="15">
        <v>961.69</v>
      </c>
    </row>
    <row r="1387" spans="1:9">
      <c r="A1387" s="13">
        <v>44851</v>
      </c>
      <c r="B1387" s="91">
        <f t="shared" si="23"/>
        <v>2022</v>
      </c>
      <c r="C1387" s="15" t="s">
        <v>107</v>
      </c>
      <c r="D1387" s="15" t="s">
        <v>2148</v>
      </c>
      <c r="E1387" s="15" t="s">
        <v>2144</v>
      </c>
      <c r="F1387" s="15" t="s">
        <v>2124</v>
      </c>
      <c r="G1387" s="15" t="s">
        <v>2140</v>
      </c>
      <c r="H1387" s="15">
        <v>8044</v>
      </c>
      <c r="I1387" s="15">
        <v>1713.72</v>
      </c>
    </row>
    <row r="1388" spans="1:9">
      <c r="A1388" s="13">
        <v>45465</v>
      </c>
      <c r="B1388" s="91">
        <f t="shared" si="23"/>
        <v>2024</v>
      </c>
      <c r="C1388" s="15" t="s">
        <v>104</v>
      </c>
      <c r="D1388" s="15" t="s">
        <v>2148</v>
      </c>
      <c r="E1388" s="15" t="s">
        <v>2115</v>
      </c>
      <c r="F1388" s="15" t="s">
        <v>2124</v>
      </c>
      <c r="G1388" s="15" t="s">
        <v>2125</v>
      </c>
      <c r="H1388" s="15">
        <v>2385</v>
      </c>
      <c r="I1388" s="15">
        <v>583.16999999999996</v>
      </c>
    </row>
    <row r="1389" spans="1:9">
      <c r="A1389" s="13">
        <v>44816</v>
      </c>
      <c r="B1389" s="91">
        <f t="shared" si="23"/>
        <v>2022</v>
      </c>
      <c r="C1389" s="15" t="s">
        <v>2113</v>
      </c>
      <c r="D1389" s="15" t="s">
        <v>2142</v>
      </c>
      <c r="E1389" s="15" t="s">
        <v>2145</v>
      </c>
      <c r="F1389" s="15" t="s">
        <v>2138</v>
      </c>
      <c r="G1389" s="15" t="s">
        <v>2149</v>
      </c>
      <c r="H1389" s="15">
        <v>3370</v>
      </c>
      <c r="I1389" s="15">
        <v>399.49</v>
      </c>
    </row>
    <row r="1390" spans="1:9">
      <c r="A1390" s="13">
        <v>44669</v>
      </c>
      <c r="B1390" s="91">
        <f t="shared" si="23"/>
        <v>2022</v>
      </c>
      <c r="C1390" s="15" t="s">
        <v>2141</v>
      </c>
      <c r="D1390" s="15" t="s">
        <v>2153</v>
      </c>
      <c r="E1390" s="15" t="s">
        <v>2151</v>
      </c>
      <c r="F1390" s="15" t="s">
        <v>2116</v>
      </c>
      <c r="G1390" s="15" t="s">
        <v>2117</v>
      </c>
      <c r="H1390" s="15">
        <v>2704</v>
      </c>
      <c r="I1390" s="15">
        <v>315.95999999999998</v>
      </c>
    </row>
    <row r="1391" spans="1:9">
      <c r="A1391" s="13">
        <v>45289</v>
      </c>
      <c r="B1391" s="91">
        <f t="shared" si="23"/>
        <v>2023</v>
      </c>
      <c r="C1391" s="15" t="s">
        <v>2141</v>
      </c>
      <c r="D1391" s="15" t="s">
        <v>2153</v>
      </c>
      <c r="E1391" s="15" t="s">
        <v>2115</v>
      </c>
      <c r="F1391" s="15" t="s">
        <v>2120</v>
      </c>
      <c r="G1391" s="15" t="s">
        <v>2133</v>
      </c>
      <c r="H1391" s="15">
        <v>5131</v>
      </c>
      <c r="I1391" s="15">
        <v>573.41999999999996</v>
      </c>
    </row>
    <row r="1392" spans="1:9">
      <c r="A1392" s="13">
        <v>45253</v>
      </c>
      <c r="B1392" s="91">
        <f t="shared" si="23"/>
        <v>2023</v>
      </c>
      <c r="C1392" s="15" t="s">
        <v>104</v>
      </c>
      <c r="D1392" s="15" t="s">
        <v>2148</v>
      </c>
      <c r="E1392" s="15" t="s">
        <v>2123</v>
      </c>
      <c r="F1392" s="15" t="s">
        <v>2124</v>
      </c>
      <c r="G1392" s="15" t="s">
        <v>2140</v>
      </c>
      <c r="H1392" s="15">
        <v>8268</v>
      </c>
      <c r="I1392" s="15">
        <v>1974.81</v>
      </c>
    </row>
    <row r="1393" spans="1:9">
      <c r="A1393" s="13">
        <v>45198</v>
      </c>
      <c r="B1393" s="91">
        <f t="shared" si="23"/>
        <v>2023</v>
      </c>
      <c r="C1393" s="15" t="s">
        <v>2141</v>
      </c>
      <c r="D1393" s="15" t="s">
        <v>2135</v>
      </c>
      <c r="E1393" s="15" t="s">
        <v>2123</v>
      </c>
      <c r="F1393" s="15" t="s">
        <v>2120</v>
      </c>
      <c r="G1393" s="15" t="s">
        <v>2132</v>
      </c>
      <c r="H1393" s="15">
        <v>1267</v>
      </c>
      <c r="I1393" s="15">
        <v>290.62</v>
      </c>
    </row>
    <row r="1394" spans="1:9">
      <c r="A1394" s="13">
        <v>45186</v>
      </c>
      <c r="B1394" s="91">
        <f t="shared" si="23"/>
        <v>2023</v>
      </c>
      <c r="C1394" s="15" t="s">
        <v>2113</v>
      </c>
      <c r="D1394" s="15" t="s">
        <v>2142</v>
      </c>
      <c r="E1394" s="15" t="s">
        <v>2136</v>
      </c>
      <c r="F1394" s="15" t="s">
        <v>2124</v>
      </c>
      <c r="G1394" s="15" t="s">
        <v>2140</v>
      </c>
      <c r="H1394" s="15">
        <v>4817</v>
      </c>
      <c r="I1394" s="15">
        <v>921.96</v>
      </c>
    </row>
    <row r="1395" spans="1:9">
      <c r="A1395" s="13">
        <v>45327</v>
      </c>
      <c r="B1395" s="91">
        <f t="shared" si="23"/>
        <v>2024</v>
      </c>
      <c r="C1395" s="15" t="s">
        <v>2141</v>
      </c>
      <c r="D1395" s="15" t="s">
        <v>2152</v>
      </c>
      <c r="E1395" s="15" t="s">
        <v>2144</v>
      </c>
      <c r="F1395" s="15" t="s">
        <v>2120</v>
      </c>
      <c r="G1395" s="15" t="s">
        <v>2133</v>
      </c>
      <c r="H1395" s="15">
        <v>2528</v>
      </c>
      <c r="I1395" s="15">
        <v>298.58</v>
      </c>
    </row>
    <row r="1396" spans="1:9">
      <c r="A1396" s="13">
        <v>45081</v>
      </c>
      <c r="B1396" s="91">
        <f t="shared" si="23"/>
        <v>2023</v>
      </c>
      <c r="C1396" s="15" t="s">
        <v>2113</v>
      </c>
      <c r="D1396" s="15" t="s">
        <v>2114</v>
      </c>
      <c r="E1396" s="15" t="s">
        <v>2129</v>
      </c>
      <c r="F1396" s="15" t="s">
        <v>2120</v>
      </c>
      <c r="G1396" s="15" t="s">
        <v>2132</v>
      </c>
      <c r="H1396" s="15">
        <v>6323</v>
      </c>
      <c r="I1396" s="15">
        <v>1405.01</v>
      </c>
    </row>
    <row r="1397" spans="1:9">
      <c r="A1397" s="13">
        <v>45655</v>
      </c>
      <c r="B1397" s="91">
        <f t="shared" si="23"/>
        <v>2024</v>
      </c>
      <c r="C1397" s="15" t="s">
        <v>2141</v>
      </c>
      <c r="D1397" s="15" t="s">
        <v>2128</v>
      </c>
      <c r="E1397" s="15" t="s">
        <v>2144</v>
      </c>
      <c r="F1397" s="15" t="s">
        <v>2116</v>
      </c>
      <c r="G1397" s="15" t="s">
        <v>2127</v>
      </c>
      <c r="H1397" s="15">
        <v>8416</v>
      </c>
      <c r="I1397" s="15">
        <v>1884.21</v>
      </c>
    </row>
    <row r="1398" spans="1:9">
      <c r="A1398" s="13">
        <v>44898</v>
      </c>
      <c r="B1398" s="91">
        <f t="shared" si="23"/>
        <v>2022</v>
      </c>
      <c r="C1398" s="15" t="s">
        <v>107</v>
      </c>
      <c r="D1398" s="15" t="s">
        <v>2131</v>
      </c>
      <c r="E1398" s="15" t="s">
        <v>2136</v>
      </c>
      <c r="F1398" s="15" t="s">
        <v>2116</v>
      </c>
      <c r="G1398" s="15" t="s">
        <v>2117</v>
      </c>
      <c r="H1398" s="15">
        <v>3618</v>
      </c>
      <c r="I1398" s="15">
        <v>1079.07</v>
      </c>
    </row>
    <row r="1399" spans="1:9">
      <c r="A1399" s="13">
        <v>45102</v>
      </c>
      <c r="B1399" s="91">
        <f t="shared" si="23"/>
        <v>2023</v>
      </c>
      <c r="C1399" s="15" t="s">
        <v>107</v>
      </c>
      <c r="D1399" s="15" t="s">
        <v>2131</v>
      </c>
      <c r="E1399" s="15" t="s">
        <v>2136</v>
      </c>
      <c r="F1399" s="15" t="s">
        <v>2120</v>
      </c>
      <c r="G1399" s="15" t="s">
        <v>2132</v>
      </c>
      <c r="H1399" s="15">
        <v>8500</v>
      </c>
      <c r="I1399" s="15">
        <v>1081.0899999999999</v>
      </c>
    </row>
    <row r="1400" spans="1:9">
      <c r="A1400" s="13">
        <v>45456</v>
      </c>
      <c r="B1400" s="91">
        <f t="shared" si="23"/>
        <v>2024</v>
      </c>
      <c r="C1400" s="15" t="s">
        <v>2141</v>
      </c>
      <c r="D1400" s="15" t="s">
        <v>2131</v>
      </c>
      <c r="E1400" s="15" t="s">
        <v>2115</v>
      </c>
      <c r="F1400" s="15" t="s">
        <v>2116</v>
      </c>
      <c r="G1400" s="15" t="s">
        <v>2117</v>
      </c>
      <c r="H1400" s="15">
        <v>6464</v>
      </c>
      <c r="I1400" s="15">
        <v>924.45</v>
      </c>
    </row>
    <row r="1401" spans="1:9">
      <c r="A1401" s="13">
        <v>45646</v>
      </c>
      <c r="B1401" s="91">
        <f t="shared" si="23"/>
        <v>2024</v>
      </c>
      <c r="C1401" s="15" t="s">
        <v>104</v>
      </c>
      <c r="D1401" s="15" t="s">
        <v>2135</v>
      </c>
      <c r="E1401" s="15" t="s">
        <v>2136</v>
      </c>
      <c r="F1401" s="15" t="s">
        <v>2124</v>
      </c>
      <c r="G1401" s="15" t="s">
        <v>2130</v>
      </c>
      <c r="H1401" s="15">
        <v>5597</v>
      </c>
      <c r="I1401" s="15">
        <v>914.89</v>
      </c>
    </row>
    <row r="1402" spans="1:9">
      <c r="A1402" s="13">
        <v>44811</v>
      </c>
      <c r="B1402" s="91">
        <f t="shared" si="23"/>
        <v>2022</v>
      </c>
      <c r="C1402" s="15" t="s">
        <v>2141</v>
      </c>
      <c r="D1402" s="15" t="s">
        <v>2131</v>
      </c>
      <c r="E1402" s="15" t="s">
        <v>2151</v>
      </c>
      <c r="F1402" s="15" t="s">
        <v>2120</v>
      </c>
      <c r="G1402" s="15" t="s">
        <v>2133</v>
      </c>
      <c r="H1402" s="15">
        <v>6304</v>
      </c>
      <c r="I1402" s="15">
        <v>1133.8599999999999</v>
      </c>
    </row>
    <row r="1403" spans="1:9">
      <c r="A1403" s="13">
        <v>44568</v>
      </c>
      <c r="B1403" s="91">
        <f t="shared" si="23"/>
        <v>2022</v>
      </c>
      <c r="C1403" s="15" t="s">
        <v>107</v>
      </c>
      <c r="D1403" s="15" t="s">
        <v>2126</v>
      </c>
      <c r="E1403" s="15" t="s">
        <v>2143</v>
      </c>
      <c r="F1403" s="15" t="s">
        <v>2116</v>
      </c>
      <c r="G1403" s="15" t="s">
        <v>2127</v>
      </c>
      <c r="H1403" s="15">
        <v>9323</v>
      </c>
      <c r="I1403" s="15">
        <v>2306.23</v>
      </c>
    </row>
    <row r="1404" spans="1:9">
      <c r="A1404" s="13">
        <v>45430</v>
      </c>
      <c r="B1404" s="91">
        <f t="shared" si="23"/>
        <v>2024</v>
      </c>
      <c r="C1404" s="15" t="s">
        <v>2141</v>
      </c>
      <c r="D1404" s="15" t="s">
        <v>2148</v>
      </c>
      <c r="E1404" s="15" t="s">
        <v>2151</v>
      </c>
      <c r="F1404" s="15" t="s">
        <v>2120</v>
      </c>
      <c r="G1404" s="15" t="s">
        <v>2132</v>
      </c>
      <c r="H1404" s="15">
        <v>1161</v>
      </c>
      <c r="I1404" s="15">
        <v>209.1</v>
      </c>
    </row>
    <row r="1405" spans="1:9">
      <c r="A1405" s="13">
        <v>44985</v>
      </c>
      <c r="B1405" s="91">
        <f t="shared" si="23"/>
        <v>2023</v>
      </c>
      <c r="C1405" s="15" t="s">
        <v>2113</v>
      </c>
      <c r="D1405" s="15" t="s">
        <v>2128</v>
      </c>
      <c r="E1405" s="15" t="s">
        <v>2123</v>
      </c>
      <c r="F1405" s="15" t="s">
        <v>2138</v>
      </c>
      <c r="G1405" s="15" t="s">
        <v>2149</v>
      </c>
      <c r="H1405" s="15">
        <v>9469</v>
      </c>
      <c r="I1405" s="15">
        <v>1554.34</v>
      </c>
    </row>
    <row r="1406" spans="1:9">
      <c r="A1406" s="13">
        <v>44867</v>
      </c>
      <c r="B1406" s="91">
        <f t="shared" si="23"/>
        <v>2022</v>
      </c>
      <c r="C1406" s="15" t="s">
        <v>107</v>
      </c>
      <c r="D1406" s="15" t="s">
        <v>2118</v>
      </c>
      <c r="E1406" s="15" t="s">
        <v>2123</v>
      </c>
      <c r="F1406" s="15" t="s">
        <v>2124</v>
      </c>
      <c r="G1406" s="15" t="s">
        <v>2140</v>
      </c>
      <c r="H1406" s="15">
        <v>1099</v>
      </c>
      <c r="I1406" s="15">
        <v>284.07</v>
      </c>
    </row>
    <row r="1407" spans="1:9">
      <c r="A1407" s="13">
        <v>44865</v>
      </c>
      <c r="B1407" s="91">
        <f t="shared" si="23"/>
        <v>2022</v>
      </c>
      <c r="C1407" s="15" t="s">
        <v>2113</v>
      </c>
      <c r="D1407" s="15" t="s">
        <v>2128</v>
      </c>
      <c r="E1407" s="15" t="s">
        <v>2129</v>
      </c>
      <c r="F1407" s="15" t="s">
        <v>2120</v>
      </c>
      <c r="G1407" s="15" t="s">
        <v>2133</v>
      </c>
      <c r="H1407" s="15">
        <v>9800</v>
      </c>
      <c r="I1407" s="15">
        <v>2066.64</v>
      </c>
    </row>
    <row r="1408" spans="1:9">
      <c r="A1408" s="13">
        <v>45380</v>
      </c>
      <c r="B1408" s="91">
        <f t="shared" si="23"/>
        <v>2024</v>
      </c>
      <c r="C1408" s="15" t="s">
        <v>104</v>
      </c>
      <c r="D1408" s="15" t="s">
        <v>2153</v>
      </c>
      <c r="E1408" s="15" t="s">
        <v>2123</v>
      </c>
      <c r="F1408" s="15" t="s">
        <v>2120</v>
      </c>
      <c r="G1408" s="15" t="s">
        <v>2132</v>
      </c>
      <c r="H1408" s="15">
        <v>3163</v>
      </c>
      <c r="I1408" s="15">
        <v>812.4</v>
      </c>
    </row>
    <row r="1409" spans="1:9">
      <c r="A1409" s="13">
        <v>45172</v>
      </c>
      <c r="B1409" s="91">
        <f t="shared" si="23"/>
        <v>2023</v>
      </c>
      <c r="C1409" s="15" t="s">
        <v>104</v>
      </c>
      <c r="D1409" s="15" t="s">
        <v>2126</v>
      </c>
      <c r="E1409" s="15" t="s">
        <v>2136</v>
      </c>
      <c r="F1409" s="15" t="s">
        <v>2124</v>
      </c>
      <c r="G1409" s="15" t="s">
        <v>2130</v>
      </c>
      <c r="H1409" s="15">
        <v>3240</v>
      </c>
      <c r="I1409" s="15">
        <v>827.24</v>
      </c>
    </row>
    <row r="1410" spans="1:9">
      <c r="A1410" s="13">
        <v>45473</v>
      </c>
      <c r="B1410" s="91">
        <f t="shared" si="23"/>
        <v>2024</v>
      </c>
      <c r="C1410" s="15" t="s">
        <v>107</v>
      </c>
      <c r="D1410" s="15" t="s">
        <v>2118</v>
      </c>
      <c r="E1410" s="15" t="s">
        <v>2136</v>
      </c>
      <c r="F1410" s="15" t="s">
        <v>2124</v>
      </c>
      <c r="G1410" s="15" t="s">
        <v>2125</v>
      </c>
      <c r="H1410" s="15">
        <v>8685</v>
      </c>
      <c r="I1410" s="15">
        <v>1203.3800000000001</v>
      </c>
    </row>
    <row r="1411" spans="1:9">
      <c r="A1411" s="13">
        <v>44625</v>
      </c>
      <c r="B1411" s="91">
        <f t="shared" ref="B1411:B1474" si="24">YEAR(A1411)</f>
        <v>2022</v>
      </c>
      <c r="C1411" s="15" t="s">
        <v>107</v>
      </c>
      <c r="D1411" s="15" t="s">
        <v>2118</v>
      </c>
      <c r="E1411" s="15" t="s">
        <v>2145</v>
      </c>
      <c r="F1411" s="15" t="s">
        <v>2120</v>
      </c>
      <c r="G1411" s="15" t="s">
        <v>2132</v>
      </c>
      <c r="H1411" s="15">
        <v>7256</v>
      </c>
      <c r="I1411" s="15">
        <v>816.83</v>
      </c>
    </row>
    <row r="1412" spans="1:9">
      <c r="A1412" s="13">
        <v>45622</v>
      </c>
      <c r="B1412" s="91">
        <f t="shared" si="24"/>
        <v>2024</v>
      </c>
      <c r="C1412" s="15" t="s">
        <v>2113</v>
      </c>
      <c r="D1412" s="15" t="s">
        <v>2126</v>
      </c>
      <c r="E1412" s="15" t="s">
        <v>2115</v>
      </c>
      <c r="F1412" s="15" t="s">
        <v>2124</v>
      </c>
      <c r="G1412" s="15" t="s">
        <v>2125</v>
      </c>
      <c r="H1412" s="15">
        <v>8364</v>
      </c>
      <c r="I1412" s="15">
        <v>999.59</v>
      </c>
    </row>
    <row r="1413" spans="1:9">
      <c r="A1413" s="13">
        <v>45580</v>
      </c>
      <c r="B1413" s="91">
        <f t="shared" si="24"/>
        <v>2024</v>
      </c>
      <c r="C1413" s="15" t="s">
        <v>2113</v>
      </c>
      <c r="D1413" s="15" t="s">
        <v>2153</v>
      </c>
      <c r="E1413" s="15" t="s">
        <v>2115</v>
      </c>
      <c r="F1413" s="15" t="s">
        <v>2116</v>
      </c>
      <c r="G1413" s="15" t="s">
        <v>2154</v>
      </c>
      <c r="H1413" s="15">
        <v>2354</v>
      </c>
      <c r="I1413" s="15">
        <v>594.74</v>
      </c>
    </row>
    <row r="1414" spans="1:9">
      <c r="A1414" s="13">
        <v>45135</v>
      </c>
      <c r="B1414" s="91">
        <f t="shared" si="24"/>
        <v>2023</v>
      </c>
      <c r="C1414" s="15" t="s">
        <v>2141</v>
      </c>
      <c r="D1414" s="15" t="s">
        <v>2152</v>
      </c>
      <c r="E1414" s="15" t="s">
        <v>2143</v>
      </c>
      <c r="F1414" s="15" t="s">
        <v>2120</v>
      </c>
      <c r="G1414" s="15" t="s">
        <v>2121</v>
      </c>
      <c r="H1414" s="15">
        <v>8221</v>
      </c>
      <c r="I1414" s="15">
        <v>1564.82</v>
      </c>
    </row>
    <row r="1415" spans="1:9">
      <c r="A1415" s="13">
        <v>44984</v>
      </c>
      <c r="B1415" s="91">
        <f t="shared" si="24"/>
        <v>2023</v>
      </c>
      <c r="C1415" s="15" t="s">
        <v>107</v>
      </c>
      <c r="D1415" s="15" t="s">
        <v>2142</v>
      </c>
      <c r="E1415" s="15" t="s">
        <v>2115</v>
      </c>
      <c r="F1415" s="15" t="s">
        <v>2124</v>
      </c>
      <c r="G1415" s="15" t="s">
        <v>2140</v>
      </c>
      <c r="H1415" s="15">
        <v>7790</v>
      </c>
      <c r="I1415" s="15">
        <v>1278.96</v>
      </c>
    </row>
    <row r="1416" spans="1:9">
      <c r="A1416" s="13">
        <v>45537</v>
      </c>
      <c r="B1416" s="91">
        <f t="shared" si="24"/>
        <v>2024</v>
      </c>
      <c r="C1416" s="15" t="s">
        <v>2113</v>
      </c>
      <c r="D1416" s="15" t="s">
        <v>2131</v>
      </c>
      <c r="E1416" s="15" t="s">
        <v>2115</v>
      </c>
      <c r="F1416" s="15" t="s">
        <v>2120</v>
      </c>
      <c r="G1416" s="15" t="s">
        <v>2133</v>
      </c>
      <c r="H1416" s="15">
        <v>7849</v>
      </c>
      <c r="I1416" s="15">
        <v>2265.42</v>
      </c>
    </row>
    <row r="1417" spans="1:9">
      <c r="A1417" s="13">
        <v>45554</v>
      </c>
      <c r="B1417" s="91">
        <f t="shared" si="24"/>
        <v>2024</v>
      </c>
      <c r="C1417" s="15" t="s">
        <v>2113</v>
      </c>
      <c r="D1417" s="15" t="s">
        <v>2131</v>
      </c>
      <c r="E1417" s="15" t="s">
        <v>2134</v>
      </c>
      <c r="F1417" s="15" t="s">
        <v>2116</v>
      </c>
      <c r="G1417" s="15" t="s">
        <v>2127</v>
      </c>
      <c r="H1417" s="15">
        <v>7472</v>
      </c>
      <c r="I1417" s="15">
        <v>1995.98</v>
      </c>
    </row>
    <row r="1418" spans="1:9">
      <c r="A1418" s="13">
        <v>45596</v>
      </c>
      <c r="B1418" s="91">
        <f t="shared" si="24"/>
        <v>2024</v>
      </c>
      <c r="C1418" s="15" t="s">
        <v>2113</v>
      </c>
      <c r="D1418" s="15" t="s">
        <v>2131</v>
      </c>
      <c r="E1418" s="15" t="s">
        <v>2136</v>
      </c>
      <c r="F1418" s="15" t="s">
        <v>2116</v>
      </c>
      <c r="G1418" s="15" t="s">
        <v>2154</v>
      </c>
      <c r="H1418" s="15">
        <v>1144</v>
      </c>
      <c r="I1418" s="15">
        <v>183.44</v>
      </c>
    </row>
    <row r="1419" spans="1:9">
      <c r="A1419" s="13">
        <v>44843</v>
      </c>
      <c r="B1419" s="91">
        <f t="shared" si="24"/>
        <v>2022</v>
      </c>
      <c r="C1419" s="15" t="s">
        <v>104</v>
      </c>
      <c r="D1419" s="15" t="s">
        <v>2131</v>
      </c>
      <c r="E1419" s="15" t="s">
        <v>2145</v>
      </c>
      <c r="F1419" s="15" t="s">
        <v>2116</v>
      </c>
      <c r="G1419" s="15" t="s">
        <v>2117</v>
      </c>
      <c r="H1419" s="15">
        <v>1471</v>
      </c>
      <c r="I1419" s="15">
        <v>329.37</v>
      </c>
    </row>
    <row r="1420" spans="1:9">
      <c r="A1420" s="13">
        <v>45048</v>
      </c>
      <c r="B1420" s="91">
        <f t="shared" si="24"/>
        <v>2023</v>
      </c>
      <c r="C1420" s="15" t="s">
        <v>2113</v>
      </c>
      <c r="D1420" s="15" t="s">
        <v>2135</v>
      </c>
      <c r="E1420" s="15" t="s">
        <v>2134</v>
      </c>
      <c r="F1420" s="15" t="s">
        <v>2138</v>
      </c>
      <c r="G1420" s="15" t="s">
        <v>2139</v>
      </c>
      <c r="H1420" s="15">
        <v>6620</v>
      </c>
      <c r="I1420" s="15">
        <v>729.43</v>
      </c>
    </row>
    <row r="1421" spans="1:9">
      <c r="A1421" s="13">
        <v>45550</v>
      </c>
      <c r="B1421" s="91">
        <f t="shared" si="24"/>
        <v>2024</v>
      </c>
      <c r="C1421" s="15" t="s">
        <v>107</v>
      </c>
      <c r="D1421" s="15" t="s">
        <v>2131</v>
      </c>
      <c r="E1421" s="15" t="s">
        <v>2136</v>
      </c>
      <c r="F1421" s="15" t="s">
        <v>2120</v>
      </c>
      <c r="G1421" s="15" t="s">
        <v>2121</v>
      </c>
      <c r="H1421" s="15">
        <v>9440</v>
      </c>
      <c r="I1421" s="15">
        <v>1494.76</v>
      </c>
    </row>
    <row r="1422" spans="1:9">
      <c r="A1422" s="13">
        <v>44774</v>
      </c>
      <c r="B1422" s="91">
        <f t="shared" si="24"/>
        <v>2022</v>
      </c>
      <c r="C1422" s="15" t="s">
        <v>2141</v>
      </c>
      <c r="D1422" s="15" t="s">
        <v>2131</v>
      </c>
      <c r="E1422" s="15" t="s">
        <v>2145</v>
      </c>
      <c r="F1422" s="15" t="s">
        <v>2116</v>
      </c>
      <c r="G1422" s="15" t="s">
        <v>2117</v>
      </c>
      <c r="H1422" s="15">
        <v>3810</v>
      </c>
      <c r="I1422" s="15">
        <v>692.45</v>
      </c>
    </row>
    <row r="1423" spans="1:9">
      <c r="A1423" s="13">
        <v>44869</v>
      </c>
      <c r="B1423" s="91">
        <f t="shared" si="24"/>
        <v>2022</v>
      </c>
      <c r="C1423" s="15" t="s">
        <v>107</v>
      </c>
      <c r="D1423" s="15" t="s">
        <v>2126</v>
      </c>
      <c r="E1423" s="15" t="s">
        <v>2151</v>
      </c>
      <c r="F1423" s="15" t="s">
        <v>2138</v>
      </c>
      <c r="G1423" s="15" t="s">
        <v>2149</v>
      </c>
      <c r="H1423" s="15">
        <v>9498</v>
      </c>
      <c r="I1423" s="15">
        <v>952.19</v>
      </c>
    </row>
    <row r="1424" spans="1:9">
      <c r="A1424" s="13">
        <v>44655</v>
      </c>
      <c r="B1424" s="91">
        <f t="shared" si="24"/>
        <v>2022</v>
      </c>
      <c r="C1424" s="15" t="s">
        <v>2113</v>
      </c>
      <c r="D1424" s="15" t="s">
        <v>2114</v>
      </c>
      <c r="E1424" s="15" t="s">
        <v>2151</v>
      </c>
      <c r="F1424" s="15" t="s">
        <v>2138</v>
      </c>
      <c r="G1424" s="15" t="s">
        <v>2139</v>
      </c>
      <c r="H1424" s="15">
        <v>4254</v>
      </c>
      <c r="I1424" s="15">
        <v>908.27</v>
      </c>
    </row>
    <row r="1425" spans="1:9">
      <c r="A1425" s="13">
        <v>44615</v>
      </c>
      <c r="B1425" s="91">
        <f t="shared" si="24"/>
        <v>2022</v>
      </c>
      <c r="C1425" s="15" t="s">
        <v>104</v>
      </c>
      <c r="D1425" s="15" t="s">
        <v>2126</v>
      </c>
      <c r="E1425" s="15" t="s">
        <v>2119</v>
      </c>
      <c r="F1425" s="15" t="s">
        <v>2124</v>
      </c>
      <c r="G1425" s="15" t="s">
        <v>2125</v>
      </c>
      <c r="H1425" s="15">
        <v>4779</v>
      </c>
      <c r="I1425" s="15">
        <v>487.39</v>
      </c>
    </row>
    <row r="1426" spans="1:9">
      <c r="A1426" s="13">
        <v>45168</v>
      </c>
      <c r="B1426" s="91">
        <f t="shared" si="24"/>
        <v>2023</v>
      </c>
      <c r="C1426" s="15" t="s">
        <v>107</v>
      </c>
      <c r="D1426" s="15" t="s">
        <v>2153</v>
      </c>
      <c r="E1426" s="15" t="s">
        <v>2143</v>
      </c>
      <c r="F1426" s="15" t="s">
        <v>2120</v>
      </c>
      <c r="G1426" s="15" t="s">
        <v>2121</v>
      </c>
      <c r="H1426" s="15">
        <v>3344</v>
      </c>
      <c r="I1426" s="15">
        <v>389.98</v>
      </c>
    </row>
    <row r="1427" spans="1:9">
      <c r="A1427" s="13">
        <v>44643</v>
      </c>
      <c r="B1427" s="91">
        <f t="shared" si="24"/>
        <v>2022</v>
      </c>
      <c r="C1427" s="15" t="s">
        <v>2113</v>
      </c>
      <c r="D1427" s="15" t="s">
        <v>2148</v>
      </c>
      <c r="E1427" s="15" t="s">
        <v>2145</v>
      </c>
      <c r="F1427" s="15" t="s">
        <v>2116</v>
      </c>
      <c r="G1427" s="15" t="s">
        <v>2127</v>
      </c>
      <c r="H1427" s="15">
        <v>1609</v>
      </c>
      <c r="I1427" s="15">
        <v>306.49</v>
      </c>
    </row>
    <row r="1428" spans="1:9">
      <c r="A1428" s="13">
        <v>44943</v>
      </c>
      <c r="B1428" s="91">
        <f t="shared" si="24"/>
        <v>2023</v>
      </c>
      <c r="C1428" s="15" t="s">
        <v>2113</v>
      </c>
      <c r="D1428" s="15" t="s">
        <v>2126</v>
      </c>
      <c r="E1428" s="15" t="s">
        <v>2134</v>
      </c>
      <c r="F1428" s="15" t="s">
        <v>2138</v>
      </c>
      <c r="G1428" s="15" t="s">
        <v>2146</v>
      </c>
      <c r="H1428" s="15">
        <v>7687</v>
      </c>
      <c r="I1428" s="15">
        <v>1262.21</v>
      </c>
    </row>
    <row r="1429" spans="1:9">
      <c r="A1429" s="13">
        <v>44652</v>
      </c>
      <c r="B1429" s="91">
        <f t="shared" si="24"/>
        <v>2022</v>
      </c>
      <c r="C1429" s="15" t="s">
        <v>107</v>
      </c>
      <c r="D1429" s="15" t="s">
        <v>2118</v>
      </c>
      <c r="E1429" s="15" t="s">
        <v>2136</v>
      </c>
      <c r="F1429" s="15" t="s">
        <v>2120</v>
      </c>
      <c r="G1429" s="15" t="s">
        <v>2133</v>
      </c>
      <c r="H1429" s="15">
        <v>5965</v>
      </c>
      <c r="I1429" s="15">
        <v>1217.1500000000001</v>
      </c>
    </row>
    <row r="1430" spans="1:9">
      <c r="A1430" s="13">
        <v>44581</v>
      </c>
      <c r="B1430" s="91">
        <f t="shared" si="24"/>
        <v>2022</v>
      </c>
      <c r="C1430" s="15" t="s">
        <v>104</v>
      </c>
      <c r="D1430" s="15" t="s">
        <v>2118</v>
      </c>
      <c r="E1430" s="15" t="s">
        <v>2145</v>
      </c>
      <c r="F1430" s="15" t="s">
        <v>2120</v>
      </c>
      <c r="G1430" s="15" t="s">
        <v>2133</v>
      </c>
      <c r="H1430" s="15">
        <v>7456</v>
      </c>
      <c r="I1430" s="15">
        <v>2011.19</v>
      </c>
    </row>
    <row r="1431" spans="1:9">
      <c r="A1431" s="13">
        <v>45200</v>
      </c>
      <c r="B1431" s="91">
        <f t="shared" si="24"/>
        <v>2023</v>
      </c>
      <c r="C1431" s="15" t="s">
        <v>104</v>
      </c>
      <c r="D1431" s="15" t="s">
        <v>2131</v>
      </c>
      <c r="E1431" s="15" t="s">
        <v>2136</v>
      </c>
      <c r="F1431" s="15" t="s">
        <v>2116</v>
      </c>
      <c r="G1431" s="15" t="s">
        <v>2154</v>
      </c>
      <c r="H1431" s="15">
        <v>6347</v>
      </c>
      <c r="I1431" s="15">
        <v>1315.4</v>
      </c>
    </row>
    <row r="1432" spans="1:9">
      <c r="A1432" s="13">
        <v>45545</v>
      </c>
      <c r="B1432" s="91">
        <f t="shared" si="24"/>
        <v>2024</v>
      </c>
      <c r="C1432" s="15" t="s">
        <v>107</v>
      </c>
      <c r="D1432" s="15" t="s">
        <v>2148</v>
      </c>
      <c r="E1432" s="15" t="s">
        <v>2115</v>
      </c>
      <c r="F1432" s="15" t="s">
        <v>2116</v>
      </c>
      <c r="G1432" s="15" t="s">
        <v>2127</v>
      </c>
      <c r="H1432" s="15">
        <v>1256</v>
      </c>
      <c r="I1432" s="15">
        <v>292.27</v>
      </c>
    </row>
    <row r="1433" spans="1:9">
      <c r="A1433" s="13">
        <v>45209</v>
      </c>
      <c r="B1433" s="91">
        <f t="shared" si="24"/>
        <v>2023</v>
      </c>
      <c r="C1433" s="15" t="s">
        <v>104</v>
      </c>
      <c r="D1433" s="15" t="s">
        <v>2131</v>
      </c>
      <c r="E1433" s="15" t="s">
        <v>2129</v>
      </c>
      <c r="F1433" s="15" t="s">
        <v>2124</v>
      </c>
      <c r="G1433" s="15" t="s">
        <v>2125</v>
      </c>
      <c r="H1433" s="15">
        <v>8564</v>
      </c>
      <c r="I1433" s="15">
        <v>1892.44</v>
      </c>
    </row>
    <row r="1434" spans="1:9">
      <c r="A1434" s="13">
        <v>45062</v>
      </c>
      <c r="B1434" s="91">
        <f t="shared" si="24"/>
        <v>2023</v>
      </c>
      <c r="C1434" s="15" t="s">
        <v>2141</v>
      </c>
      <c r="D1434" s="15" t="s">
        <v>2152</v>
      </c>
      <c r="E1434" s="15" t="s">
        <v>2115</v>
      </c>
      <c r="F1434" s="15" t="s">
        <v>2120</v>
      </c>
      <c r="G1434" s="15" t="s">
        <v>2132</v>
      </c>
      <c r="H1434" s="15">
        <v>7399</v>
      </c>
      <c r="I1434" s="15">
        <v>752.63</v>
      </c>
    </row>
    <row r="1435" spans="1:9">
      <c r="A1435" s="13">
        <v>45654</v>
      </c>
      <c r="B1435" s="91">
        <f t="shared" si="24"/>
        <v>2024</v>
      </c>
      <c r="C1435" s="15" t="s">
        <v>2113</v>
      </c>
      <c r="D1435" s="15" t="s">
        <v>2131</v>
      </c>
      <c r="E1435" s="15" t="s">
        <v>2134</v>
      </c>
      <c r="F1435" s="15" t="s">
        <v>2124</v>
      </c>
      <c r="G1435" s="15" t="s">
        <v>2130</v>
      </c>
      <c r="H1435" s="15">
        <v>3812</v>
      </c>
      <c r="I1435" s="15">
        <v>757.39</v>
      </c>
    </row>
    <row r="1436" spans="1:9">
      <c r="A1436" s="13">
        <v>45596</v>
      </c>
      <c r="B1436" s="91">
        <f t="shared" si="24"/>
        <v>2024</v>
      </c>
      <c r="C1436" s="15" t="s">
        <v>104</v>
      </c>
      <c r="D1436" s="15" t="s">
        <v>2153</v>
      </c>
      <c r="E1436" s="15" t="s">
        <v>2143</v>
      </c>
      <c r="F1436" s="15" t="s">
        <v>2116</v>
      </c>
      <c r="G1436" s="15" t="s">
        <v>2154</v>
      </c>
      <c r="H1436" s="15">
        <v>4790</v>
      </c>
      <c r="I1436" s="15">
        <v>870.47</v>
      </c>
    </row>
    <row r="1437" spans="1:9">
      <c r="A1437" s="13">
        <v>45564</v>
      </c>
      <c r="B1437" s="91">
        <f t="shared" si="24"/>
        <v>2024</v>
      </c>
      <c r="C1437" s="15" t="s">
        <v>2141</v>
      </c>
      <c r="D1437" s="15" t="s">
        <v>2128</v>
      </c>
      <c r="E1437" s="15" t="s">
        <v>2151</v>
      </c>
      <c r="F1437" s="15" t="s">
        <v>2124</v>
      </c>
      <c r="G1437" s="15" t="s">
        <v>2130</v>
      </c>
      <c r="H1437" s="15">
        <v>2028</v>
      </c>
      <c r="I1437" s="15">
        <v>263.31</v>
      </c>
    </row>
    <row r="1438" spans="1:9">
      <c r="A1438" s="13">
        <v>45653</v>
      </c>
      <c r="B1438" s="91">
        <f t="shared" si="24"/>
        <v>2024</v>
      </c>
      <c r="C1438" s="15" t="s">
        <v>2141</v>
      </c>
      <c r="D1438" s="15" t="s">
        <v>2118</v>
      </c>
      <c r="E1438" s="15" t="s">
        <v>2129</v>
      </c>
      <c r="F1438" s="15" t="s">
        <v>2116</v>
      </c>
      <c r="G1438" s="15" t="s">
        <v>2117</v>
      </c>
      <c r="H1438" s="15">
        <v>7732</v>
      </c>
      <c r="I1438" s="15">
        <v>827.29</v>
      </c>
    </row>
    <row r="1439" spans="1:9">
      <c r="A1439" s="13">
        <v>44893</v>
      </c>
      <c r="B1439" s="91">
        <f t="shared" si="24"/>
        <v>2022</v>
      </c>
      <c r="C1439" s="15" t="s">
        <v>2141</v>
      </c>
      <c r="D1439" s="15" t="s">
        <v>2153</v>
      </c>
      <c r="E1439" s="15" t="s">
        <v>2144</v>
      </c>
      <c r="F1439" s="15" t="s">
        <v>2138</v>
      </c>
      <c r="G1439" s="15" t="s">
        <v>2146</v>
      </c>
      <c r="H1439" s="15">
        <v>8170</v>
      </c>
      <c r="I1439" s="15">
        <v>2111.2600000000002</v>
      </c>
    </row>
    <row r="1440" spans="1:9">
      <c r="A1440" s="13">
        <v>45487</v>
      </c>
      <c r="B1440" s="91">
        <f t="shared" si="24"/>
        <v>2024</v>
      </c>
      <c r="C1440" s="15" t="s">
        <v>2141</v>
      </c>
      <c r="D1440" s="15" t="s">
        <v>2131</v>
      </c>
      <c r="E1440" s="15" t="s">
        <v>2134</v>
      </c>
      <c r="F1440" s="15" t="s">
        <v>2124</v>
      </c>
      <c r="G1440" s="15" t="s">
        <v>2125</v>
      </c>
      <c r="H1440" s="15">
        <v>4365</v>
      </c>
      <c r="I1440" s="15">
        <v>996.07</v>
      </c>
    </row>
    <row r="1441" spans="1:9">
      <c r="A1441" s="13">
        <v>44680</v>
      </c>
      <c r="B1441" s="91">
        <f t="shared" si="24"/>
        <v>2022</v>
      </c>
      <c r="C1441" s="15" t="s">
        <v>107</v>
      </c>
      <c r="D1441" s="15" t="s">
        <v>2135</v>
      </c>
      <c r="E1441" s="15" t="s">
        <v>2123</v>
      </c>
      <c r="F1441" s="15" t="s">
        <v>2116</v>
      </c>
      <c r="G1441" s="15" t="s">
        <v>2127</v>
      </c>
      <c r="H1441" s="15">
        <v>2746</v>
      </c>
      <c r="I1441" s="15">
        <v>804.21</v>
      </c>
    </row>
    <row r="1442" spans="1:9">
      <c r="A1442" s="13">
        <v>44782</v>
      </c>
      <c r="B1442" s="91">
        <f t="shared" si="24"/>
        <v>2022</v>
      </c>
      <c r="C1442" s="15" t="s">
        <v>2141</v>
      </c>
      <c r="D1442" s="15" t="s">
        <v>2131</v>
      </c>
      <c r="E1442" s="15" t="s">
        <v>2129</v>
      </c>
      <c r="F1442" s="15" t="s">
        <v>2116</v>
      </c>
      <c r="G1442" s="15" t="s">
        <v>2127</v>
      </c>
      <c r="H1442" s="15">
        <v>2014</v>
      </c>
      <c r="I1442" s="15">
        <v>565.19000000000005</v>
      </c>
    </row>
    <row r="1443" spans="1:9">
      <c r="A1443" s="13">
        <v>45196</v>
      </c>
      <c r="B1443" s="91">
        <f t="shared" si="24"/>
        <v>2023</v>
      </c>
      <c r="C1443" s="15" t="s">
        <v>2113</v>
      </c>
      <c r="D1443" s="15" t="s">
        <v>2135</v>
      </c>
      <c r="E1443" s="15" t="s">
        <v>2119</v>
      </c>
      <c r="F1443" s="15" t="s">
        <v>2124</v>
      </c>
      <c r="G1443" s="15" t="s">
        <v>2125</v>
      </c>
      <c r="H1443" s="15">
        <v>1170</v>
      </c>
      <c r="I1443" s="15">
        <v>238.49</v>
      </c>
    </row>
    <row r="1444" spans="1:9">
      <c r="A1444" s="13">
        <v>44873</v>
      </c>
      <c r="B1444" s="91">
        <f t="shared" si="24"/>
        <v>2022</v>
      </c>
      <c r="C1444" s="15" t="s">
        <v>2141</v>
      </c>
      <c r="D1444" s="15" t="s">
        <v>2114</v>
      </c>
      <c r="E1444" s="15" t="s">
        <v>2143</v>
      </c>
      <c r="F1444" s="15" t="s">
        <v>2116</v>
      </c>
      <c r="G1444" s="15" t="s">
        <v>2127</v>
      </c>
      <c r="H1444" s="15">
        <v>6274</v>
      </c>
      <c r="I1444" s="15">
        <v>1549.11</v>
      </c>
    </row>
    <row r="1445" spans="1:9">
      <c r="A1445" s="13">
        <v>45066</v>
      </c>
      <c r="B1445" s="91">
        <f t="shared" si="24"/>
        <v>2023</v>
      </c>
      <c r="C1445" s="15" t="s">
        <v>107</v>
      </c>
      <c r="D1445" s="15" t="s">
        <v>2114</v>
      </c>
      <c r="E1445" s="15" t="s">
        <v>2145</v>
      </c>
      <c r="F1445" s="15" t="s">
        <v>2138</v>
      </c>
      <c r="G1445" s="15" t="s">
        <v>2149</v>
      </c>
      <c r="H1445" s="15">
        <v>9115</v>
      </c>
      <c r="I1445" s="15">
        <v>1829.65</v>
      </c>
    </row>
    <row r="1446" spans="1:9">
      <c r="A1446" s="13">
        <v>45533</v>
      </c>
      <c r="B1446" s="91">
        <f t="shared" si="24"/>
        <v>2024</v>
      </c>
      <c r="C1446" s="15" t="s">
        <v>2113</v>
      </c>
      <c r="D1446" s="15" t="s">
        <v>2126</v>
      </c>
      <c r="E1446" s="15" t="s">
        <v>2145</v>
      </c>
      <c r="F1446" s="15" t="s">
        <v>2124</v>
      </c>
      <c r="G1446" s="15" t="s">
        <v>2140</v>
      </c>
      <c r="H1446" s="15">
        <v>9764</v>
      </c>
      <c r="I1446" s="15">
        <v>1380.73</v>
      </c>
    </row>
    <row r="1447" spans="1:9">
      <c r="A1447" s="13">
        <v>45614</v>
      </c>
      <c r="B1447" s="91">
        <f t="shared" si="24"/>
        <v>2024</v>
      </c>
      <c r="C1447" s="15" t="s">
        <v>2113</v>
      </c>
      <c r="D1447" s="15" t="s">
        <v>2135</v>
      </c>
      <c r="E1447" s="15" t="s">
        <v>2144</v>
      </c>
      <c r="F1447" s="15" t="s">
        <v>2120</v>
      </c>
      <c r="G1447" s="15" t="s">
        <v>2133</v>
      </c>
      <c r="H1447" s="15">
        <v>5072</v>
      </c>
      <c r="I1447" s="15">
        <v>613.67999999999995</v>
      </c>
    </row>
    <row r="1448" spans="1:9">
      <c r="A1448" s="13">
        <v>44814</v>
      </c>
      <c r="B1448" s="91">
        <f t="shared" si="24"/>
        <v>2022</v>
      </c>
      <c r="C1448" s="15" t="s">
        <v>2141</v>
      </c>
      <c r="D1448" s="15" t="s">
        <v>2148</v>
      </c>
      <c r="E1448" s="15" t="s">
        <v>2119</v>
      </c>
      <c r="F1448" s="15" t="s">
        <v>2120</v>
      </c>
      <c r="G1448" s="15" t="s">
        <v>2121</v>
      </c>
      <c r="H1448" s="15">
        <v>5575</v>
      </c>
      <c r="I1448" s="15">
        <v>1116.29</v>
      </c>
    </row>
    <row r="1449" spans="1:9">
      <c r="A1449" s="13">
        <v>45574</v>
      </c>
      <c r="B1449" s="91">
        <f t="shared" si="24"/>
        <v>2024</v>
      </c>
      <c r="C1449" s="15" t="s">
        <v>104</v>
      </c>
      <c r="D1449" s="15" t="s">
        <v>2118</v>
      </c>
      <c r="E1449" s="15" t="s">
        <v>2115</v>
      </c>
      <c r="F1449" s="15" t="s">
        <v>2124</v>
      </c>
      <c r="G1449" s="15" t="s">
        <v>2130</v>
      </c>
      <c r="H1449" s="15">
        <v>6845</v>
      </c>
      <c r="I1449" s="15">
        <v>1581.57</v>
      </c>
    </row>
    <row r="1450" spans="1:9">
      <c r="A1450" s="13">
        <v>45419</v>
      </c>
      <c r="B1450" s="91">
        <f t="shared" si="24"/>
        <v>2024</v>
      </c>
      <c r="C1450" s="15" t="s">
        <v>2141</v>
      </c>
      <c r="D1450" s="15" t="s">
        <v>2118</v>
      </c>
      <c r="E1450" s="15" t="s">
        <v>2151</v>
      </c>
      <c r="F1450" s="15" t="s">
        <v>2120</v>
      </c>
      <c r="G1450" s="15" t="s">
        <v>2133</v>
      </c>
      <c r="H1450" s="15">
        <v>7999</v>
      </c>
      <c r="I1450" s="15">
        <v>1948.19</v>
      </c>
    </row>
    <row r="1451" spans="1:9">
      <c r="A1451" s="13">
        <v>44900</v>
      </c>
      <c r="B1451" s="91">
        <f t="shared" si="24"/>
        <v>2022</v>
      </c>
      <c r="C1451" s="15" t="s">
        <v>2141</v>
      </c>
      <c r="D1451" s="15" t="s">
        <v>2118</v>
      </c>
      <c r="E1451" s="15" t="s">
        <v>2115</v>
      </c>
      <c r="F1451" s="15" t="s">
        <v>2124</v>
      </c>
      <c r="G1451" s="15" t="s">
        <v>2130</v>
      </c>
      <c r="H1451" s="15">
        <v>7487</v>
      </c>
      <c r="I1451" s="15">
        <v>2217.2199999999998</v>
      </c>
    </row>
    <row r="1452" spans="1:9">
      <c r="A1452" s="13">
        <v>45497</v>
      </c>
      <c r="B1452" s="91">
        <f t="shared" si="24"/>
        <v>2024</v>
      </c>
      <c r="C1452" s="15" t="s">
        <v>107</v>
      </c>
      <c r="D1452" s="15" t="s">
        <v>2153</v>
      </c>
      <c r="E1452" s="15" t="s">
        <v>2145</v>
      </c>
      <c r="F1452" s="15" t="s">
        <v>2138</v>
      </c>
      <c r="G1452" s="15" t="s">
        <v>2146</v>
      </c>
      <c r="H1452" s="15">
        <v>2011</v>
      </c>
      <c r="I1452" s="15">
        <v>584.20000000000005</v>
      </c>
    </row>
    <row r="1453" spans="1:9">
      <c r="A1453" s="13">
        <v>45085</v>
      </c>
      <c r="B1453" s="91">
        <f t="shared" si="24"/>
        <v>2023</v>
      </c>
      <c r="C1453" s="15" t="s">
        <v>2113</v>
      </c>
      <c r="D1453" s="15" t="s">
        <v>2131</v>
      </c>
      <c r="E1453" s="15" t="s">
        <v>2136</v>
      </c>
      <c r="F1453" s="15" t="s">
        <v>2138</v>
      </c>
      <c r="G1453" s="15" t="s">
        <v>2139</v>
      </c>
      <c r="H1453" s="15">
        <v>4013</v>
      </c>
      <c r="I1453" s="15">
        <v>404.98</v>
      </c>
    </row>
    <row r="1454" spans="1:9">
      <c r="A1454" s="13">
        <v>45341</v>
      </c>
      <c r="B1454" s="91">
        <f t="shared" si="24"/>
        <v>2024</v>
      </c>
      <c r="C1454" s="15" t="s">
        <v>2141</v>
      </c>
      <c r="D1454" s="15" t="s">
        <v>2142</v>
      </c>
      <c r="E1454" s="15" t="s">
        <v>2144</v>
      </c>
      <c r="F1454" s="15" t="s">
        <v>2116</v>
      </c>
      <c r="G1454" s="15" t="s">
        <v>2117</v>
      </c>
      <c r="H1454" s="15">
        <v>6598</v>
      </c>
      <c r="I1454" s="15">
        <v>1505.77</v>
      </c>
    </row>
    <row r="1455" spans="1:9">
      <c r="A1455" s="13">
        <v>45131</v>
      </c>
      <c r="B1455" s="91">
        <f t="shared" si="24"/>
        <v>2023</v>
      </c>
      <c r="C1455" s="15" t="s">
        <v>2141</v>
      </c>
      <c r="D1455" s="15" t="s">
        <v>2135</v>
      </c>
      <c r="E1455" s="15" t="s">
        <v>2115</v>
      </c>
      <c r="F1455" s="15" t="s">
        <v>2138</v>
      </c>
      <c r="G1455" s="15" t="s">
        <v>2139</v>
      </c>
      <c r="H1455" s="15">
        <v>1506</v>
      </c>
      <c r="I1455" s="15">
        <v>169.3</v>
      </c>
    </row>
    <row r="1456" spans="1:9">
      <c r="A1456" s="13">
        <v>44824</v>
      </c>
      <c r="B1456" s="91">
        <f t="shared" si="24"/>
        <v>2022</v>
      </c>
      <c r="C1456" s="15" t="s">
        <v>104</v>
      </c>
      <c r="D1456" s="15" t="s">
        <v>2114</v>
      </c>
      <c r="E1456" s="15" t="s">
        <v>2119</v>
      </c>
      <c r="F1456" s="15" t="s">
        <v>2116</v>
      </c>
      <c r="G1456" s="15" t="s">
        <v>2154</v>
      </c>
      <c r="H1456" s="15">
        <v>1045</v>
      </c>
      <c r="I1456" s="15">
        <v>120.76</v>
      </c>
    </row>
    <row r="1457" spans="1:9">
      <c r="A1457" s="13">
        <v>44987</v>
      </c>
      <c r="B1457" s="91">
        <f t="shared" si="24"/>
        <v>2023</v>
      </c>
      <c r="C1457" s="15" t="s">
        <v>104</v>
      </c>
      <c r="D1457" s="15" t="s">
        <v>2135</v>
      </c>
      <c r="E1457" s="15" t="s">
        <v>2119</v>
      </c>
      <c r="F1457" s="15" t="s">
        <v>2120</v>
      </c>
      <c r="G1457" s="15" t="s">
        <v>2121</v>
      </c>
      <c r="H1457" s="15">
        <v>5214</v>
      </c>
      <c r="I1457" s="15">
        <v>922.25</v>
      </c>
    </row>
    <row r="1458" spans="1:9">
      <c r="A1458" s="13">
        <v>45159</v>
      </c>
      <c r="B1458" s="91">
        <f t="shared" si="24"/>
        <v>2023</v>
      </c>
      <c r="C1458" s="15" t="s">
        <v>2141</v>
      </c>
      <c r="D1458" s="15" t="s">
        <v>2128</v>
      </c>
      <c r="E1458" s="15" t="s">
        <v>2115</v>
      </c>
      <c r="F1458" s="15" t="s">
        <v>2124</v>
      </c>
      <c r="G1458" s="15" t="s">
        <v>2125</v>
      </c>
      <c r="H1458" s="15">
        <v>5456</v>
      </c>
      <c r="I1458" s="15">
        <v>916.57</v>
      </c>
    </row>
    <row r="1459" spans="1:9">
      <c r="A1459" s="13">
        <v>45356</v>
      </c>
      <c r="B1459" s="91">
        <f t="shared" si="24"/>
        <v>2024</v>
      </c>
      <c r="C1459" s="15" t="s">
        <v>104</v>
      </c>
      <c r="D1459" s="15" t="s">
        <v>2135</v>
      </c>
      <c r="E1459" s="15" t="s">
        <v>2119</v>
      </c>
      <c r="F1459" s="15" t="s">
        <v>2124</v>
      </c>
      <c r="G1459" s="15" t="s">
        <v>2130</v>
      </c>
      <c r="H1459" s="15">
        <v>1564</v>
      </c>
      <c r="I1459" s="15">
        <v>361.73</v>
      </c>
    </row>
    <row r="1460" spans="1:9">
      <c r="A1460" s="13">
        <v>44983</v>
      </c>
      <c r="B1460" s="91">
        <f t="shared" si="24"/>
        <v>2023</v>
      </c>
      <c r="C1460" s="15" t="s">
        <v>104</v>
      </c>
      <c r="D1460" s="15" t="s">
        <v>2118</v>
      </c>
      <c r="E1460" s="15" t="s">
        <v>2119</v>
      </c>
      <c r="F1460" s="15" t="s">
        <v>2120</v>
      </c>
      <c r="G1460" s="15" t="s">
        <v>2133</v>
      </c>
      <c r="H1460" s="15">
        <v>1646</v>
      </c>
      <c r="I1460" s="15">
        <v>217.81</v>
      </c>
    </row>
    <row r="1461" spans="1:9">
      <c r="A1461" s="13">
        <v>44845</v>
      </c>
      <c r="B1461" s="91">
        <f t="shared" si="24"/>
        <v>2022</v>
      </c>
      <c r="C1461" s="15" t="s">
        <v>2113</v>
      </c>
      <c r="D1461" s="15" t="s">
        <v>2118</v>
      </c>
      <c r="E1461" s="15" t="s">
        <v>2145</v>
      </c>
      <c r="F1461" s="15" t="s">
        <v>2120</v>
      </c>
      <c r="G1461" s="15" t="s">
        <v>2121</v>
      </c>
      <c r="H1461" s="15">
        <v>1800</v>
      </c>
      <c r="I1461" s="15">
        <v>313.74</v>
      </c>
    </row>
    <row r="1462" spans="1:9">
      <c r="A1462" s="13">
        <v>45294</v>
      </c>
      <c r="B1462" s="91">
        <f t="shared" si="24"/>
        <v>2024</v>
      </c>
      <c r="C1462" s="15" t="s">
        <v>2141</v>
      </c>
      <c r="D1462" s="15" t="s">
        <v>2128</v>
      </c>
      <c r="E1462" s="15" t="s">
        <v>2129</v>
      </c>
      <c r="F1462" s="15" t="s">
        <v>2120</v>
      </c>
      <c r="G1462" s="15" t="s">
        <v>2121</v>
      </c>
      <c r="H1462" s="15">
        <v>5933</v>
      </c>
      <c r="I1462" s="15">
        <v>607.5</v>
      </c>
    </row>
    <row r="1463" spans="1:9">
      <c r="A1463" s="13">
        <v>45010</v>
      </c>
      <c r="B1463" s="91">
        <f t="shared" si="24"/>
        <v>2023</v>
      </c>
      <c r="C1463" s="15" t="s">
        <v>107</v>
      </c>
      <c r="D1463" s="15" t="s">
        <v>2114</v>
      </c>
      <c r="E1463" s="15" t="s">
        <v>2134</v>
      </c>
      <c r="F1463" s="15" t="s">
        <v>2138</v>
      </c>
      <c r="G1463" s="15" t="s">
        <v>2139</v>
      </c>
      <c r="H1463" s="15">
        <v>8866</v>
      </c>
      <c r="I1463" s="15">
        <v>1705.34</v>
      </c>
    </row>
    <row r="1464" spans="1:9">
      <c r="A1464" s="13">
        <v>45214</v>
      </c>
      <c r="B1464" s="91">
        <f t="shared" si="24"/>
        <v>2023</v>
      </c>
      <c r="C1464" s="15" t="s">
        <v>104</v>
      </c>
      <c r="D1464" s="15" t="s">
        <v>2126</v>
      </c>
      <c r="E1464" s="15" t="s">
        <v>2143</v>
      </c>
      <c r="F1464" s="15" t="s">
        <v>2124</v>
      </c>
      <c r="G1464" s="15" t="s">
        <v>2125</v>
      </c>
      <c r="H1464" s="15">
        <v>8787</v>
      </c>
      <c r="I1464" s="15">
        <v>1274.49</v>
      </c>
    </row>
    <row r="1465" spans="1:9">
      <c r="A1465" s="13">
        <v>45142</v>
      </c>
      <c r="B1465" s="91">
        <f t="shared" si="24"/>
        <v>2023</v>
      </c>
      <c r="C1465" s="15" t="s">
        <v>2141</v>
      </c>
      <c r="D1465" s="15" t="s">
        <v>2128</v>
      </c>
      <c r="E1465" s="15" t="s">
        <v>2145</v>
      </c>
      <c r="F1465" s="15" t="s">
        <v>2116</v>
      </c>
      <c r="G1465" s="15" t="s">
        <v>2154</v>
      </c>
      <c r="H1465" s="15">
        <v>6605</v>
      </c>
      <c r="I1465" s="15">
        <v>1327.46</v>
      </c>
    </row>
    <row r="1466" spans="1:9">
      <c r="A1466" s="13">
        <v>44781</v>
      </c>
      <c r="B1466" s="91">
        <f t="shared" si="24"/>
        <v>2022</v>
      </c>
      <c r="C1466" s="15" t="s">
        <v>2141</v>
      </c>
      <c r="D1466" s="15" t="s">
        <v>2118</v>
      </c>
      <c r="E1466" s="15" t="s">
        <v>2136</v>
      </c>
      <c r="F1466" s="15" t="s">
        <v>2124</v>
      </c>
      <c r="G1466" s="15" t="s">
        <v>2130</v>
      </c>
      <c r="H1466" s="15">
        <v>5199</v>
      </c>
      <c r="I1466" s="15">
        <v>964.56</v>
      </c>
    </row>
    <row r="1467" spans="1:9">
      <c r="A1467" s="13">
        <v>45514</v>
      </c>
      <c r="B1467" s="91">
        <f t="shared" si="24"/>
        <v>2024</v>
      </c>
      <c r="C1467" s="15" t="s">
        <v>2141</v>
      </c>
      <c r="D1467" s="15" t="s">
        <v>2142</v>
      </c>
      <c r="E1467" s="15" t="s">
        <v>2144</v>
      </c>
      <c r="F1467" s="15" t="s">
        <v>2120</v>
      </c>
      <c r="G1467" s="15" t="s">
        <v>2132</v>
      </c>
      <c r="H1467" s="15">
        <v>8960</v>
      </c>
      <c r="I1467" s="15">
        <v>1395.25</v>
      </c>
    </row>
    <row r="1468" spans="1:9">
      <c r="A1468" s="13">
        <v>44743</v>
      </c>
      <c r="B1468" s="91">
        <f t="shared" si="24"/>
        <v>2022</v>
      </c>
      <c r="C1468" s="15" t="s">
        <v>107</v>
      </c>
      <c r="D1468" s="15" t="s">
        <v>2148</v>
      </c>
      <c r="E1468" s="15" t="s">
        <v>2143</v>
      </c>
      <c r="F1468" s="15" t="s">
        <v>2124</v>
      </c>
      <c r="G1468" s="15" t="s">
        <v>2130</v>
      </c>
      <c r="H1468" s="15">
        <v>9926</v>
      </c>
      <c r="I1468" s="15">
        <v>1163.48</v>
      </c>
    </row>
    <row r="1469" spans="1:9">
      <c r="A1469" s="13">
        <v>45547</v>
      </c>
      <c r="B1469" s="91">
        <f t="shared" si="24"/>
        <v>2024</v>
      </c>
      <c r="C1469" s="15" t="s">
        <v>107</v>
      </c>
      <c r="D1469" s="15" t="s">
        <v>2128</v>
      </c>
      <c r="E1469" s="15" t="s">
        <v>2145</v>
      </c>
      <c r="F1469" s="15" t="s">
        <v>2138</v>
      </c>
      <c r="G1469" s="15" t="s">
        <v>2149</v>
      </c>
      <c r="H1469" s="15">
        <v>9488</v>
      </c>
      <c r="I1469" s="15">
        <v>1090.46</v>
      </c>
    </row>
    <row r="1470" spans="1:9">
      <c r="A1470" s="13">
        <v>45542</v>
      </c>
      <c r="B1470" s="91">
        <f t="shared" si="24"/>
        <v>2024</v>
      </c>
      <c r="C1470" s="15" t="s">
        <v>104</v>
      </c>
      <c r="D1470" s="15" t="s">
        <v>2114</v>
      </c>
      <c r="E1470" s="15" t="s">
        <v>2144</v>
      </c>
      <c r="F1470" s="15" t="s">
        <v>2116</v>
      </c>
      <c r="G1470" s="15" t="s">
        <v>2154</v>
      </c>
      <c r="H1470" s="15">
        <v>9572</v>
      </c>
      <c r="I1470" s="15">
        <v>2378.19</v>
      </c>
    </row>
    <row r="1471" spans="1:9">
      <c r="A1471" s="13">
        <v>45422</v>
      </c>
      <c r="B1471" s="91">
        <f t="shared" si="24"/>
        <v>2024</v>
      </c>
      <c r="C1471" s="15" t="s">
        <v>104</v>
      </c>
      <c r="D1471" s="15" t="s">
        <v>2152</v>
      </c>
      <c r="E1471" s="15" t="s">
        <v>2145</v>
      </c>
      <c r="F1471" s="15" t="s">
        <v>2116</v>
      </c>
      <c r="G1471" s="15" t="s">
        <v>2117</v>
      </c>
      <c r="H1471" s="15">
        <v>9056</v>
      </c>
      <c r="I1471" s="15">
        <v>1626.82</v>
      </c>
    </row>
    <row r="1472" spans="1:9">
      <c r="A1472" s="13">
        <v>44637</v>
      </c>
      <c r="B1472" s="91">
        <f t="shared" si="24"/>
        <v>2022</v>
      </c>
      <c r="C1472" s="15" t="s">
        <v>2141</v>
      </c>
      <c r="D1472" s="15" t="s">
        <v>2131</v>
      </c>
      <c r="E1472" s="15" t="s">
        <v>2119</v>
      </c>
      <c r="F1472" s="15" t="s">
        <v>2120</v>
      </c>
      <c r="G1472" s="15" t="s">
        <v>2121</v>
      </c>
      <c r="H1472" s="15">
        <v>2031</v>
      </c>
      <c r="I1472" s="15">
        <v>489.99</v>
      </c>
    </row>
    <row r="1473" spans="1:9">
      <c r="A1473" s="13">
        <v>44829</v>
      </c>
      <c r="B1473" s="91">
        <f t="shared" si="24"/>
        <v>2022</v>
      </c>
      <c r="C1473" s="15" t="s">
        <v>2141</v>
      </c>
      <c r="D1473" s="15" t="s">
        <v>2135</v>
      </c>
      <c r="E1473" s="15" t="s">
        <v>2119</v>
      </c>
      <c r="F1473" s="15" t="s">
        <v>2116</v>
      </c>
      <c r="G1473" s="15" t="s">
        <v>2127</v>
      </c>
      <c r="H1473" s="15">
        <v>3478</v>
      </c>
      <c r="I1473" s="15">
        <v>1011.79</v>
      </c>
    </row>
    <row r="1474" spans="1:9">
      <c r="A1474" s="13">
        <v>45239</v>
      </c>
      <c r="B1474" s="91">
        <f t="shared" si="24"/>
        <v>2023</v>
      </c>
      <c r="C1474" s="15" t="s">
        <v>2113</v>
      </c>
      <c r="D1474" s="15" t="s">
        <v>2118</v>
      </c>
      <c r="E1474" s="15" t="s">
        <v>2143</v>
      </c>
      <c r="F1474" s="15" t="s">
        <v>2124</v>
      </c>
      <c r="G1474" s="15" t="s">
        <v>2125</v>
      </c>
      <c r="H1474" s="15">
        <v>4097</v>
      </c>
      <c r="I1474" s="15">
        <v>467.95</v>
      </c>
    </row>
    <row r="1475" spans="1:9">
      <c r="A1475" s="13">
        <v>45463</v>
      </c>
      <c r="B1475" s="91">
        <f t="shared" ref="B1475:B1538" si="25">YEAR(A1475)</f>
        <v>2024</v>
      </c>
      <c r="C1475" s="15" t="s">
        <v>104</v>
      </c>
      <c r="D1475" s="15" t="s">
        <v>2142</v>
      </c>
      <c r="E1475" s="15" t="s">
        <v>2143</v>
      </c>
      <c r="F1475" s="15" t="s">
        <v>2138</v>
      </c>
      <c r="G1475" s="15" t="s">
        <v>2146</v>
      </c>
      <c r="H1475" s="15">
        <v>2385</v>
      </c>
      <c r="I1475" s="15">
        <v>545.51</v>
      </c>
    </row>
    <row r="1476" spans="1:9">
      <c r="A1476" s="13">
        <v>44722</v>
      </c>
      <c r="B1476" s="91">
        <f t="shared" si="25"/>
        <v>2022</v>
      </c>
      <c r="C1476" s="15" t="s">
        <v>104</v>
      </c>
      <c r="D1476" s="15" t="s">
        <v>2153</v>
      </c>
      <c r="E1476" s="15" t="s">
        <v>2143</v>
      </c>
      <c r="F1476" s="15" t="s">
        <v>2138</v>
      </c>
      <c r="G1476" s="15" t="s">
        <v>2139</v>
      </c>
      <c r="H1476" s="15">
        <v>3645</v>
      </c>
      <c r="I1476" s="15">
        <v>1058.96</v>
      </c>
    </row>
    <row r="1477" spans="1:9">
      <c r="A1477" s="13">
        <v>45268</v>
      </c>
      <c r="B1477" s="91">
        <f t="shared" si="25"/>
        <v>2023</v>
      </c>
      <c r="C1477" s="15" t="s">
        <v>107</v>
      </c>
      <c r="D1477" s="15" t="s">
        <v>2131</v>
      </c>
      <c r="E1477" s="15" t="s">
        <v>2143</v>
      </c>
      <c r="F1477" s="15" t="s">
        <v>2124</v>
      </c>
      <c r="G1477" s="15" t="s">
        <v>2130</v>
      </c>
      <c r="H1477" s="15">
        <v>4457</v>
      </c>
      <c r="I1477" s="15">
        <v>719.3</v>
      </c>
    </row>
    <row r="1478" spans="1:9">
      <c r="A1478" s="13">
        <v>44930</v>
      </c>
      <c r="B1478" s="91">
        <f t="shared" si="25"/>
        <v>2023</v>
      </c>
      <c r="C1478" s="15" t="s">
        <v>107</v>
      </c>
      <c r="D1478" s="15" t="s">
        <v>2142</v>
      </c>
      <c r="E1478" s="15" t="s">
        <v>2123</v>
      </c>
      <c r="F1478" s="15" t="s">
        <v>2138</v>
      </c>
      <c r="G1478" s="15" t="s">
        <v>2139</v>
      </c>
      <c r="H1478" s="15">
        <v>9722</v>
      </c>
      <c r="I1478" s="15">
        <v>2430.92</v>
      </c>
    </row>
    <row r="1479" spans="1:9">
      <c r="A1479" s="13">
        <v>44773</v>
      </c>
      <c r="B1479" s="91">
        <f t="shared" si="25"/>
        <v>2022</v>
      </c>
      <c r="C1479" s="15" t="s">
        <v>107</v>
      </c>
      <c r="D1479" s="15" t="s">
        <v>2153</v>
      </c>
      <c r="E1479" s="15" t="s">
        <v>2136</v>
      </c>
      <c r="F1479" s="15" t="s">
        <v>2120</v>
      </c>
      <c r="G1479" s="15" t="s">
        <v>2121</v>
      </c>
      <c r="H1479" s="15">
        <v>8362</v>
      </c>
      <c r="I1479" s="15">
        <v>1536.63</v>
      </c>
    </row>
    <row r="1480" spans="1:9">
      <c r="A1480" s="13">
        <v>44692</v>
      </c>
      <c r="B1480" s="91">
        <f t="shared" si="25"/>
        <v>2022</v>
      </c>
      <c r="C1480" s="15" t="s">
        <v>2113</v>
      </c>
      <c r="D1480" s="15" t="s">
        <v>2131</v>
      </c>
      <c r="E1480" s="15" t="s">
        <v>2119</v>
      </c>
      <c r="F1480" s="15" t="s">
        <v>2138</v>
      </c>
      <c r="G1480" s="15" t="s">
        <v>2146</v>
      </c>
      <c r="H1480" s="15">
        <v>9005</v>
      </c>
      <c r="I1480" s="15">
        <v>1963.65</v>
      </c>
    </row>
    <row r="1481" spans="1:9">
      <c r="A1481" s="13">
        <v>45365</v>
      </c>
      <c r="B1481" s="91">
        <f t="shared" si="25"/>
        <v>2024</v>
      </c>
      <c r="C1481" s="15" t="s">
        <v>2113</v>
      </c>
      <c r="D1481" s="15" t="s">
        <v>2152</v>
      </c>
      <c r="E1481" s="15" t="s">
        <v>2115</v>
      </c>
      <c r="F1481" s="15" t="s">
        <v>2124</v>
      </c>
      <c r="G1481" s="15" t="s">
        <v>2130</v>
      </c>
      <c r="H1481" s="15">
        <v>1393</v>
      </c>
      <c r="I1481" s="15">
        <v>279.25</v>
      </c>
    </row>
    <row r="1482" spans="1:9">
      <c r="A1482" s="13">
        <v>45497</v>
      </c>
      <c r="B1482" s="91">
        <f t="shared" si="25"/>
        <v>2024</v>
      </c>
      <c r="C1482" s="15" t="s">
        <v>107</v>
      </c>
      <c r="D1482" s="15" t="s">
        <v>2148</v>
      </c>
      <c r="E1482" s="15" t="s">
        <v>2119</v>
      </c>
      <c r="F1482" s="15" t="s">
        <v>2124</v>
      </c>
      <c r="G1482" s="15" t="s">
        <v>2130</v>
      </c>
      <c r="H1482" s="15">
        <v>7915</v>
      </c>
      <c r="I1482" s="15">
        <v>1001.31</v>
      </c>
    </row>
    <row r="1483" spans="1:9">
      <c r="A1483" s="13">
        <v>44737</v>
      </c>
      <c r="B1483" s="91">
        <f t="shared" si="25"/>
        <v>2022</v>
      </c>
      <c r="C1483" s="15" t="s">
        <v>2113</v>
      </c>
      <c r="D1483" s="15" t="s">
        <v>2135</v>
      </c>
      <c r="E1483" s="15" t="s">
        <v>2143</v>
      </c>
      <c r="F1483" s="15" t="s">
        <v>2116</v>
      </c>
      <c r="G1483" s="15" t="s">
        <v>2127</v>
      </c>
      <c r="H1483" s="15">
        <v>5560</v>
      </c>
      <c r="I1483" s="15">
        <v>1369.33</v>
      </c>
    </row>
    <row r="1484" spans="1:9">
      <c r="A1484" s="13">
        <v>45382</v>
      </c>
      <c r="B1484" s="91">
        <f t="shared" si="25"/>
        <v>2024</v>
      </c>
      <c r="C1484" s="15" t="s">
        <v>2141</v>
      </c>
      <c r="D1484" s="15" t="s">
        <v>2152</v>
      </c>
      <c r="E1484" s="15" t="s">
        <v>2134</v>
      </c>
      <c r="F1484" s="15" t="s">
        <v>2120</v>
      </c>
      <c r="G1484" s="15" t="s">
        <v>2121</v>
      </c>
      <c r="H1484" s="15">
        <v>3808</v>
      </c>
      <c r="I1484" s="15">
        <v>919.06</v>
      </c>
    </row>
    <row r="1485" spans="1:9">
      <c r="A1485" s="13">
        <v>45456</v>
      </c>
      <c r="B1485" s="91">
        <f t="shared" si="25"/>
        <v>2024</v>
      </c>
      <c r="C1485" s="15" t="s">
        <v>107</v>
      </c>
      <c r="D1485" s="15" t="s">
        <v>2131</v>
      </c>
      <c r="E1485" s="15" t="s">
        <v>2145</v>
      </c>
      <c r="F1485" s="15" t="s">
        <v>2116</v>
      </c>
      <c r="G1485" s="15" t="s">
        <v>2154</v>
      </c>
      <c r="H1485" s="15">
        <v>6949</v>
      </c>
      <c r="I1485" s="15">
        <v>934.26</v>
      </c>
    </row>
    <row r="1486" spans="1:9">
      <c r="A1486" s="13">
        <v>45135</v>
      </c>
      <c r="B1486" s="91">
        <f t="shared" si="25"/>
        <v>2023</v>
      </c>
      <c r="C1486" s="15" t="s">
        <v>2141</v>
      </c>
      <c r="D1486" s="15" t="s">
        <v>2126</v>
      </c>
      <c r="E1486" s="15" t="s">
        <v>2144</v>
      </c>
      <c r="F1486" s="15" t="s">
        <v>2124</v>
      </c>
      <c r="G1486" s="15" t="s">
        <v>2125</v>
      </c>
      <c r="H1486" s="15">
        <v>6265</v>
      </c>
      <c r="I1486" s="15">
        <v>1593.58</v>
      </c>
    </row>
    <row r="1487" spans="1:9">
      <c r="A1487" s="13">
        <v>45060</v>
      </c>
      <c r="B1487" s="91">
        <f t="shared" si="25"/>
        <v>2023</v>
      </c>
      <c r="C1487" s="15" t="s">
        <v>2141</v>
      </c>
      <c r="D1487" s="15" t="s">
        <v>2148</v>
      </c>
      <c r="E1487" s="15" t="s">
        <v>2144</v>
      </c>
      <c r="F1487" s="15" t="s">
        <v>2120</v>
      </c>
      <c r="G1487" s="15" t="s">
        <v>2121</v>
      </c>
      <c r="H1487" s="15">
        <v>5840</v>
      </c>
      <c r="I1487" s="15">
        <v>737.95</v>
      </c>
    </row>
    <row r="1488" spans="1:9">
      <c r="A1488" s="13">
        <v>45404</v>
      </c>
      <c r="B1488" s="91">
        <f t="shared" si="25"/>
        <v>2024</v>
      </c>
      <c r="C1488" s="15" t="s">
        <v>104</v>
      </c>
      <c r="D1488" s="15" t="s">
        <v>2148</v>
      </c>
      <c r="E1488" s="15" t="s">
        <v>2145</v>
      </c>
      <c r="F1488" s="15" t="s">
        <v>2120</v>
      </c>
      <c r="G1488" s="15" t="s">
        <v>2132</v>
      </c>
      <c r="H1488" s="15">
        <v>7330</v>
      </c>
      <c r="I1488" s="15">
        <v>1934.04</v>
      </c>
    </row>
    <row r="1489" spans="1:9">
      <c r="A1489" s="13">
        <v>45047</v>
      </c>
      <c r="B1489" s="91">
        <f t="shared" si="25"/>
        <v>2023</v>
      </c>
      <c r="C1489" s="15" t="s">
        <v>104</v>
      </c>
      <c r="D1489" s="15" t="s">
        <v>2114</v>
      </c>
      <c r="E1489" s="15" t="s">
        <v>2119</v>
      </c>
      <c r="F1489" s="15" t="s">
        <v>2116</v>
      </c>
      <c r="G1489" s="15" t="s">
        <v>2127</v>
      </c>
      <c r="H1489" s="15">
        <v>1167</v>
      </c>
      <c r="I1489" s="15">
        <v>277.68</v>
      </c>
    </row>
    <row r="1490" spans="1:9">
      <c r="A1490" s="13">
        <v>45519</v>
      </c>
      <c r="B1490" s="91">
        <f t="shared" si="25"/>
        <v>2024</v>
      </c>
      <c r="C1490" s="15" t="s">
        <v>2113</v>
      </c>
      <c r="D1490" s="15" t="s">
        <v>2114</v>
      </c>
      <c r="E1490" s="15" t="s">
        <v>2143</v>
      </c>
      <c r="F1490" s="15" t="s">
        <v>2120</v>
      </c>
      <c r="G1490" s="15" t="s">
        <v>2121</v>
      </c>
      <c r="H1490" s="15">
        <v>7681</v>
      </c>
      <c r="I1490" s="15">
        <v>2214.41</v>
      </c>
    </row>
    <row r="1491" spans="1:9">
      <c r="A1491" s="13">
        <v>45229</v>
      </c>
      <c r="B1491" s="91">
        <f t="shared" si="25"/>
        <v>2023</v>
      </c>
      <c r="C1491" s="15" t="s">
        <v>107</v>
      </c>
      <c r="D1491" s="15" t="s">
        <v>2152</v>
      </c>
      <c r="E1491" s="15" t="s">
        <v>2145</v>
      </c>
      <c r="F1491" s="15" t="s">
        <v>2138</v>
      </c>
      <c r="G1491" s="15" t="s">
        <v>2139</v>
      </c>
      <c r="H1491" s="15">
        <v>4276</v>
      </c>
      <c r="I1491" s="15">
        <v>1152.44</v>
      </c>
    </row>
    <row r="1492" spans="1:9">
      <c r="A1492" s="13">
        <v>45017</v>
      </c>
      <c r="B1492" s="91">
        <f t="shared" si="25"/>
        <v>2023</v>
      </c>
      <c r="C1492" s="15" t="s">
        <v>107</v>
      </c>
      <c r="D1492" s="15" t="s">
        <v>2148</v>
      </c>
      <c r="E1492" s="15" t="s">
        <v>2115</v>
      </c>
      <c r="F1492" s="15" t="s">
        <v>2138</v>
      </c>
      <c r="G1492" s="15" t="s">
        <v>2139</v>
      </c>
      <c r="H1492" s="15">
        <v>2126</v>
      </c>
      <c r="I1492" s="15">
        <v>604.29</v>
      </c>
    </row>
    <row r="1493" spans="1:9">
      <c r="A1493" s="13">
        <v>44988</v>
      </c>
      <c r="B1493" s="91">
        <f t="shared" si="25"/>
        <v>2023</v>
      </c>
      <c r="C1493" s="15" t="s">
        <v>104</v>
      </c>
      <c r="D1493" s="15" t="s">
        <v>2114</v>
      </c>
      <c r="E1493" s="15" t="s">
        <v>2119</v>
      </c>
      <c r="F1493" s="15" t="s">
        <v>2138</v>
      </c>
      <c r="G1493" s="15" t="s">
        <v>2149</v>
      </c>
      <c r="H1493" s="15">
        <v>5797</v>
      </c>
      <c r="I1493" s="15">
        <v>1279.33</v>
      </c>
    </row>
    <row r="1494" spans="1:9">
      <c r="A1494" s="13">
        <v>45571</v>
      </c>
      <c r="B1494" s="91">
        <f t="shared" si="25"/>
        <v>2024</v>
      </c>
      <c r="C1494" s="15" t="s">
        <v>104</v>
      </c>
      <c r="D1494" s="15" t="s">
        <v>2126</v>
      </c>
      <c r="E1494" s="15" t="s">
        <v>2134</v>
      </c>
      <c r="F1494" s="15" t="s">
        <v>2116</v>
      </c>
      <c r="G1494" s="15" t="s">
        <v>2154</v>
      </c>
      <c r="H1494" s="15">
        <v>8135</v>
      </c>
      <c r="I1494" s="15">
        <v>1501.49</v>
      </c>
    </row>
    <row r="1495" spans="1:9">
      <c r="A1495" s="13">
        <v>45107</v>
      </c>
      <c r="B1495" s="91">
        <f t="shared" si="25"/>
        <v>2023</v>
      </c>
      <c r="C1495" s="15" t="s">
        <v>107</v>
      </c>
      <c r="D1495" s="15" t="s">
        <v>2135</v>
      </c>
      <c r="E1495" s="15" t="s">
        <v>2119</v>
      </c>
      <c r="F1495" s="15" t="s">
        <v>2138</v>
      </c>
      <c r="G1495" s="15" t="s">
        <v>2139</v>
      </c>
      <c r="H1495" s="15">
        <v>2480</v>
      </c>
      <c r="I1495" s="15">
        <v>581.24</v>
      </c>
    </row>
    <row r="1496" spans="1:9">
      <c r="A1496" s="13">
        <v>45644</v>
      </c>
      <c r="B1496" s="91">
        <f t="shared" si="25"/>
        <v>2024</v>
      </c>
      <c r="C1496" s="15" t="s">
        <v>2141</v>
      </c>
      <c r="D1496" s="15" t="s">
        <v>2118</v>
      </c>
      <c r="E1496" s="15" t="s">
        <v>2143</v>
      </c>
      <c r="F1496" s="15" t="s">
        <v>2116</v>
      </c>
      <c r="G1496" s="15" t="s">
        <v>2127</v>
      </c>
      <c r="H1496" s="15">
        <v>5159</v>
      </c>
      <c r="I1496" s="15">
        <v>1423.76</v>
      </c>
    </row>
    <row r="1497" spans="1:9">
      <c r="A1497" s="13">
        <v>44748</v>
      </c>
      <c r="B1497" s="91">
        <f t="shared" si="25"/>
        <v>2022</v>
      </c>
      <c r="C1497" s="15" t="s">
        <v>2113</v>
      </c>
      <c r="D1497" s="15" t="s">
        <v>2142</v>
      </c>
      <c r="E1497" s="15" t="s">
        <v>2119</v>
      </c>
      <c r="F1497" s="15" t="s">
        <v>2124</v>
      </c>
      <c r="G1497" s="15" t="s">
        <v>2130</v>
      </c>
      <c r="H1497" s="15">
        <v>2975</v>
      </c>
      <c r="I1497" s="15">
        <v>584.82000000000005</v>
      </c>
    </row>
    <row r="1498" spans="1:9">
      <c r="A1498" s="13">
        <v>44989</v>
      </c>
      <c r="B1498" s="91">
        <f t="shared" si="25"/>
        <v>2023</v>
      </c>
      <c r="C1498" s="15" t="s">
        <v>107</v>
      </c>
      <c r="D1498" s="15" t="s">
        <v>2153</v>
      </c>
      <c r="E1498" s="15" t="s">
        <v>2151</v>
      </c>
      <c r="F1498" s="15" t="s">
        <v>2138</v>
      </c>
      <c r="G1498" s="15" t="s">
        <v>2149</v>
      </c>
      <c r="H1498" s="15">
        <v>3987</v>
      </c>
      <c r="I1498" s="15">
        <v>959.02</v>
      </c>
    </row>
    <row r="1499" spans="1:9">
      <c r="A1499" s="13">
        <v>45604</v>
      </c>
      <c r="B1499" s="91">
        <f t="shared" si="25"/>
        <v>2024</v>
      </c>
      <c r="C1499" s="15" t="s">
        <v>2113</v>
      </c>
      <c r="D1499" s="15" t="s">
        <v>2114</v>
      </c>
      <c r="E1499" s="15" t="s">
        <v>2123</v>
      </c>
      <c r="F1499" s="15" t="s">
        <v>2138</v>
      </c>
      <c r="G1499" s="15" t="s">
        <v>2149</v>
      </c>
      <c r="H1499" s="15">
        <v>1472</v>
      </c>
      <c r="I1499" s="15">
        <v>220.75</v>
      </c>
    </row>
    <row r="1500" spans="1:9">
      <c r="A1500" s="13">
        <v>45373</v>
      </c>
      <c r="B1500" s="91">
        <f t="shared" si="25"/>
        <v>2024</v>
      </c>
      <c r="C1500" s="15" t="s">
        <v>2113</v>
      </c>
      <c r="D1500" s="15" t="s">
        <v>2126</v>
      </c>
      <c r="E1500" s="15" t="s">
        <v>2145</v>
      </c>
      <c r="F1500" s="15" t="s">
        <v>2138</v>
      </c>
      <c r="G1500" s="15" t="s">
        <v>2139</v>
      </c>
      <c r="H1500" s="15">
        <v>3907</v>
      </c>
      <c r="I1500" s="15">
        <v>729.64</v>
      </c>
    </row>
    <row r="1501" spans="1:9">
      <c r="A1501" s="13">
        <v>44779</v>
      </c>
      <c r="B1501" s="91">
        <f t="shared" si="25"/>
        <v>2022</v>
      </c>
      <c r="C1501" s="15" t="s">
        <v>104</v>
      </c>
      <c r="D1501" s="15" t="s">
        <v>2131</v>
      </c>
      <c r="E1501" s="15" t="s">
        <v>2129</v>
      </c>
      <c r="F1501" s="15" t="s">
        <v>2124</v>
      </c>
      <c r="G1501" s="15" t="s">
        <v>2125</v>
      </c>
      <c r="H1501" s="15">
        <v>3120</v>
      </c>
      <c r="I1501" s="15">
        <v>647.48</v>
      </c>
    </row>
    <row r="1502" spans="1:9">
      <c r="A1502" s="13">
        <v>45593</v>
      </c>
      <c r="B1502" s="91">
        <f t="shared" si="25"/>
        <v>2024</v>
      </c>
      <c r="C1502" s="15" t="s">
        <v>107</v>
      </c>
      <c r="D1502" s="15" t="s">
        <v>2148</v>
      </c>
      <c r="E1502" s="15" t="s">
        <v>2143</v>
      </c>
      <c r="F1502" s="15" t="s">
        <v>2124</v>
      </c>
      <c r="G1502" s="15" t="s">
        <v>2125</v>
      </c>
      <c r="H1502" s="15">
        <v>2890</v>
      </c>
      <c r="I1502" s="15">
        <v>429.51</v>
      </c>
    </row>
    <row r="1503" spans="1:9">
      <c r="A1503" s="13">
        <v>45204</v>
      </c>
      <c r="B1503" s="91">
        <f t="shared" si="25"/>
        <v>2023</v>
      </c>
      <c r="C1503" s="15" t="s">
        <v>2113</v>
      </c>
      <c r="D1503" s="15" t="s">
        <v>2135</v>
      </c>
      <c r="E1503" s="15" t="s">
        <v>2145</v>
      </c>
      <c r="F1503" s="15" t="s">
        <v>2138</v>
      </c>
      <c r="G1503" s="15" t="s">
        <v>2139</v>
      </c>
      <c r="H1503" s="15">
        <v>4001</v>
      </c>
      <c r="I1503" s="15">
        <v>1190.46</v>
      </c>
    </row>
    <row r="1504" spans="1:9">
      <c r="A1504" s="13">
        <v>45522</v>
      </c>
      <c r="B1504" s="91">
        <f t="shared" si="25"/>
        <v>2024</v>
      </c>
      <c r="C1504" s="15" t="s">
        <v>107</v>
      </c>
      <c r="D1504" s="15" t="s">
        <v>2153</v>
      </c>
      <c r="E1504" s="15" t="s">
        <v>2145</v>
      </c>
      <c r="F1504" s="15" t="s">
        <v>2138</v>
      </c>
      <c r="G1504" s="15" t="s">
        <v>2149</v>
      </c>
      <c r="H1504" s="15">
        <v>6948</v>
      </c>
      <c r="I1504" s="15">
        <v>1092.23</v>
      </c>
    </row>
    <row r="1505" spans="1:9">
      <c r="A1505" s="13">
        <v>45383</v>
      </c>
      <c r="B1505" s="91">
        <f t="shared" si="25"/>
        <v>2024</v>
      </c>
      <c r="C1505" s="15" t="s">
        <v>104</v>
      </c>
      <c r="D1505" s="15" t="s">
        <v>2153</v>
      </c>
      <c r="E1505" s="15" t="s">
        <v>2134</v>
      </c>
      <c r="F1505" s="15" t="s">
        <v>2120</v>
      </c>
      <c r="G1505" s="15" t="s">
        <v>2133</v>
      </c>
      <c r="H1505" s="15">
        <v>9202</v>
      </c>
      <c r="I1505" s="15">
        <v>1357.7</v>
      </c>
    </row>
    <row r="1506" spans="1:9">
      <c r="A1506" s="13">
        <v>45465</v>
      </c>
      <c r="B1506" s="91">
        <f t="shared" si="25"/>
        <v>2024</v>
      </c>
      <c r="C1506" s="15" t="s">
        <v>107</v>
      </c>
      <c r="D1506" s="15" t="s">
        <v>2126</v>
      </c>
      <c r="E1506" s="15" t="s">
        <v>2123</v>
      </c>
      <c r="F1506" s="15" t="s">
        <v>2120</v>
      </c>
      <c r="G1506" s="15" t="s">
        <v>2121</v>
      </c>
      <c r="H1506" s="15">
        <v>1316</v>
      </c>
      <c r="I1506" s="15">
        <v>366.73</v>
      </c>
    </row>
    <row r="1507" spans="1:9">
      <c r="A1507" s="13">
        <v>45345</v>
      </c>
      <c r="B1507" s="91">
        <f t="shared" si="25"/>
        <v>2024</v>
      </c>
      <c r="C1507" s="15" t="s">
        <v>2141</v>
      </c>
      <c r="D1507" s="15" t="s">
        <v>2153</v>
      </c>
      <c r="E1507" s="15" t="s">
        <v>2136</v>
      </c>
      <c r="F1507" s="15" t="s">
        <v>2116</v>
      </c>
      <c r="G1507" s="15" t="s">
        <v>2154</v>
      </c>
      <c r="H1507" s="15">
        <v>3928</v>
      </c>
      <c r="I1507" s="15">
        <v>408.66</v>
      </c>
    </row>
    <row r="1508" spans="1:9">
      <c r="A1508" s="13">
        <v>44661</v>
      </c>
      <c r="B1508" s="91">
        <f t="shared" si="25"/>
        <v>2022</v>
      </c>
      <c r="C1508" s="15" t="s">
        <v>104</v>
      </c>
      <c r="D1508" s="15" t="s">
        <v>2126</v>
      </c>
      <c r="E1508" s="15" t="s">
        <v>2143</v>
      </c>
      <c r="F1508" s="15" t="s">
        <v>2124</v>
      </c>
      <c r="G1508" s="15" t="s">
        <v>2130</v>
      </c>
      <c r="H1508" s="15">
        <v>5113</v>
      </c>
      <c r="I1508" s="15">
        <v>864.18</v>
      </c>
    </row>
    <row r="1509" spans="1:9">
      <c r="A1509" s="13">
        <v>45164</v>
      </c>
      <c r="B1509" s="91">
        <f t="shared" si="25"/>
        <v>2023</v>
      </c>
      <c r="C1509" s="15" t="s">
        <v>107</v>
      </c>
      <c r="D1509" s="15" t="s">
        <v>2114</v>
      </c>
      <c r="E1509" s="15" t="s">
        <v>2134</v>
      </c>
      <c r="F1509" s="15" t="s">
        <v>2138</v>
      </c>
      <c r="G1509" s="15" t="s">
        <v>2146</v>
      </c>
      <c r="H1509" s="15">
        <v>6030</v>
      </c>
      <c r="I1509" s="15">
        <v>999.31</v>
      </c>
    </row>
    <row r="1510" spans="1:9">
      <c r="A1510" s="13">
        <v>44969</v>
      </c>
      <c r="B1510" s="91">
        <f t="shared" si="25"/>
        <v>2023</v>
      </c>
      <c r="C1510" s="15" t="s">
        <v>2113</v>
      </c>
      <c r="D1510" s="15" t="s">
        <v>2114</v>
      </c>
      <c r="E1510" s="15" t="s">
        <v>2119</v>
      </c>
      <c r="F1510" s="15" t="s">
        <v>2116</v>
      </c>
      <c r="G1510" s="15" t="s">
        <v>2127</v>
      </c>
      <c r="H1510" s="15">
        <v>8053</v>
      </c>
      <c r="I1510" s="15">
        <v>1499.36</v>
      </c>
    </row>
    <row r="1511" spans="1:9">
      <c r="A1511" s="13">
        <v>45229</v>
      </c>
      <c r="B1511" s="91">
        <f t="shared" si="25"/>
        <v>2023</v>
      </c>
      <c r="C1511" s="15" t="s">
        <v>104</v>
      </c>
      <c r="D1511" s="15" t="s">
        <v>2153</v>
      </c>
      <c r="E1511" s="15" t="s">
        <v>2145</v>
      </c>
      <c r="F1511" s="15" t="s">
        <v>2120</v>
      </c>
      <c r="G1511" s="15" t="s">
        <v>2132</v>
      </c>
      <c r="H1511" s="15">
        <v>5536</v>
      </c>
      <c r="I1511" s="15">
        <v>1282.03</v>
      </c>
    </row>
    <row r="1512" spans="1:9">
      <c r="A1512" s="13">
        <v>44974</v>
      </c>
      <c r="B1512" s="91">
        <f t="shared" si="25"/>
        <v>2023</v>
      </c>
      <c r="C1512" s="15" t="s">
        <v>2141</v>
      </c>
      <c r="D1512" s="15" t="s">
        <v>2126</v>
      </c>
      <c r="E1512" s="15" t="s">
        <v>2136</v>
      </c>
      <c r="F1512" s="15" t="s">
        <v>2116</v>
      </c>
      <c r="G1512" s="15" t="s">
        <v>2117</v>
      </c>
      <c r="H1512" s="15">
        <v>6114</v>
      </c>
      <c r="I1512" s="15">
        <v>1315.61</v>
      </c>
    </row>
    <row r="1513" spans="1:9">
      <c r="A1513" s="13">
        <v>45499</v>
      </c>
      <c r="B1513" s="91">
        <f t="shared" si="25"/>
        <v>2024</v>
      </c>
      <c r="C1513" s="15" t="s">
        <v>104</v>
      </c>
      <c r="D1513" s="15" t="s">
        <v>2128</v>
      </c>
      <c r="E1513" s="15" t="s">
        <v>2123</v>
      </c>
      <c r="F1513" s="15" t="s">
        <v>2120</v>
      </c>
      <c r="G1513" s="15" t="s">
        <v>2121</v>
      </c>
      <c r="H1513" s="15">
        <v>5031</v>
      </c>
      <c r="I1513" s="15">
        <v>1174</v>
      </c>
    </row>
    <row r="1514" spans="1:9">
      <c r="A1514" s="13">
        <v>45566</v>
      </c>
      <c r="B1514" s="91">
        <f t="shared" si="25"/>
        <v>2024</v>
      </c>
      <c r="C1514" s="15" t="s">
        <v>2113</v>
      </c>
      <c r="D1514" s="15" t="s">
        <v>2128</v>
      </c>
      <c r="E1514" s="15" t="s">
        <v>2144</v>
      </c>
      <c r="F1514" s="15" t="s">
        <v>2120</v>
      </c>
      <c r="G1514" s="15" t="s">
        <v>2132</v>
      </c>
      <c r="H1514" s="15">
        <v>8790</v>
      </c>
      <c r="I1514" s="15">
        <v>1542.7</v>
      </c>
    </row>
    <row r="1515" spans="1:9">
      <c r="A1515" s="13">
        <v>45544</v>
      </c>
      <c r="B1515" s="91">
        <f t="shared" si="25"/>
        <v>2024</v>
      </c>
      <c r="C1515" s="15" t="s">
        <v>2113</v>
      </c>
      <c r="D1515" s="15" t="s">
        <v>2142</v>
      </c>
      <c r="E1515" s="15" t="s">
        <v>2129</v>
      </c>
      <c r="F1515" s="15" t="s">
        <v>2138</v>
      </c>
      <c r="G1515" s="15" t="s">
        <v>2146</v>
      </c>
      <c r="H1515" s="15">
        <v>7689</v>
      </c>
      <c r="I1515" s="15">
        <v>1220.26</v>
      </c>
    </row>
    <row r="1516" spans="1:9">
      <c r="A1516" s="13">
        <v>44986</v>
      </c>
      <c r="B1516" s="91">
        <f t="shared" si="25"/>
        <v>2023</v>
      </c>
      <c r="C1516" s="15" t="s">
        <v>2141</v>
      </c>
      <c r="D1516" s="15" t="s">
        <v>2152</v>
      </c>
      <c r="E1516" s="15" t="s">
        <v>2115</v>
      </c>
      <c r="F1516" s="15" t="s">
        <v>2116</v>
      </c>
      <c r="G1516" s="15" t="s">
        <v>2127</v>
      </c>
      <c r="H1516" s="15">
        <v>2056</v>
      </c>
      <c r="I1516" s="15">
        <v>244.82</v>
      </c>
    </row>
    <row r="1517" spans="1:9">
      <c r="A1517" s="13">
        <v>44977</v>
      </c>
      <c r="B1517" s="91">
        <f t="shared" si="25"/>
        <v>2023</v>
      </c>
      <c r="C1517" s="15" t="s">
        <v>2141</v>
      </c>
      <c r="D1517" s="15" t="s">
        <v>2142</v>
      </c>
      <c r="E1517" s="15" t="s">
        <v>2145</v>
      </c>
      <c r="F1517" s="15" t="s">
        <v>2116</v>
      </c>
      <c r="G1517" s="15" t="s">
        <v>2117</v>
      </c>
      <c r="H1517" s="15">
        <v>6735</v>
      </c>
      <c r="I1517" s="15">
        <v>1716.04</v>
      </c>
    </row>
    <row r="1518" spans="1:9">
      <c r="A1518" s="13">
        <v>45627</v>
      </c>
      <c r="B1518" s="91">
        <f t="shared" si="25"/>
        <v>2024</v>
      </c>
      <c r="C1518" s="15" t="s">
        <v>104</v>
      </c>
      <c r="D1518" s="15" t="s">
        <v>2114</v>
      </c>
      <c r="E1518" s="15" t="s">
        <v>2115</v>
      </c>
      <c r="F1518" s="15" t="s">
        <v>2124</v>
      </c>
      <c r="G1518" s="15" t="s">
        <v>2130</v>
      </c>
      <c r="H1518" s="15">
        <v>7947</v>
      </c>
      <c r="I1518" s="15">
        <v>1380.57</v>
      </c>
    </row>
    <row r="1519" spans="1:9">
      <c r="A1519" s="13">
        <v>44673</v>
      </c>
      <c r="B1519" s="91">
        <f t="shared" si="25"/>
        <v>2022</v>
      </c>
      <c r="C1519" s="15" t="s">
        <v>2113</v>
      </c>
      <c r="D1519" s="15" t="s">
        <v>2114</v>
      </c>
      <c r="E1519" s="15" t="s">
        <v>2143</v>
      </c>
      <c r="F1519" s="15" t="s">
        <v>2120</v>
      </c>
      <c r="G1519" s="15" t="s">
        <v>2133</v>
      </c>
      <c r="H1519" s="15">
        <v>8244</v>
      </c>
      <c r="I1519" s="15">
        <v>1063.04</v>
      </c>
    </row>
    <row r="1520" spans="1:9">
      <c r="A1520" s="13">
        <v>44947</v>
      </c>
      <c r="B1520" s="91">
        <f t="shared" si="25"/>
        <v>2023</v>
      </c>
      <c r="C1520" s="15" t="s">
        <v>104</v>
      </c>
      <c r="D1520" s="15" t="s">
        <v>2153</v>
      </c>
      <c r="E1520" s="15" t="s">
        <v>2144</v>
      </c>
      <c r="F1520" s="15" t="s">
        <v>2120</v>
      </c>
      <c r="G1520" s="15" t="s">
        <v>2133</v>
      </c>
      <c r="H1520" s="15">
        <v>8900</v>
      </c>
      <c r="I1520" s="15">
        <v>1386.68</v>
      </c>
    </row>
    <row r="1521" spans="1:9">
      <c r="A1521" s="13">
        <v>44730</v>
      </c>
      <c r="B1521" s="91">
        <f t="shared" si="25"/>
        <v>2022</v>
      </c>
      <c r="C1521" s="15" t="s">
        <v>104</v>
      </c>
      <c r="D1521" s="15" t="s">
        <v>2131</v>
      </c>
      <c r="E1521" s="15" t="s">
        <v>2151</v>
      </c>
      <c r="F1521" s="15" t="s">
        <v>2138</v>
      </c>
      <c r="G1521" s="15" t="s">
        <v>2149</v>
      </c>
      <c r="H1521" s="15">
        <v>5566</v>
      </c>
      <c r="I1521" s="15">
        <v>1416.4</v>
      </c>
    </row>
    <row r="1522" spans="1:9">
      <c r="A1522" s="13">
        <v>44717</v>
      </c>
      <c r="B1522" s="91">
        <f t="shared" si="25"/>
        <v>2022</v>
      </c>
      <c r="C1522" s="15" t="s">
        <v>2141</v>
      </c>
      <c r="D1522" s="15" t="s">
        <v>2152</v>
      </c>
      <c r="E1522" s="15" t="s">
        <v>2134</v>
      </c>
      <c r="F1522" s="15" t="s">
        <v>2116</v>
      </c>
      <c r="G1522" s="15" t="s">
        <v>2154</v>
      </c>
      <c r="H1522" s="15">
        <v>3753</v>
      </c>
      <c r="I1522" s="15">
        <v>916.46</v>
      </c>
    </row>
    <row r="1523" spans="1:9">
      <c r="A1523" s="13">
        <v>44568</v>
      </c>
      <c r="B1523" s="91">
        <f t="shared" si="25"/>
        <v>2022</v>
      </c>
      <c r="C1523" s="15" t="s">
        <v>104</v>
      </c>
      <c r="D1523" s="15" t="s">
        <v>2153</v>
      </c>
      <c r="E1523" s="15" t="s">
        <v>2143</v>
      </c>
      <c r="F1523" s="15" t="s">
        <v>2138</v>
      </c>
      <c r="G1523" s="15" t="s">
        <v>2139</v>
      </c>
      <c r="H1523" s="15">
        <v>8637</v>
      </c>
      <c r="I1523" s="15">
        <v>2440.9899999999998</v>
      </c>
    </row>
    <row r="1524" spans="1:9">
      <c r="A1524" s="13">
        <v>45517</v>
      </c>
      <c r="B1524" s="91">
        <f t="shared" si="25"/>
        <v>2024</v>
      </c>
      <c r="C1524" s="15" t="s">
        <v>2113</v>
      </c>
      <c r="D1524" s="15" t="s">
        <v>2135</v>
      </c>
      <c r="E1524" s="15" t="s">
        <v>2144</v>
      </c>
      <c r="F1524" s="15" t="s">
        <v>2124</v>
      </c>
      <c r="G1524" s="15" t="s">
        <v>2140</v>
      </c>
      <c r="H1524" s="15">
        <v>7931</v>
      </c>
      <c r="I1524" s="15">
        <v>1260.3699999999999</v>
      </c>
    </row>
    <row r="1525" spans="1:9">
      <c r="A1525" s="13">
        <v>45100</v>
      </c>
      <c r="B1525" s="91">
        <f t="shared" si="25"/>
        <v>2023</v>
      </c>
      <c r="C1525" s="15" t="s">
        <v>2141</v>
      </c>
      <c r="D1525" s="15" t="s">
        <v>2131</v>
      </c>
      <c r="E1525" s="15" t="s">
        <v>2145</v>
      </c>
      <c r="F1525" s="15" t="s">
        <v>2120</v>
      </c>
      <c r="G1525" s="15" t="s">
        <v>2133</v>
      </c>
      <c r="H1525" s="15">
        <v>9146</v>
      </c>
      <c r="I1525" s="15">
        <v>1762.72</v>
      </c>
    </row>
    <row r="1526" spans="1:9">
      <c r="A1526" s="13">
        <v>45101</v>
      </c>
      <c r="B1526" s="91">
        <f t="shared" si="25"/>
        <v>2023</v>
      </c>
      <c r="C1526" s="15" t="s">
        <v>2113</v>
      </c>
      <c r="D1526" s="15" t="s">
        <v>2114</v>
      </c>
      <c r="E1526" s="15" t="s">
        <v>2123</v>
      </c>
      <c r="F1526" s="15" t="s">
        <v>2120</v>
      </c>
      <c r="G1526" s="15" t="s">
        <v>2132</v>
      </c>
      <c r="H1526" s="15">
        <v>2194</v>
      </c>
      <c r="I1526" s="15">
        <v>633.98</v>
      </c>
    </row>
    <row r="1527" spans="1:9">
      <c r="A1527" s="13">
        <v>45608</v>
      </c>
      <c r="B1527" s="91">
        <f t="shared" si="25"/>
        <v>2024</v>
      </c>
      <c r="C1527" s="15" t="s">
        <v>107</v>
      </c>
      <c r="D1527" s="15" t="s">
        <v>2142</v>
      </c>
      <c r="E1527" s="15" t="s">
        <v>2119</v>
      </c>
      <c r="F1527" s="15" t="s">
        <v>2116</v>
      </c>
      <c r="G1527" s="15" t="s">
        <v>2117</v>
      </c>
      <c r="H1527" s="15">
        <v>4804</v>
      </c>
      <c r="I1527" s="15">
        <v>1137.8499999999999</v>
      </c>
    </row>
    <row r="1528" spans="1:9">
      <c r="A1528" s="13">
        <v>45002</v>
      </c>
      <c r="B1528" s="91">
        <f t="shared" si="25"/>
        <v>2023</v>
      </c>
      <c r="C1528" s="15" t="s">
        <v>2141</v>
      </c>
      <c r="D1528" s="15" t="s">
        <v>2153</v>
      </c>
      <c r="E1528" s="15" t="s">
        <v>2143</v>
      </c>
      <c r="F1528" s="15" t="s">
        <v>2120</v>
      </c>
      <c r="G1528" s="15" t="s">
        <v>2121</v>
      </c>
      <c r="H1528" s="15">
        <v>6153</v>
      </c>
      <c r="I1528" s="15">
        <v>1455.91</v>
      </c>
    </row>
    <row r="1529" spans="1:9">
      <c r="A1529" s="13">
        <v>44983</v>
      </c>
      <c r="B1529" s="91">
        <f t="shared" si="25"/>
        <v>2023</v>
      </c>
      <c r="C1529" s="15" t="s">
        <v>2113</v>
      </c>
      <c r="D1529" s="15" t="s">
        <v>2148</v>
      </c>
      <c r="E1529" s="15" t="s">
        <v>2119</v>
      </c>
      <c r="F1529" s="15" t="s">
        <v>2120</v>
      </c>
      <c r="G1529" s="15" t="s">
        <v>2132</v>
      </c>
      <c r="H1529" s="15">
        <v>4413</v>
      </c>
      <c r="I1529" s="15">
        <v>1058.49</v>
      </c>
    </row>
    <row r="1530" spans="1:9">
      <c r="A1530" s="13">
        <v>44619</v>
      </c>
      <c r="B1530" s="91">
        <f t="shared" si="25"/>
        <v>2022</v>
      </c>
      <c r="C1530" s="15" t="s">
        <v>2141</v>
      </c>
      <c r="D1530" s="15" t="s">
        <v>2148</v>
      </c>
      <c r="E1530" s="15" t="s">
        <v>2136</v>
      </c>
      <c r="F1530" s="15" t="s">
        <v>2138</v>
      </c>
      <c r="G1530" s="15" t="s">
        <v>2149</v>
      </c>
      <c r="H1530" s="15">
        <v>9696</v>
      </c>
      <c r="I1530" s="15">
        <v>2120.61</v>
      </c>
    </row>
    <row r="1531" spans="1:9">
      <c r="A1531" s="13">
        <v>45187</v>
      </c>
      <c r="B1531" s="91">
        <f t="shared" si="25"/>
        <v>2023</v>
      </c>
      <c r="C1531" s="15" t="s">
        <v>104</v>
      </c>
      <c r="D1531" s="15" t="s">
        <v>2126</v>
      </c>
      <c r="E1531" s="15" t="s">
        <v>2119</v>
      </c>
      <c r="F1531" s="15" t="s">
        <v>2138</v>
      </c>
      <c r="G1531" s="15" t="s">
        <v>2139</v>
      </c>
      <c r="H1531" s="15">
        <v>7752</v>
      </c>
      <c r="I1531" s="15">
        <v>1913.85</v>
      </c>
    </row>
    <row r="1532" spans="1:9">
      <c r="A1532" s="13">
        <v>45120</v>
      </c>
      <c r="B1532" s="91">
        <f t="shared" si="25"/>
        <v>2023</v>
      </c>
      <c r="C1532" s="15" t="s">
        <v>2141</v>
      </c>
      <c r="D1532" s="15" t="s">
        <v>2142</v>
      </c>
      <c r="E1532" s="15" t="s">
        <v>2123</v>
      </c>
      <c r="F1532" s="15" t="s">
        <v>2116</v>
      </c>
      <c r="G1532" s="15" t="s">
        <v>2154</v>
      </c>
      <c r="H1532" s="15">
        <v>8709</v>
      </c>
      <c r="I1532" s="15">
        <v>1688.66</v>
      </c>
    </row>
    <row r="1533" spans="1:9">
      <c r="A1533" s="13">
        <v>45266</v>
      </c>
      <c r="B1533" s="91">
        <f t="shared" si="25"/>
        <v>2023</v>
      </c>
      <c r="C1533" s="15" t="s">
        <v>2141</v>
      </c>
      <c r="D1533" s="15" t="s">
        <v>2114</v>
      </c>
      <c r="E1533" s="15" t="s">
        <v>2123</v>
      </c>
      <c r="F1533" s="15" t="s">
        <v>2120</v>
      </c>
      <c r="G1533" s="15" t="s">
        <v>2132</v>
      </c>
      <c r="H1533" s="15">
        <v>1600</v>
      </c>
      <c r="I1533" s="15">
        <v>402.94</v>
      </c>
    </row>
    <row r="1534" spans="1:9">
      <c r="A1534" s="13">
        <v>45371</v>
      </c>
      <c r="B1534" s="91">
        <f t="shared" si="25"/>
        <v>2024</v>
      </c>
      <c r="C1534" s="15" t="s">
        <v>2141</v>
      </c>
      <c r="D1534" s="15" t="s">
        <v>2142</v>
      </c>
      <c r="E1534" s="15" t="s">
        <v>2144</v>
      </c>
      <c r="F1534" s="15" t="s">
        <v>2116</v>
      </c>
      <c r="G1534" s="15" t="s">
        <v>2117</v>
      </c>
      <c r="H1534" s="15">
        <v>5839</v>
      </c>
      <c r="I1534" s="15">
        <v>1421.44</v>
      </c>
    </row>
    <row r="1535" spans="1:9">
      <c r="A1535" s="13">
        <v>45619</v>
      </c>
      <c r="B1535" s="91">
        <f t="shared" si="25"/>
        <v>2024</v>
      </c>
      <c r="C1535" s="15" t="s">
        <v>107</v>
      </c>
      <c r="D1535" s="15" t="s">
        <v>2153</v>
      </c>
      <c r="E1535" s="15" t="s">
        <v>2129</v>
      </c>
      <c r="F1535" s="15" t="s">
        <v>2138</v>
      </c>
      <c r="G1535" s="15" t="s">
        <v>2146</v>
      </c>
      <c r="H1535" s="15">
        <v>3516</v>
      </c>
      <c r="I1535" s="15">
        <v>904.61</v>
      </c>
    </row>
    <row r="1536" spans="1:9">
      <c r="A1536" s="13">
        <v>44818</v>
      </c>
      <c r="B1536" s="91">
        <f t="shared" si="25"/>
        <v>2022</v>
      </c>
      <c r="C1536" s="15" t="s">
        <v>104</v>
      </c>
      <c r="D1536" s="15" t="s">
        <v>2114</v>
      </c>
      <c r="E1536" s="15" t="s">
        <v>2119</v>
      </c>
      <c r="F1536" s="15" t="s">
        <v>2116</v>
      </c>
      <c r="G1536" s="15" t="s">
        <v>2154</v>
      </c>
      <c r="H1536" s="15">
        <v>1937</v>
      </c>
      <c r="I1536" s="15">
        <v>368.69</v>
      </c>
    </row>
    <row r="1537" spans="1:9">
      <c r="A1537" s="13">
        <v>44744</v>
      </c>
      <c r="B1537" s="91">
        <f t="shared" si="25"/>
        <v>2022</v>
      </c>
      <c r="C1537" s="15" t="s">
        <v>107</v>
      </c>
      <c r="D1537" s="15" t="s">
        <v>2114</v>
      </c>
      <c r="E1537" s="15" t="s">
        <v>2129</v>
      </c>
      <c r="F1537" s="15" t="s">
        <v>2138</v>
      </c>
      <c r="G1537" s="15" t="s">
        <v>2146</v>
      </c>
      <c r="H1537" s="15">
        <v>1108</v>
      </c>
      <c r="I1537" s="15">
        <v>203.83</v>
      </c>
    </row>
    <row r="1538" spans="1:9">
      <c r="A1538" s="13">
        <v>44734</v>
      </c>
      <c r="B1538" s="91">
        <f t="shared" si="25"/>
        <v>2022</v>
      </c>
      <c r="C1538" s="15" t="s">
        <v>2113</v>
      </c>
      <c r="D1538" s="15" t="s">
        <v>2148</v>
      </c>
      <c r="E1538" s="15" t="s">
        <v>2123</v>
      </c>
      <c r="F1538" s="15" t="s">
        <v>2124</v>
      </c>
      <c r="G1538" s="15" t="s">
        <v>2130</v>
      </c>
      <c r="H1538" s="15">
        <v>7386</v>
      </c>
      <c r="I1538" s="15">
        <v>1331.99</v>
      </c>
    </row>
    <row r="1539" spans="1:9">
      <c r="A1539" s="13">
        <v>45129</v>
      </c>
      <c r="B1539" s="91">
        <f t="shared" ref="B1539:B1602" si="26">YEAR(A1539)</f>
        <v>2023</v>
      </c>
      <c r="C1539" s="15" t="s">
        <v>107</v>
      </c>
      <c r="D1539" s="15" t="s">
        <v>2152</v>
      </c>
      <c r="E1539" s="15" t="s">
        <v>2115</v>
      </c>
      <c r="F1539" s="15" t="s">
        <v>2120</v>
      </c>
      <c r="G1539" s="15" t="s">
        <v>2133</v>
      </c>
      <c r="H1539" s="15">
        <v>9239</v>
      </c>
      <c r="I1539" s="15">
        <v>2409.44</v>
      </c>
    </row>
    <row r="1540" spans="1:9">
      <c r="A1540" s="13">
        <v>45427</v>
      </c>
      <c r="B1540" s="91">
        <f t="shared" si="26"/>
        <v>2024</v>
      </c>
      <c r="C1540" s="15" t="s">
        <v>107</v>
      </c>
      <c r="D1540" s="15" t="s">
        <v>2126</v>
      </c>
      <c r="E1540" s="15" t="s">
        <v>2134</v>
      </c>
      <c r="F1540" s="15" t="s">
        <v>2116</v>
      </c>
      <c r="G1540" s="15" t="s">
        <v>2117</v>
      </c>
      <c r="H1540" s="15">
        <v>9681</v>
      </c>
      <c r="I1540" s="15">
        <v>2611.87</v>
      </c>
    </row>
    <row r="1541" spans="1:9">
      <c r="A1541" s="13">
        <v>44933</v>
      </c>
      <c r="B1541" s="91">
        <f t="shared" si="26"/>
        <v>2023</v>
      </c>
      <c r="C1541" s="15" t="s">
        <v>104</v>
      </c>
      <c r="D1541" s="15" t="s">
        <v>2114</v>
      </c>
      <c r="E1541" s="15" t="s">
        <v>2119</v>
      </c>
      <c r="F1541" s="15" t="s">
        <v>2116</v>
      </c>
      <c r="G1541" s="15" t="s">
        <v>2127</v>
      </c>
      <c r="H1541" s="15">
        <v>1963</v>
      </c>
      <c r="I1541" s="15">
        <v>198.45</v>
      </c>
    </row>
    <row r="1542" spans="1:9">
      <c r="A1542" s="13">
        <v>44750</v>
      </c>
      <c r="B1542" s="91">
        <f t="shared" si="26"/>
        <v>2022</v>
      </c>
      <c r="C1542" s="15" t="s">
        <v>107</v>
      </c>
      <c r="D1542" s="15" t="s">
        <v>2126</v>
      </c>
      <c r="E1542" s="15" t="s">
        <v>2136</v>
      </c>
      <c r="F1542" s="15" t="s">
        <v>2120</v>
      </c>
      <c r="G1542" s="15" t="s">
        <v>2132</v>
      </c>
      <c r="H1542" s="15">
        <v>9547</v>
      </c>
      <c r="I1542" s="15">
        <v>1357.25</v>
      </c>
    </row>
    <row r="1543" spans="1:9">
      <c r="A1543" s="13">
        <v>44841</v>
      </c>
      <c r="B1543" s="91">
        <f t="shared" si="26"/>
        <v>2022</v>
      </c>
      <c r="C1543" s="15" t="s">
        <v>2141</v>
      </c>
      <c r="D1543" s="15" t="s">
        <v>2128</v>
      </c>
      <c r="E1543" s="15" t="s">
        <v>2115</v>
      </c>
      <c r="F1543" s="15" t="s">
        <v>2116</v>
      </c>
      <c r="G1543" s="15" t="s">
        <v>2117</v>
      </c>
      <c r="H1543" s="15">
        <v>9112</v>
      </c>
      <c r="I1543" s="15">
        <v>2466.06</v>
      </c>
    </row>
    <row r="1544" spans="1:9">
      <c r="A1544" s="13">
        <v>45634</v>
      </c>
      <c r="B1544" s="91">
        <f t="shared" si="26"/>
        <v>2024</v>
      </c>
      <c r="C1544" s="15" t="s">
        <v>104</v>
      </c>
      <c r="D1544" s="15" t="s">
        <v>2126</v>
      </c>
      <c r="E1544" s="15" t="s">
        <v>2123</v>
      </c>
      <c r="F1544" s="15" t="s">
        <v>2124</v>
      </c>
      <c r="G1544" s="15" t="s">
        <v>2125</v>
      </c>
      <c r="H1544" s="15">
        <v>2514</v>
      </c>
      <c r="I1544" s="15">
        <v>329.88</v>
      </c>
    </row>
    <row r="1545" spans="1:9">
      <c r="A1545" s="13">
        <v>44621</v>
      </c>
      <c r="B1545" s="91">
        <f t="shared" si="26"/>
        <v>2022</v>
      </c>
      <c r="C1545" s="15" t="s">
        <v>2141</v>
      </c>
      <c r="D1545" s="15" t="s">
        <v>2153</v>
      </c>
      <c r="E1545" s="15" t="s">
        <v>2143</v>
      </c>
      <c r="F1545" s="15" t="s">
        <v>2124</v>
      </c>
      <c r="G1545" s="15" t="s">
        <v>2140</v>
      </c>
      <c r="H1545" s="15">
        <v>9506</v>
      </c>
      <c r="I1545" s="15">
        <v>1284.98</v>
      </c>
    </row>
    <row r="1546" spans="1:9">
      <c r="A1546" s="13">
        <v>45463</v>
      </c>
      <c r="B1546" s="91">
        <f t="shared" si="26"/>
        <v>2024</v>
      </c>
      <c r="C1546" s="15" t="s">
        <v>2141</v>
      </c>
      <c r="D1546" s="15" t="s">
        <v>2114</v>
      </c>
      <c r="E1546" s="15" t="s">
        <v>2119</v>
      </c>
      <c r="F1546" s="15" t="s">
        <v>2124</v>
      </c>
      <c r="G1546" s="15" t="s">
        <v>2130</v>
      </c>
      <c r="H1546" s="15">
        <v>2322</v>
      </c>
      <c r="I1546" s="15">
        <v>337.7</v>
      </c>
    </row>
    <row r="1547" spans="1:9">
      <c r="A1547" s="13">
        <v>44695</v>
      </c>
      <c r="B1547" s="91">
        <f t="shared" si="26"/>
        <v>2022</v>
      </c>
      <c r="C1547" s="15" t="s">
        <v>2141</v>
      </c>
      <c r="D1547" s="15" t="s">
        <v>2153</v>
      </c>
      <c r="E1547" s="15" t="s">
        <v>2136</v>
      </c>
      <c r="F1547" s="15" t="s">
        <v>2116</v>
      </c>
      <c r="G1547" s="15" t="s">
        <v>2127</v>
      </c>
      <c r="H1547" s="15">
        <v>1541</v>
      </c>
      <c r="I1547" s="15">
        <v>188.29</v>
      </c>
    </row>
    <row r="1548" spans="1:9">
      <c r="A1548" s="13">
        <v>44873</v>
      </c>
      <c r="B1548" s="91">
        <f t="shared" si="26"/>
        <v>2022</v>
      </c>
      <c r="C1548" s="15" t="s">
        <v>2113</v>
      </c>
      <c r="D1548" s="15" t="s">
        <v>2152</v>
      </c>
      <c r="E1548" s="15" t="s">
        <v>2136</v>
      </c>
      <c r="F1548" s="15" t="s">
        <v>2138</v>
      </c>
      <c r="G1548" s="15" t="s">
        <v>2146</v>
      </c>
      <c r="H1548" s="15">
        <v>1195</v>
      </c>
      <c r="I1548" s="15">
        <v>221.59</v>
      </c>
    </row>
    <row r="1549" spans="1:9">
      <c r="A1549" s="13">
        <v>45121</v>
      </c>
      <c r="B1549" s="91">
        <f t="shared" si="26"/>
        <v>2023</v>
      </c>
      <c r="C1549" s="15" t="s">
        <v>2141</v>
      </c>
      <c r="D1549" s="15" t="s">
        <v>2128</v>
      </c>
      <c r="E1549" s="15" t="s">
        <v>2144</v>
      </c>
      <c r="F1549" s="15" t="s">
        <v>2120</v>
      </c>
      <c r="G1549" s="15" t="s">
        <v>2133</v>
      </c>
      <c r="H1549" s="15">
        <v>7472</v>
      </c>
      <c r="I1549" s="15">
        <v>1897.73</v>
      </c>
    </row>
    <row r="1550" spans="1:9">
      <c r="A1550" s="13">
        <v>44682</v>
      </c>
      <c r="B1550" s="91">
        <f t="shared" si="26"/>
        <v>2022</v>
      </c>
      <c r="C1550" s="15" t="s">
        <v>2141</v>
      </c>
      <c r="D1550" s="15" t="s">
        <v>2152</v>
      </c>
      <c r="E1550" s="15" t="s">
        <v>2145</v>
      </c>
      <c r="F1550" s="15" t="s">
        <v>2120</v>
      </c>
      <c r="G1550" s="15" t="s">
        <v>2133</v>
      </c>
      <c r="H1550" s="15">
        <v>2811</v>
      </c>
      <c r="I1550" s="15">
        <v>295.25</v>
      </c>
    </row>
    <row r="1551" spans="1:9">
      <c r="A1551" s="13">
        <v>44697</v>
      </c>
      <c r="B1551" s="91">
        <f t="shared" si="26"/>
        <v>2022</v>
      </c>
      <c r="C1551" s="15" t="s">
        <v>2141</v>
      </c>
      <c r="D1551" s="15" t="s">
        <v>2126</v>
      </c>
      <c r="E1551" s="15" t="s">
        <v>2134</v>
      </c>
      <c r="F1551" s="15" t="s">
        <v>2116</v>
      </c>
      <c r="G1551" s="15" t="s">
        <v>2117</v>
      </c>
      <c r="H1551" s="15">
        <v>7047</v>
      </c>
      <c r="I1551" s="15">
        <v>1663.45</v>
      </c>
    </row>
    <row r="1552" spans="1:9">
      <c r="A1552" s="13">
        <v>45570</v>
      </c>
      <c r="B1552" s="91">
        <f t="shared" si="26"/>
        <v>2024</v>
      </c>
      <c r="C1552" s="15" t="s">
        <v>107</v>
      </c>
      <c r="D1552" s="15" t="s">
        <v>2118</v>
      </c>
      <c r="E1552" s="15" t="s">
        <v>2123</v>
      </c>
      <c r="F1552" s="15" t="s">
        <v>2120</v>
      </c>
      <c r="G1552" s="15" t="s">
        <v>2133</v>
      </c>
      <c r="H1552" s="15">
        <v>9482</v>
      </c>
      <c r="I1552" s="15">
        <v>2365.4699999999998</v>
      </c>
    </row>
    <row r="1553" spans="1:9">
      <c r="A1553" s="13">
        <v>45109</v>
      </c>
      <c r="B1553" s="91">
        <f t="shared" si="26"/>
        <v>2023</v>
      </c>
      <c r="C1553" s="15" t="s">
        <v>2141</v>
      </c>
      <c r="D1553" s="15" t="s">
        <v>2114</v>
      </c>
      <c r="E1553" s="15" t="s">
        <v>2134</v>
      </c>
      <c r="F1553" s="15" t="s">
        <v>2116</v>
      </c>
      <c r="G1553" s="15" t="s">
        <v>2117</v>
      </c>
      <c r="H1553" s="15">
        <v>3326</v>
      </c>
      <c r="I1553" s="15">
        <v>687.59</v>
      </c>
    </row>
    <row r="1554" spans="1:9">
      <c r="A1554" s="13">
        <v>44606</v>
      </c>
      <c r="B1554" s="91">
        <f t="shared" si="26"/>
        <v>2022</v>
      </c>
      <c r="C1554" s="15" t="s">
        <v>2113</v>
      </c>
      <c r="D1554" s="15" t="s">
        <v>2135</v>
      </c>
      <c r="E1554" s="15" t="s">
        <v>2123</v>
      </c>
      <c r="F1554" s="15" t="s">
        <v>2116</v>
      </c>
      <c r="G1554" s="15" t="s">
        <v>2154</v>
      </c>
      <c r="H1554" s="15">
        <v>7765</v>
      </c>
      <c r="I1554" s="15">
        <v>2039.18</v>
      </c>
    </row>
    <row r="1555" spans="1:9">
      <c r="A1555" s="13">
        <v>45229</v>
      </c>
      <c r="B1555" s="91">
        <f t="shared" si="26"/>
        <v>2023</v>
      </c>
      <c r="C1555" s="15" t="s">
        <v>107</v>
      </c>
      <c r="D1555" s="15" t="s">
        <v>2135</v>
      </c>
      <c r="E1555" s="15" t="s">
        <v>2115</v>
      </c>
      <c r="F1555" s="15" t="s">
        <v>2124</v>
      </c>
      <c r="G1555" s="15" t="s">
        <v>2140</v>
      </c>
      <c r="H1555" s="15">
        <v>8732</v>
      </c>
      <c r="I1555" s="15">
        <v>2576.4499999999998</v>
      </c>
    </row>
    <row r="1556" spans="1:9">
      <c r="A1556" s="13">
        <v>44944</v>
      </c>
      <c r="B1556" s="91">
        <f t="shared" si="26"/>
        <v>2023</v>
      </c>
      <c r="C1556" s="15" t="s">
        <v>2113</v>
      </c>
      <c r="D1556" s="15" t="s">
        <v>2118</v>
      </c>
      <c r="E1556" s="15" t="s">
        <v>2144</v>
      </c>
      <c r="F1556" s="15" t="s">
        <v>2120</v>
      </c>
      <c r="G1556" s="15" t="s">
        <v>2132</v>
      </c>
      <c r="H1556" s="15">
        <v>7096</v>
      </c>
      <c r="I1556" s="15">
        <v>793.83</v>
      </c>
    </row>
    <row r="1557" spans="1:9">
      <c r="A1557" s="13">
        <v>45023</v>
      </c>
      <c r="B1557" s="91">
        <f t="shared" si="26"/>
        <v>2023</v>
      </c>
      <c r="C1557" s="15" t="s">
        <v>104</v>
      </c>
      <c r="D1557" s="15" t="s">
        <v>2152</v>
      </c>
      <c r="E1557" s="15" t="s">
        <v>2119</v>
      </c>
      <c r="F1557" s="15" t="s">
        <v>2116</v>
      </c>
      <c r="G1557" s="15" t="s">
        <v>2117</v>
      </c>
      <c r="H1557" s="15">
        <v>8029</v>
      </c>
      <c r="I1557" s="15">
        <v>1082.1199999999999</v>
      </c>
    </row>
    <row r="1558" spans="1:9">
      <c r="A1558" s="13">
        <v>45231</v>
      </c>
      <c r="B1558" s="91">
        <f t="shared" si="26"/>
        <v>2023</v>
      </c>
      <c r="C1558" s="15" t="s">
        <v>2141</v>
      </c>
      <c r="D1558" s="15" t="s">
        <v>2142</v>
      </c>
      <c r="E1558" s="15" t="s">
        <v>2129</v>
      </c>
      <c r="F1558" s="15" t="s">
        <v>2120</v>
      </c>
      <c r="G1558" s="15" t="s">
        <v>2132</v>
      </c>
      <c r="H1558" s="15">
        <v>1766</v>
      </c>
      <c r="I1558" s="15">
        <v>206.48</v>
      </c>
    </row>
    <row r="1559" spans="1:9">
      <c r="A1559" s="13">
        <v>45365</v>
      </c>
      <c r="B1559" s="91">
        <f t="shared" si="26"/>
        <v>2024</v>
      </c>
      <c r="C1559" s="15" t="s">
        <v>2113</v>
      </c>
      <c r="D1559" s="15" t="s">
        <v>2114</v>
      </c>
      <c r="E1559" s="15" t="s">
        <v>2151</v>
      </c>
      <c r="F1559" s="15" t="s">
        <v>2124</v>
      </c>
      <c r="G1559" s="15" t="s">
        <v>2125</v>
      </c>
      <c r="H1559" s="15">
        <v>9679</v>
      </c>
      <c r="I1559" s="15">
        <v>1791.08</v>
      </c>
    </row>
    <row r="1560" spans="1:9">
      <c r="A1560" s="13">
        <v>44718</v>
      </c>
      <c r="B1560" s="91">
        <f t="shared" si="26"/>
        <v>2022</v>
      </c>
      <c r="C1560" s="15" t="s">
        <v>2113</v>
      </c>
      <c r="D1560" s="15" t="s">
        <v>2142</v>
      </c>
      <c r="E1560" s="15" t="s">
        <v>2151</v>
      </c>
      <c r="F1560" s="15" t="s">
        <v>2138</v>
      </c>
      <c r="G1560" s="15" t="s">
        <v>2146</v>
      </c>
      <c r="H1560" s="15">
        <v>1029</v>
      </c>
      <c r="I1560" s="15">
        <v>152.85</v>
      </c>
    </row>
    <row r="1561" spans="1:9">
      <c r="A1561" s="13">
        <v>45310</v>
      </c>
      <c r="B1561" s="91">
        <f t="shared" si="26"/>
        <v>2024</v>
      </c>
      <c r="C1561" s="15" t="s">
        <v>2141</v>
      </c>
      <c r="D1561" s="15" t="s">
        <v>2128</v>
      </c>
      <c r="E1561" s="15" t="s">
        <v>2123</v>
      </c>
      <c r="F1561" s="15" t="s">
        <v>2124</v>
      </c>
      <c r="G1561" s="15" t="s">
        <v>2130</v>
      </c>
      <c r="H1561" s="15">
        <v>6975</v>
      </c>
      <c r="I1561" s="15">
        <v>1582.22</v>
      </c>
    </row>
    <row r="1562" spans="1:9">
      <c r="A1562" s="13">
        <v>44865</v>
      </c>
      <c r="B1562" s="91">
        <f t="shared" si="26"/>
        <v>2022</v>
      </c>
      <c r="C1562" s="15" t="s">
        <v>2141</v>
      </c>
      <c r="D1562" s="15" t="s">
        <v>2131</v>
      </c>
      <c r="E1562" s="15" t="s">
        <v>2134</v>
      </c>
      <c r="F1562" s="15" t="s">
        <v>2124</v>
      </c>
      <c r="G1562" s="15" t="s">
        <v>2130</v>
      </c>
      <c r="H1562" s="15">
        <v>7278</v>
      </c>
      <c r="I1562" s="15">
        <v>799.14</v>
      </c>
    </row>
    <row r="1563" spans="1:9">
      <c r="A1563" s="13">
        <v>44630</v>
      </c>
      <c r="B1563" s="91">
        <f t="shared" si="26"/>
        <v>2022</v>
      </c>
      <c r="C1563" s="15" t="s">
        <v>2141</v>
      </c>
      <c r="D1563" s="15" t="s">
        <v>2114</v>
      </c>
      <c r="E1563" s="15" t="s">
        <v>2115</v>
      </c>
      <c r="F1563" s="15" t="s">
        <v>2138</v>
      </c>
      <c r="G1563" s="15" t="s">
        <v>2139</v>
      </c>
      <c r="H1563" s="15">
        <v>6271</v>
      </c>
      <c r="I1563" s="15">
        <v>726.43</v>
      </c>
    </row>
    <row r="1564" spans="1:9">
      <c r="A1564" s="13">
        <v>45590</v>
      </c>
      <c r="B1564" s="91">
        <f t="shared" si="26"/>
        <v>2024</v>
      </c>
      <c r="C1564" s="15" t="s">
        <v>107</v>
      </c>
      <c r="D1564" s="15" t="s">
        <v>2126</v>
      </c>
      <c r="E1564" s="15" t="s">
        <v>2143</v>
      </c>
      <c r="F1564" s="15" t="s">
        <v>2116</v>
      </c>
      <c r="G1564" s="15" t="s">
        <v>2154</v>
      </c>
      <c r="H1564" s="15">
        <v>1015</v>
      </c>
      <c r="I1564" s="15">
        <v>185.18</v>
      </c>
    </row>
    <row r="1565" spans="1:9">
      <c r="A1565" s="13">
        <v>44808</v>
      </c>
      <c r="B1565" s="91">
        <f t="shared" si="26"/>
        <v>2022</v>
      </c>
      <c r="C1565" s="15" t="s">
        <v>2113</v>
      </c>
      <c r="D1565" s="15" t="s">
        <v>2152</v>
      </c>
      <c r="E1565" s="15" t="s">
        <v>2129</v>
      </c>
      <c r="F1565" s="15" t="s">
        <v>2124</v>
      </c>
      <c r="G1565" s="15" t="s">
        <v>2130</v>
      </c>
      <c r="H1565" s="15">
        <v>4103</v>
      </c>
      <c r="I1565" s="15">
        <v>671.23</v>
      </c>
    </row>
    <row r="1566" spans="1:9">
      <c r="A1566" s="13">
        <v>44945</v>
      </c>
      <c r="B1566" s="91">
        <f t="shared" si="26"/>
        <v>2023</v>
      </c>
      <c r="C1566" s="15" t="s">
        <v>2141</v>
      </c>
      <c r="D1566" s="15" t="s">
        <v>2114</v>
      </c>
      <c r="E1566" s="15" t="s">
        <v>2123</v>
      </c>
      <c r="F1566" s="15" t="s">
        <v>2120</v>
      </c>
      <c r="G1566" s="15" t="s">
        <v>2133</v>
      </c>
      <c r="H1566" s="15">
        <v>5349</v>
      </c>
      <c r="I1566" s="15">
        <v>1525.31</v>
      </c>
    </row>
    <row r="1567" spans="1:9">
      <c r="A1567" s="13">
        <v>45432</v>
      </c>
      <c r="B1567" s="91">
        <f t="shared" si="26"/>
        <v>2024</v>
      </c>
      <c r="C1567" s="15" t="s">
        <v>107</v>
      </c>
      <c r="D1567" s="15" t="s">
        <v>2153</v>
      </c>
      <c r="E1567" s="15" t="s">
        <v>2145</v>
      </c>
      <c r="F1567" s="15" t="s">
        <v>2138</v>
      </c>
      <c r="G1567" s="15" t="s">
        <v>2149</v>
      </c>
      <c r="H1567" s="15">
        <v>6540</v>
      </c>
      <c r="I1567" s="15">
        <v>1604.92</v>
      </c>
    </row>
    <row r="1568" spans="1:9">
      <c r="A1568" s="13">
        <v>45164</v>
      </c>
      <c r="B1568" s="91">
        <f t="shared" si="26"/>
        <v>2023</v>
      </c>
      <c r="C1568" s="15" t="s">
        <v>104</v>
      </c>
      <c r="D1568" s="15" t="s">
        <v>2148</v>
      </c>
      <c r="E1568" s="15" t="s">
        <v>2143</v>
      </c>
      <c r="F1568" s="15" t="s">
        <v>2116</v>
      </c>
      <c r="G1568" s="15" t="s">
        <v>2117</v>
      </c>
      <c r="H1568" s="15">
        <v>3677</v>
      </c>
      <c r="I1568" s="15">
        <v>972.58</v>
      </c>
    </row>
    <row r="1569" spans="1:9">
      <c r="A1569" s="13">
        <v>45352</v>
      </c>
      <c r="B1569" s="91">
        <f t="shared" si="26"/>
        <v>2024</v>
      </c>
      <c r="C1569" s="15" t="s">
        <v>104</v>
      </c>
      <c r="D1569" s="15" t="s">
        <v>2128</v>
      </c>
      <c r="E1569" s="15" t="s">
        <v>2134</v>
      </c>
      <c r="F1569" s="15" t="s">
        <v>2138</v>
      </c>
      <c r="G1569" s="15" t="s">
        <v>2139</v>
      </c>
      <c r="H1569" s="15">
        <v>4508</v>
      </c>
      <c r="I1569" s="15">
        <v>850.48</v>
      </c>
    </row>
    <row r="1570" spans="1:9">
      <c r="A1570" s="13">
        <v>45580</v>
      </c>
      <c r="B1570" s="91">
        <f t="shared" si="26"/>
        <v>2024</v>
      </c>
      <c r="C1570" s="15" t="s">
        <v>107</v>
      </c>
      <c r="D1570" s="15" t="s">
        <v>2148</v>
      </c>
      <c r="E1570" s="15" t="s">
        <v>2129</v>
      </c>
      <c r="F1570" s="15" t="s">
        <v>2120</v>
      </c>
      <c r="G1570" s="15" t="s">
        <v>2121</v>
      </c>
      <c r="H1570" s="15">
        <v>4698</v>
      </c>
      <c r="I1570" s="15">
        <v>779.55</v>
      </c>
    </row>
    <row r="1571" spans="1:9">
      <c r="A1571" s="13">
        <v>45180</v>
      </c>
      <c r="B1571" s="91">
        <f t="shared" si="26"/>
        <v>2023</v>
      </c>
      <c r="C1571" s="15" t="s">
        <v>2113</v>
      </c>
      <c r="D1571" s="15" t="s">
        <v>2114</v>
      </c>
      <c r="E1571" s="15" t="s">
        <v>2115</v>
      </c>
      <c r="F1571" s="15" t="s">
        <v>2120</v>
      </c>
      <c r="G1571" s="15" t="s">
        <v>2133</v>
      </c>
      <c r="H1571" s="15">
        <v>9441</v>
      </c>
      <c r="I1571" s="15">
        <v>2369.44</v>
      </c>
    </row>
    <row r="1572" spans="1:9">
      <c r="A1572" s="13">
        <v>45037</v>
      </c>
      <c r="B1572" s="91">
        <f t="shared" si="26"/>
        <v>2023</v>
      </c>
      <c r="C1572" s="15" t="s">
        <v>107</v>
      </c>
      <c r="D1572" s="15" t="s">
        <v>2148</v>
      </c>
      <c r="E1572" s="15" t="s">
        <v>2143</v>
      </c>
      <c r="F1572" s="15" t="s">
        <v>2124</v>
      </c>
      <c r="G1572" s="15" t="s">
        <v>2125</v>
      </c>
      <c r="H1572" s="15">
        <v>1593</v>
      </c>
      <c r="I1572" s="15">
        <v>193.39</v>
      </c>
    </row>
    <row r="1573" spans="1:9">
      <c r="A1573" s="13">
        <v>45353</v>
      </c>
      <c r="B1573" s="91">
        <f t="shared" si="26"/>
        <v>2024</v>
      </c>
      <c r="C1573" s="15" t="s">
        <v>2113</v>
      </c>
      <c r="D1573" s="15" t="s">
        <v>2153</v>
      </c>
      <c r="E1573" s="15" t="s">
        <v>2143</v>
      </c>
      <c r="F1573" s="15" t="s">
        <v>2124</v>
      </c>
      <c r="G1573" s="15" t="s">
        <v>2130</v>
      </c>
      <c r="H1573" s="15">
        <v>2066</v>
      </c>
      <c r="I1573" s="15">
        <v>395.73</v>
      </c>
    </row>
    <row r="1574" spans="1:9">
      <c r="A1574" s="13">
        <v>45364</v>
      </c>
      <c r="B1574" s="91">
        <f t="shared" si="26"/>
        <v>2024</v>
      </c>
      <c r="C1574" s="15" t="s">
        <v>107</v>
      </c>
      <c r="D1574" s="15" t="s">
        <v>2148</v>
      </c>
      <c r="E1574" s="15" t="s">
        <v>2144</v>
      </c>
      <c r="F1574" s="15" t="s">
        <v>2124</v>
      </c>
      <c r="G1574" s="15" t="s">
        <v>2125</v>
      </c>
      <c r="H1574" s="15">
        <v>2154</v>
      </c>
      <c r="I1574" s="15">
        <v>217.13</v>
      </c>
    </row>
    <row r="1575" spans="1:9">
      <c r="A1575" s="13">
        <v>45270</v>
      </c>
      <c r="B1575" s="91">
        <f t="shared" si="26"/>
        <v>2023</v>
      </c>
      <c r="C1575" s="15" t="s">
        <v>104</v>
      </c>
      <c r="D1575" s="15" t="s">
        <v>2126</v>
      </c>
      <c r="E1575" s="15" t="s">
        <v>2129</v>
      </c>
      <c r="F1575" s="15" t="s">
        <v>2124</v>
      </c>
      <c r="G1575" s="15" t="s">
        <v>2125</v>
      </c>
      <c r="H1575" s="15">
        <v>5447</v>
      </c>
      <c r="I1575" s="15">
        <v>1284.77</v>
      </c>
    </row>
    <row r="1576" spans="1:9">
      <c r="A1576" s="13">
        <v>45206</v>
      </c>
      <c r="B1576" s="91">
        <f t="shared" si="26"/>
        <v>2023</v>
      </c>
      <c r="C1576" s="15" t="s">
        <v>2113</v>
      </c>
      <c r="D1576" s="15" t="s">
        <v>2148</v>
      </c>
      <c r="E1576" s="15" t="s">
        <v>2134</v>
      </c>
      <c r="F1576" s="15" t="s">
        <v>2116</v>
      </c>
      <c r="G1576" s="15" t="s">
        <v>2117</v>
      </c>
      <c r="H1576" s="15">
        <v>8685</v>
      </c>
      <c r="I1576" s="15">
        <v>2522.8200000000002</v>
      </c>
    </row>
    <row r="1577" spans="1:9">
      <c r="A1577" s="13">
        <v>45596</v>
      </c>
      <c r="B1577" s="91">
        <f t="shared" si="26"/>
        <v>2024</v>
      </c>
      <c r="C1577" s="15" t="s">
        <v>2113</v>
      </c>
      <c r="D1577" s="15" t="s">
        <v>2152</v>
      </c>
      <c r="E1577" s="15" t="s">
        <v>2144</v>
      </c>
      <c r="F1577" s="15" t="s">
        <v>2138</v>
      </c>
      <c r="G1577" s="15" t="s">
        <v>2146</v>
      </c>
      <c r="H1577" s="15">
        <v>8680</v>
      </c>
      <c r="I1577" s="15">
        <v>1610.82</v>
      </c>
    </row>
    <row r="1578" spans="1:9">
      <c r="A1578" s="13">
        <v>45464</v>
      </c>
      <c r="B1578" s="91">
        <f t="shared" si="26"/>
        <v>2024</v>
      </c>
      <c r="C1578" s="15" t="s">
        <v>107</v>
      </c>
      <c r="D1578" s="15" t="s">
        <v>2128</v>
      </c>
      <c r="E1578" s="15" t="s">
        <v>2115</v>
      </c>
      <c r="F1578" s="15" t="s">
        <v>2120</v>
      </c>
      <c r="G1578" s="15" t="s">
        <v>2121</v>
      </c>
      <c r="H1578" s="15">
        <v>4727</v>
      </c>
      <c r="I1578" s="15">
        <v>665.86</v>
      </c>
    </row>
    <row r="1579" spans="1:9">
      <c r="A1579" s="13">
        <v>44870</v>
      </c>
      <c r="B1579" s="91">
        <f t="shared" si="26"/>
        <v>2022</v>
      </c>
      <c r="C1579" s="15" t="s">
        <v>104</v>
      </c>
      <c r="D1579" s="15" t="s">
        <v>2131</v>
      </c>
      <c r="E1579" s="15" t="s">
        <v>2143</v>
      </c>
      <c r="F1579" s="15" t="s">
        <v>2124</v>
      </c>
      <c r="G1579" s="15" t="s">
        <v>2130</v>
      </c>
      <c r="H1579" s="15">
        <v>1419</v>
      </c>
      <c r="I1579" s="15">
        <v>148.26</v>
      </c>
    </row>
    <row r="1580" spans="1:9">
      <c r="A1580" s="13">
        <v>44990</v>
      </c>
      <c r="B1580" s="91">
        <f t="shared" si="26"/>
        <v>2023</v>
      </c>
      <c r="C1580" s="15" t="s">
        <v>2141</v>
      </c>
      <c r="D1580" s="15" t="s">
        <v>2118</v>
      </c>
      <c r="E1580" s="15" t="s">
        <v>2123</v>
      </c>
      <c r="F1580" s="15" t="s">
        <v>2138</v>
      </c>
      <c r="G1580" s="15" t="s">
        <v>2139</v>
      </c>
      <c r="H1580" s="15">
        <v>8972</v>
      </c>
      <c r="I1580" s="15">
        <v>1737.26</v>
      </c>
    </row>
    <row r="1581" spans="1:9">
      <c r="A1581" s="13">
        <v>45637</v>
      </c>
      <c r="B1581" s="91">
        <f t="shared" si="26"/>
        <v>2024</v>
      </c>
      <c r="C1581" s="15" t="s">
        <v>2141</v>
      </c>
      <c r="D1581" s="15" t="s">
        <v>2135</v>
      </c>
      <c r="E1581" s="15" t="s">
        <v>2119</v>
      </c>
      <c r="F1581" s="15" t="s">
        <v>2120</v>
      </c>
      <c r="G1581" s="15" t="s">
        <v>2132</v>
      </c>
      <c r="H1581" s="15">
        <v>2246</v>
      </c>
      <c r="I1581" s="15">
        <v>271.64999999999998</v>
      </c>
    </row>
    <row r="1582" spans="1:9">
      <c r="A1582" s="13">
        <v>45600</v>
      </c>
      <c r="B1582" s="91">
        <f t="shared" si="26"/>
        <v>2024</v>
      </c>
      <c r="C1582" s="15" t="s">
        <v>104</v>
      </c>
      <c r="D1582" s="15" t="s">
        <v>2152</v>
      </c>
      <c r="E1582" s="15" t="s">
        <v>2115</v>
      </c>
      <c r="F1582" s="15" t="s">
        <v>2116</v>
      </c>
      <c r="G1582" s="15" t="s">
        <v>2154</v>
      </c>
      <c r="H1582" s="15">
        <v>3140</v>
      </c>
      <c r="I1582" s="15">
        <v>819.71</v>
      </c>
    </row>
    <row r="1583" spans="1:9">
      <c r="A1583" s="13">
        <v>45207</v>
      </c>
      <c r="B1583" s="91">
        <f t="shared" si="26"/>
        <v>2023</v>
      </c>
      <c r="C1583" s="15" t="s">
        <v>104</v>
      </c>
      <c r="D1583" s="15" t="s">
        <v>2142</v>
      </c>
      <c r="E1583" s="15" t="s">
        <v>2129</v>
      </c>
      <c r="F1583" s="15" t="s">
        <v>2116</v>
      </c>
      <c r="G1583" s="15" t="s">
        <v>2117</v>
      </c>
      <c r="H1583" s="15">
        <v>7336</v>
      </c>
      <c r="I1583" s="15">
        <v>784.34</v>
      </c>
    </row>
    <row r="1584" spans="1:9">
      <c r="A1584" s="13">
        <v>44707</v>
      </c>
      <c r="B1584" s="91">
        <f t="shared" si="26"/>
        <v>2022</v>
      </c>
      <c r="C1584" s="15" t="s">
        <v>104</v>
      </c>
      <c r="D1584" s="15" t="s">
        <v>2114</v>
      </c>
      <c r="E1584" s="15" t="s">
        <v>2151</v>
      </c>
      <c r="F1584" s="15" t="s">
        <v>2116</v>
      </c>
      <c r="G1584" s="15" t="s">
        <v>2154</v>
      </c>
      <c r="H1584" s="15">
        <v>8918</v>
      </c>
      <c r="I1584" s="15">
        <v>1585.72</v>
      </c>
    </row>
    <row r="1585" spans="1:9">
      <c r="A1585" s="13">
        <v>45443</v>
      </c>
      <c r="B1585" s="91">
        <f t="shared" si="26"/>
        <v>2024</v>
      </c>
      <c r="C1585" s="15" t="s">
        <v>104</v>
      </c>
      <c r="D1585" s="15" t="s">
        <v>2135</v>
      </c>
      <c r="E1585" s="15" t="s">
        <v>2119</v>
      </c>
      <c r="F1585" s="15" t="s">
        <v>2120</v>
      </c>
      <c r="G1585" s="15" t="s">
        <v>2133</v>
      </c>
      <c r="H1585" s="15">
        <v>4099</v>
      </c>
      <c r="I1585" s="15">
        <v>968.8</v>
      </c>
    </row>
    <row r="1586" spans="1:9">
      <c r="A1586" s="13">
        <v>44638</v>
      </c>
      <c r="B1586" s="91">
        <f t="shared" si="26"/>
        <v>2022</v>
      </c>
      <c r="C1586" s="15" t="s">
        <v>107</v>
      </c>
      <c r="D1586" s="15" t="s">
        <v>2128</v>
      </c>
      <c r="E1586" s="15" t="s">
        <v>2119</v>
      </c>
      <c r="F1586" s="15" t="s">
        <v>2124</v>
      </c>
      <c r="G1586" s="15" t="s">
        <v>2130</v>
      </c>
      <c r="H1586" s="15">
        <v>4846</v>
      </c>
      <c r="I1586" s="15">
        <v>728.82</v>
      </c>
    </row>
    <row r="1587" spans="1:9">
      <c r="A1587" s="13">
        <v>44857</v>
      </c>
      <c r="B1587" s="91">
        <f t="shared" si="26"/>
        <v>2022</v>
      </c>
      <c r="C1587" s="15" t="s">
        <v>2141</v>
      </c>
      <c r="D1587" s="15" t="s">
        <v>2118</v>
      </c>
      <c r="E1587" s="15" t="s">
        <v>2129</v>
      </c>
      <c r="F1587" s="15" t="s">
        <v>2138</v>
      </c>
      <c r="G1587" s="15" t="s">
        <v>2139</v>
      </c>
      <c r="H1587" s="15">
        <v>5958</v>
      </c>
      <c r="I1587" s="15">
        <v>1126.28</v>
      </c>
    </row>
    <row r="1588" spans="1:9">
      <c r="A1588" s="13">
        <v>45486</v>
      </c>
      <c r="B1588" s="91">
        <f t="shared" si="26"/>
        <v>2024</v>
      </c>
      <c r="C1588" s="15" t="s">
        <v>2141</v>
      </c>
      <c r="D1588" s="15" t="s">
        <v>2153</v>
      </c>
      <c r="E1588" s="15" t="s">
        <v>2143</v>
      </c>
      <c r="F1588" s="15" t="s">
        <v>2124</v>
      </c>
      <c r="G1588" s="15" t="s">
        <v>2140</v>
      </c>
      <c r="H1588" s="15">
        <v>6196</v>
      </c>
      <c r="I1588" s="15">
        <v>767.67</v>
      </c>
    </row>
    <row r="1589" spans="1:9">
      <c r="A1589" s="13">
        <v>45050</v>
      </c>
      <c r="B1589" s="91">
        <f t="shared" si="26"/>
        <v>2023</v>
      </c>
      <c r="C1589" s="15" t="s">
        <v>107</v>
      </c>
      <c r="D1589" s="15" t="s">
        <v>2152</v>
      </c>
      <c r="E1589" s="15" t="s">
        <v>2115</v>
      </c>
      <c r="F1589" s="15" t="s">
        <v>2124</v>
      </c>
      <c r="G1589" s="15" t="s">
        <v>2125</v>
      </c>
      <c r="H1589" s="15">
        <v>3272</v>
      </c>
      <c r="I1589" s="15">
        <v>762.9</v>
      </c>
    </row>
    <row r="1590" spans="1:9">
      <c r="A1590" s="13">
        <v>45576</v>
      </c>
      <c r="B1590" s="91">
        <f t="shared" si="26"/>
        <v>2024</v>
      </c>
      <c r="C1590" s="15" t="s">
        <v>2113</v>
      </c>
      <c r="D1590" s="15" t="s">
        <v>2153</v>
      </c>
      <c r="E1590" s="15" t="s">
        <v>2119</v>
      </c>
      <c r="F1590" s="15" t="s">
        <v>2124</v>
      </c>
      <c r="G1590" s="15" t="s">
        <v>2125</v>
      </c>
      <c r="H1590" s="15">
        <v>9037</v>
      </c>
      <c r="I1590" s="15">
        <v>1394.35</v>
      </c>
    </row>
    <row r="1591" spans="1:9">
      <c r="A1591" s="13">
        <v>45045</v>
      </c>
      <c r="B1591" s="91">
        <f t="shared" si="26"/>
        <v>2023</v>
      </c>
      <c r="C1591" s="15" t="s">
        <v>2113</v>
      </c>
      <c r="D1591" s="15" t="s">
        <v>2153</v>
      </c>
      <c r="E1591" s="15" t="s">
        <v>2144</v>
      </c>
      <c r="F1591" s="15" t="s">
        <v>2124</v>
      </c>
      <c r="G1591" s="15" t="s">
        <v>2125</v>
      </c>
      <c r="H1591" s="15">
        <v>7449</v>
      </c>
      <c r="I1591" s="15">
        <v>1635.65</v>
      </c>
    </row>
    <row r="1592" spans="1:9">
      <c r="A1592" s="13">
        <v>44701</v>
      </c>
      <c r="B1592" s="91">
        <f t="shared" si="26"/>
        <v>2022</v>
      </c>
      <c r="C1592" s="15" t="s">
        <v>107</v>
      </c>
      <c r="D1592" s="15" t="s">
        <v>2153</v>
      </c>
      <c r="E1592" s="15" t="s">
        <v>2145</v>
      </c>
      <c r="F1592" s="15" t="s">
        <v>2124</v>
      </c>
      <c r="G1592" s="15" t="s">
        <v>2130</v>
      </c>
      <c r="H1592" s="15">
        <v>1842</v>
      </c>
      <c r="I1592" s="15">
        <v>345.82</v>
      </c>
    </row>
    <row r="1593" spans="1:9">
      <c r="A1593" s="13">
        <v>44862</v>
      </c>
      <c r="B1593" s="91">
        <f t="shared" si="26"/>
        <v>2022</v>
      </c>
      <c r="C1593" s="15" t="s">
        <v>2113</v>
      </c>
      <c r="D1593" s="15" t="s">
        <v>2118</v>
      </c>
      <c r="E1593" s="15" t="s">
        <v>2129</v>
      </c>
      <c r="F1593" s="15" t="s">
        <v>2120</v>
      </c>
      <c r="G1593" s="15" t="s">
        <v>2132</v>
      </c>
      <c r="H1593" s="15">
        <v>5364</v>
      </c>
      <c r="I1593" s="15">
        <v>1587.3</v>
      </c>
    </row>
    <row r="1594" spans="1:9">
      <c r="A1594" s="13">
        <v>44978</v>
      </c>
      <c r="B1594" s="91">
        <f t="shared" si="26"/>
        <v>2023</v>
      </c>
      <c r="C1594" s="15" t="s">
        <v>2113</v>
      </c>
      <c r="D1594" s="15" t="s">
        <v>2148</v>
      </c>
      <c r="E1594" s="15" t="s">
        <v>2151</v>
      </c>
      <c r="F1594" s="15" t="s">
        <v>2138</v>
      </c>
      <c r="G1594" s="15" t="s">
        <v>2146</v>
      </c>
      <c r="H1594" s="15">
        <v>9103</v>
      </c>
      <c r="I1594" s="15">
        <v>1780</v>
      </c>
    </row>
    <row r="1595" spans="1:9">
      <c r="A1595" s="13">
        <v>45369</v>
      </c>
      <c r="B1595" s="91">
        <f t="shared" si="26"/>
        <v>2024</v>
      </c>
      <c r="C1595" s="15" t="s">
        <v>104</v>
      </c>
      <c r="D1595" s="15" t="s">
        <v>2126</v>
      </c>
      <c r="E1595" s="15" t="s">
        <v>2129</v>
      </c>
      <c r="F1595" s="15" t="s">
        <v>2120</v>
      </c>
      <c r="G1595" s="15" t="s">
        <v>2133</v>
      </c>
      <c r="H1595" s="15">
        <v>6393</v>
      </c>
      <c r="I1595" s="15">
        <v>1498.18</v>
      </c>
    </row>
    <row r="1596" spans="1:9">
      <c r="A1596" s="13">
        <v>45267</v>
      </c>
      <c r="B1596" s="91">
        <f t="shared" si="26"/>
        <v>2023</v>
      </c>
      <c r="C1596" s="15" t="s">
        <v>2113</v>
      </c>
      <c r="D1596" s="15" t="s">
        <v>2131</v>
      </c>
      <c r="E1596" s="15" t="s">
        <v>2151</v>
      </c>
      <c r="F1596" s="15" t="s">
        <v>2138</v>
      </c>
      <c r="G1596" s="15" t="s">
        <v>2146</v>
      </c>
      <c r="H1596" s="15">
        <v>7458</v>
      </c>
      <c r="I1596" s="15">
        <v>1614.35</v>
      </c>
    </row>
    <row r="1597" spans="1:9">
      <c r="A1597" s="13">
        <v>44973</v>
      </c>
      <c r="B1597" s="91">
        <f t="shared" si="26"/>
        <v>2023</v>
      </c>
      <c r="C1597" s="15" t="s">
        <v>2113</v>
      </c>
      <c r="D1597" s="15" t="s">
        <v>2118</v>
      </c>
      <c r="E1597" s="15" t="s">
        <v>2123</v>
      </c>
      <c r="F1597" s="15" t="s">
        <v>2124</v>
      </c>
      <c r="G1597" s="15" t="s">
        <v>2125</v>
      </c>
      <c r="H1597" s="15">
        <v>2989</v>
      </c>
      <c r="I1597" s="15">
        <v>527.88</v>
      </c>
    </row>
    <row r="1598" spans="1:9">
      <c r="A1598" s="13">
        <v>45400</v>
      </c>
      <c r="B1598" s="91">
        <f t="shared" si="26"/>
        <v>2024</v>
      </c>
      <c r="C1598" s="15" t="s">
        <v>107</v>
      </c>
      <c r="D1598" s="15" t="s">
        <v>2128</v>
      </c>
      <c r="E1598" s="15" t="s">
        <v>2136</v>
      </c>
      <c r="F1598" s="15" t="s">
        <v>2116</v>
      </c>
      <c r="G1598" s="15" t="s">
        <v>2127</v>
      </c>
      <c r="H1598" s="15">
        <v>5581</v>
      </c>
      <c r="I1598" s="15">
        <v>738.26</v>
      </c>
    </row>
    <row r="1599" spans="1:9">
      <c r="A1599" s="13">
        <v>44766</v>
      </c>
      <c r="B1599" s="91">
        <f t="shared" si="26"/>
        <v>2022</v>
      </c>
      <c r="C1599" s="15" t="s">
        <v>2113</v>
      </c>
      <c r="D1599" s="15" t="s">
        <v>2128</v>
      </c>
      <c r="E1599" s="15" t="s">
        <v>2129</v>
      </c>
      <c r="F1599" s="15" t="s">
        <v>2120</v>
      </c>
      <c r="G1599" s="15" t="s">
        <v>2133</v>
      </c>
      <c r="H1599" s="15">
        <v>8543</v>
      </c>
      <c r="I1599" s="15">
        <v>1614.72</v>
      </c>
    </row>
    <row r="1600" spans="1:9">
      <c r="A1600" s="13">
        <v>45147</v>
      </c>
      <c r="B1600" s="91">
        <f t="shared" si="26"/>
        <v>2023</v>
      </c>
      <c r="C1600" s="15" t="s">
        <v>107</v>
      </c>
      <c r="D1600" s="15" t="s">
        <v>2126</v>
      </c>
      <c r="E1600" s="15" t="s">
        <v>2134</v>
      </c>
      <c r="F1600" s="15" t="s">
        <v>2116</v>
      </c>
      <c r="G1600" s="15" t="s">
        <v>2117</v>
      </c>
      <c r="H1600" s="15">
        <v>4343</v>
      </c>
      <c r="I1600" s="15">
        <v>804.5</v>
      </c>
    </row>
    <row r="1601" spans="1:9">
      <c r="A1601" s="13">
        <v>44882</v>
      </c>
      <c r="B1601" s="91">
        <f t="shared" si="26"/>
        <v>2022</v>
      </c>
      <c r="C1601" s="15" t="s">
        <v>2113</v>
      </c>
      <c r="D1601" s="15" t="s">
        <v>2148</v>
      </c>
      <c r="E1601" s="15" t="s">
        <v>2145</v>
      </c>
      <c r="F1601" s="15" t="s">
        <v>2138</v>
      </c>
      <c r="G1601" s="15" t="s">
        <v>2149</v>
      </c>
      <c r="H1601" s="15">
        <v>2548</v>
      </c>
      <c r="I1601" s="15">
        <v>393.81</v>
      </c>
    </row>
    <row r="1602" spans="1:9">
      <c r="A1602" s="13">
        <v>44964</v>
      </c>
      <c r="B1602" s="91">
        <f t="shared" si="26"/>
        <v>2023</v>
      </c>
      <c r="C1602" s="15" t="s">
        <v>104</v>
      </c>
      <c r="D1602" s="15" t="s">
        <v>2153</v>
      </c>
      <c r="E1602" s="15" t="s">
        <v>2143</v>
      </c>
      <c r="F1602" s="15" t="s">
        <v>2124</v>
      </c>
      <c r="G1602" s="15" t="s">
        <v>2130</v>
      </c>
      <c r="H1602" s="15">
        <v>2995</v>
      </c>
      <c r="I1602" s="15">
        <v>329.12</v>
      </c>
    </row>
    <row r="1603" spans="1:9">
      <c r="A1603" s="13">
        <v>45028</v>
      </c>
      <c r="B1603" s="91">
        <f t="shared" ref="B1603:B1666" si="27">YEAR(A1603)</f>
        <v>2023</v>
      </c>
      <c r="C1603" s="15" t="s">
        <v>2113</v>
      </c>
      <c r="D1603" s="15" t="s">
        <v>2148</v>
      </c>
      <c r="E1603" s="15" t="s">
        <v>2145</v>
      </c>
      <c r="F1603" s="15" t="s">
        <v>2116</v>
      </c>
      <c r="G1603" s="15" t="s">
        <v>2117</v>
      </c>
      <c r="H1603" s="15">
        <v>7465</v>
      </c>
      <c r="I1603" s="15">
        <v>1973.09</v>
      </c>
    </row>
    <row r="1604" spans="1:9">
      <c r="A1604" s="13">
        <v>44785</v>
      </c>
      <c r="B1604" s="91">
        <f t="shared" si="27"/>
        <v>2022</v>
      </c>
      <c r="C1604" s="15" t="s">
        <v>107</v>
      </c>
      <c r="D1604" s="15" t="s">
        <v>2128</v>
      </c>
      <c r="E1604" s="15" t="s">
        <v>2134</v>
      </c>
      <c r="F1604" s="15" t="s">
        <v>2120</v>
      </c>
      <c r="G1604" s="15" t="s">
        <v>2121</v>
      </c>
      <c r="H1604" s="15">
        <v>7390</v>
      </c>
      <c r="I1604" s="15">
        <v>1203.33</v>
      </c>
    </row>
    <row r="1605" spans="1:9">
      <c r="A1605" s="13">
        <v>44949</v>
      </c>
      <c r="B1605" s="91">
        <f t="shared" si="27"/>
        <v>2023</v>
      </c>
      <c r="C1605" s="15" t="s">
        <v>107</v>
      </c>
      <c r="D1605" s="15" t="s">
        <v>2126</v>
      </c>
      <c r="E1605" s="15" t="s">
        <v>2119</v>
      </c>
      <c r="F1605" s="15" t="s">
        <v>2138</v>
      </c>
      <c r="G1605" s="15" t="s">
        <v>2146</v>
      </c>
      <c r="H1605" s="15">
        <v>4856</v>
      </c>
      <c r="I1605" s="15">
        <v>1191.5</v>
      </c>
    </row>
    <row r="1606" spans="1:9">
      <c r="A1606" s="13">
        <v>44811</v>
      </c>
      <c r="B1606" s="91">
        <f t="shared" si="27"/>
        <v>2022</v>
      </c>
      <c r="C1606" s="15" t="s">
        <v>104</v>
      </c>
      <c r="D1606" s="15" t="s">
        <v>2148</v>
      </c>
      <c r="E1606" s="15" t="s">
        <v>2151</v>
      </c>
      <c r="F1606" s="15" t="s">
        <v>2116</v>
      </c>
      <c r="G1606" s="15" t="s">
        <v>2117</v>
      </c>
      <c r="H1606" s="15">
        <v>1436</v>
      </c>
      <c r="I1606" s="15">
        <v>215.35</v>
      </c>
    </row>
    <row r="1607" spans="1:9">
      <c r="A1607" s="13">
        <v>44970</v>
      </c>
      <c r="B1607" s="91">
        <f t="shared" si="27"/>
        <v>2023</v>
      </c>
      <c r="C1607" s="15" t="s">
        <v>2113</v>
      </c>
      <c r="D1607" s="15" t="s">
        <v>2126</v>
      </c>
      <c r="E1607" s="15" t="s">
        <v>2123</v>
      </c>
      <c r="F1607" s="15" t="s">
        <v>2124</v>
      </c>
      <c r="G1607" s="15" t="s">
        <v>2130</v>
      </c>
      <c r="H1607" s="15">
        <v>2919</v>
      </c>
      <c r="I1607" s="15">
        <v>687.4</v>
      </c>
    </row>
    <row r="1608" spans="1:9">
      <c r="A1608" s="13">
        <v>44731</v>
      </c>
      <c r="B1608" s="91">
        <f t="shared" si="27"/>
        <v>2022</v>
      </c>
      <c r="C1608" s="15" t="s">
        <v>2141</v>
      </c>
      <c r="D1608" s="15" t="s">
        <v>2152</v>
      </c>
      <c r="E1608" s="15" t="s">
        <v>2151</v>
      </c>
      <c r="F1608" s="15" t="s">
        <v>2124</v>
      </c>
      <c r="G1608" s="15" t="s">
        <v>2125</v>
      </c>
      <c r="H1608" s="15">
        <v>1257</v>
      </c>
      <c r="I1608" s="15">
        <v>257.87</v>
      </c>
    </row>
    <row r="1609" spans="1:9">
      <c r="A1609" s="13">
        <v>44987</v>
      </c>
      <c r="B1609" s="91">
        <f t="shared" si="27"/>
        <v>2023</v>
      </c>
      <c r="C1609" s="15" t="s">
        <v>2113</v>
      </c>
      <c r="D1609" s="15" t="s">
        <v>2142</v>
      </c>
      <c r="E1609" s="15" t="s">
        <v>2145</v>
      </c>
      <c r="F1609" s="15" t="s">
        <v>2120</v>
      </c>
      <c r="G1609" s="15" t="s">
        <v>2133</v>
      </c>
      <c r="H1609" s="15">
        <v>4521</v>
      </c>
      <c r="I1609" s="15">
        <v>715.86</v>
      </c>
    </row>
    <row r="1610" spans="1:9">
      <c r="A1610" s="13">
        <v>44568</v>
      </c>
      <c r="B1610" s="91">
        <f t="shared" si="27"/>
        <v>2022</v>
      </c>
      <c r="C1610" s="15" t="s">
        <v>2141</v>
      </c>
      <c r="D1610" s="15" t="s">
        <v>2142</v>
      </c>
      <c r="E1610" s="15" t="s">
        <v>2115</v>
      </c>
      <c r="F1610" s="15" t="s">
        <v>2124</v>
      </c>
      <c r="G1610" s="15" t="s">
        <v>2125</v>
      </c>
      <c r="H1610" s="15">
        <v>9339</v>
      </c>
      <c r="I1610" s="15">
        <v>2122.87</v>
      </c>
    </row>
    <row r="1611" spans="1:9">
      <c r="A1611" s="13">
        <v>44656</v>
      </c>
      <c r="B1611" s="91">
        <f t="shared" si="27"/>
        <v>2022</v>
      </c>
      <c r="C1611" s="15" t="s">
        <v>104</v>
      </c>
      <c r="D1611" s="15" t="s">
        <v>2114</v>
      </c>
      <c r="E1611" s="15" t="s">
        <v>2123</v>
      </c>
      <c r="F1611" s="15" t="s">
        <v>2124</v>
      </c>
      <c r="G1611" s="15" t="s">
        <v>2130</v>
      </c>
      <c r="H1611" s="15">
        <v>6847</v>
      </c>
      <c r="I1611" s="15">
        <v>1002.84</v>
      </c>
    </row>
    <row r="1612" spans="1:9">
      <c r="A1612" s="13">
        <v>44761</v>
      </c>
      <c r="B1612" s="91">
        <f t="shared" si="27"/>
        <v>2022</v>
      </c>
      <c r="C1612" s="15" t="s">
        <v>2141</v>
      </c>
      <c r="D1612" s="15" t="s">
        <v>2148</v>
      </c>
      <c r="E1612" s="15" t="s">
        <v>2145</v>
      </c>
      <c r="F1612" s="15" t="s">
        <v>2124</v>
      </c>
      <c r="G1612" s="15" t="s">
        <v>2140</v>
      </c>
      <c r="H1612" s="15">
        <v>7837</v>
      </c>
      <c r="I1612" s="15">
        <v>1953.71</v>
      </c>
    </row>
    <row r="1613" spans="1:9">
      <c r="A1613" s="13">
        <v>45438</v>
      </c>
      <c r="B1613" s="91">
        <f t="shared" si="27"/>
        <v>2024</v>
      </c>
      <c r="C1613" s="15" t="s">
        <v>104</v>
      </c>
      <c r="D1613" s="15" t="s">
        <v>2152</v>
      </c>
      <c r="E1613" s="15" t="s">
        <v>2134</v>
      </c>
      <c r="F1613" s="15" t="s">
        <v>2116</v>
      </c>
      <c r="G1613" s="15" t="s">
        <v>2127</v>
      </c>
      <c r="H1613" s="15">
        <v>4043</v>
      </c>
      <c r="I1613" s="15">
        <v>530.59</v>
      </c>
    </row>
    <row r="1614" spans="1:9">
      <c r="A1614" s="13">
        <v>45311</v>
      </c>
      <c r="B1614" s="91">
        <f t="shared" si="27"/>
        <v>2024</v>
      </c>
      <c r="C1614" s="15" t="s">
        <v>2113</v>
      </c>
      <c r="D1614" s="15" t="s">
        <v>2118</v>
      </c>
      <c r="E1614" s="15" t="s">
        <v>2129</v>
      </c>
      <c r="F1614" s="15" t="s">
        <v>2138</v>
      </c>
      <c r="G1614" s="15" t="s">
        <v>2149</v>
      </c>
      <c r="H1614" s="15">
        <v>2605</v>
      </c>
      <c r="I1614" s="15">
        <v>270.83999999999997</v>
      </c>
    </row>
    <row r="1615" spans="1:9">
      <c r="A1615" s="13">
        <v>45399</v>
      </c>
      <c r="B1615" s="91">
        <f t="shared" si="27"/>
        <v>2024</v>
      </c>
      <c r="C1615" s="15" t="s">
        <v>107</v>
      </c>
      <c r="D1615" s="15" t="s">
        <v>2126</v>
      </c>
      <c r="E1615" s="15" t="s">
        <v>2119</v>
      </c>
      <c r="F1615" s="15" t="s">
        <v>2120</v>
      </c>
      <c r="G1615" s="15" t="s">
        <v>2132</v>
      </c>
      <c r="H1615" s="15">
        <v>9721</v>
      </c>
      <c r="I1615" s="15">
        <v>1634.55</v>
      </c>
    </row>
    <row r="1616" spans="1:9">
      <c r="A1616" s="13">
        <v>45355</v>
      </c>
      <c r="B1616" s="91">
        <f t="shared" si="27"/>
        <v>2024</v>
      </c>
      <c r="C1616" s="15" t="s">
        <v>104</v>
      </c>
      <c r="D1616" s="15" t="s">
        <v>2128</v>
      </c>
      <c r="E1616" s="15" t="s">
        <v>2136</v>
      </c>
      <c r="F1616" s="15" t="s">
        <v>2120</v>
      </c>
      <c r="G1616" s="15" t="s">
        <v>2121</v>
      </c>
      <c r="H1616" s="15">
        <v>4647</v>
      </c>
      <c r="I1616" s="15">
        <v>651.91</v>
      </c>
    </row>
    <row r="1617" spans="1:9">
      <c r="A1617" s="13">
        <v>44911</v>
      </c>
      <c r="B1617" s="91">
        <f t="shared" si="27"/>
        <v>2022</v>
      </c>
      <c r="C1617" s="15" t="s">
        <v>104</v>
      </c>
      <c r="D1617" s="15" t="s">
        <v>2153</v>
      </c>
      <c r="E1617" s="15" t="s">
        <v>2119</v>
      </c>
      <c r="F1617" s="15" t="s">
        <v>2116</v>
      </c>
      <c r="G1617" s="15" t="s">
        <v>2127</v>
      </c>
      <c r="H1617" s="15">
        <v>1233</v>
      </c>
      <c r="I1617" s="15">
        <v>264.35000000000002</v>
      </c>
    </row>
    <row r="1618" spans="1:9">
      <c r="A1618" s="13">
        <v>45467</v>
      </c>
      <c r="B1618" s="91">
        <f t="shared" si="27"/>
        <v>2024</v>
      </c>
      <c r="C1618" s="15" t="s">
        <v>2141</v>
      </c>
      <c r="D1618" s="15" t="s">
        <v>2153</v>
      </c>
      <c r="E1618" s="15" t="s">
        <v>2143</v>
      </c>
      <c r="F1618" s="15" t="s">
        <v>2124</v>
      </c>
      <c r="G1618" s="15" t="s">
        <v>2125</v>
      </c>
      <c r="H1618" s="15">
        <v>4697</v>
      </c>
      <c r="I1618" s="15">
        <v>604.6</v>
      </c>
    </row>
    <row r="1619" spans="1:9">
      <c r="A1619" s="13">
        <v>44606</v>
      </c>
      <c r="B1619" s="91">
        <f t="shared" si="27"/>
        <v>2022</v>
      </c>
      <c r="C1619" s="15" t="s">
        <v>104</v>
      </c>
      <c r="D1619" s="15" t="s">
        <v>2118</v>
      </c>
      <c r="E1619" s="15" t="s">
        <v>2145</v>
      </c>
      <c r="F1619" s="15" t="s">
        <v>2116</v>
      </c>
      <c r="G1619" s="15" t="s">
        <v>2154</v>
      </c>
      <c r="H1619" s="15">
        <v>4454</v>
      </c>
      <c r="I1619" s="15">
        <v>1225.26</v>
      </c>
    </row>
    <row r="1620" spans="1:9">
      <c r="A1620" s="13">
        <v>45157</v>
      </c>
      <c r="B1620" s="91">
        <f t="shared" si="27"/>
        <v>2023</v>
      </c>
      <c r="C1620" s="15" t="s">
        <v>104</v>
      </c>
      <c r="D1620" s="15" t="s">
        <v>2114</v>
      </c>
      <c r="E1620" s="15" t="s">
        <v>2136</v>
      </c>
      <c r="F1620" s="15" t="s">
        <v>2138</v>
      </c>
      <c r="G1620" s="15" t="s">
        <v>2149</v>
      </c>
      <c r="H1620" s="15">
        <v>2476</v>
      </c>
      <c r="I1620" s="15">
        <v>616.5</v>
      </c>
    </row>
    <row r="1621" spans="1:9">
      <c r="A1621" s="13">
        <v>44802</v>
      </c>
      <c r="B1621" s="91">
        <f t="shared" si="27"/>
        <v>2022</v>
      </c>
      <c r="C1621" s="15" t="s">
        <v>107</v>
      </c>
      <c r="D1621" s="15" t="s">
        <v>2131</v>
      </c>
      <c r="E1621" s="15" t="s">
        <v>2151</v>
      </c>
      <c r="F1621" s="15" t="s">
        <v>2124</v>
      </c>
      <c r="G1621" s="15" t="s">
        <v>2125</v>
      </c>
      <c r="H1621" s="15">
        <v>6379</v>
      </c>
      <c r="I1621" s="15">
        <v>1086.1300000000001</v>
      </c>
    </row>
    <row r="1622" spans="1:9">
      <c r="A1622" s="13">
        <v>44874</v>
      </c>
      <c r="B1622" s="91">
        <f t="shared" si="27"/>
        <v>2022</v>
      </c>
      <c r="C1622" s="15" t="s">
        <v>107</v>
      </c>
      <c r="D1622" s="15" t="s">
        <v>2114</v>
      </c>
      <c r="E1622" s="15" t="s">
        <v>2119</v>
      </c>
      <c r="F1622" s="15" t="s">
        <v>2124</v>
      </c>
      <c r="G1622" s="15" t="s">
        <v>2130</v>
      </c>
      <c r="H1622" s="15">
        <v>4210</v>
      </c>
      <c r="I1622" s="15">
        <v>1082.8800000000001</v>
      </c>
    </row>
    <row r="1623" spans="1:9">
      <c r="A1623" s="13">
        <v>44990</v>
      </c>
      <c r="B1623" s="91">
        <f t="shared" si="27"/>
        <v>2023</v>
      </c>
      <c r="C1623" s="15" t="s">
        <v>2113</v>
      </c>
      <c r="D1623" s="15" t="s">
        <v>2128</v>
      </c>
      <c r="E1623" s="15" t="s">
        <v>2151</v>
      </c>
      <c r="F1623" s="15" t="s">
        <v>2120</v>
      </c>
      <c r="G1623" s="15" t="s">
        <v>2132</v>
      </c>
      <c r="H1623" s="15">
        <v>1640</v>
      </c>
      <c r="I1623" s="15">
        <v>460.06</v>
      </c>
    </row>
    <row r="1624" spans="1:9">
      <c r="A1624" s="13">
        <v>44920</v>
      </c>
      <c r="B1624" s="91">
        <f t="shared" si="27"/>
        <v>2022</v>
      </c>
      <c r="C1624" s="15" t="s">
        <v>107</v>
      </c>
      <c r="D1624" s="15" t="s">
        <v>2118</v>
      </c>
      <c r="E1624" s="15" t="s">
        <v>2115</v>
      </c>
      <c r="F1624" s="15" t="s">
        <v>2120</v>
      </c>
      <c r="G1624" s="15" t="s">
        <v>2132</v>
      </c>
      <c r="H1624" s="15">
        <v>9854</v>
      </c>
      <c r="I1624" s="15">
        <v>1230.71</v>
      </c>
    </row>
    <row r="1625" spans="1:9">
      <c r="A1625" s="13">
        <v>45515</v>
      </c>
      <c r="B1625" s="91">
        <f t="shared" si="27"/>
        <v>2024</v>
      </c>
      <c r="C1625" s="15" t="s">
        <v>2113</v>
      </c>
      <c r="D1625" s="15" t="s">
        <v>2142</v>
      </c>
      <c r="E1625" s="15" t="s">
        <v>2115</v>
      </c>
      <c r="F1625" s="15" t="s">
        <v>2138</v>
      </c>
      <c r="G1625" s="15" t="s">
        <v>2139</v>
      </c>
      <c r="H1625" s="15">
        <v>6808</v>
      </c>
      <c r="I1625" s="15">
        <v>717.05</v>
      </c>
    </row>
    <row r="1626" spans="1:9">
      <c r="A1626" s="13">
        <v>45473</v>
      </c>
      <c r="B1626" s="91">
        <f t="shared" si="27"/>
        <v>2024</v>
      </c>
      <c r="C1626" s="15" t="s">
        <v>104</v>
      </c>
      <c r="D1626" s="15" t="s">
        <v>2153</v>
      </c>
      <c r="E1626" s="15" t="s">
        <v>2145</v>
      </c>
      <c r="F1626" s="15" t="s">
        <v>2138</v>
      </c>
      <c r="G1626" s="15" t="s">
        <v>2149</v>
      </c>
      <c r="H1626" s="15">
        <v>7099</v>
      </c>
      <c r="I1626" s="15">
        <v>1758.72</v>
      </c>
    </row>
    <row r="1627" spans="1:9">
      <c r="A1627" s="13">
        <v>45529</v>
      </c>
      <c r="B1627" s="91">
        <f t="shared" si="27"/>
        <v>2024</v>
      </c>
      <c r="C1627" s="15" t="s">
        <v>107</v>
      </c>
      <c r="D1627" s="15" t="s">
        <v>2142</v>
      </c>
      <c r="E1627" s="15" t="s">
        <v>2143</v>
      </c>
      <c r="F1627" s="15" t="s">
        <v>2138</v>
      </c>
      <c r="G1627" s="15" t="s">
        <v>2139</v>
      </c>
      <c r="H1627" s="15">
        <v>1560</v>
      </c>
      <c r="I1627" s="15">
        <v>247.99</v>
      </c>
    </row>
    <row r="1628" spans="1:9">
      <c r="A1628" s="13">
        <v>44973</v>
      </c>
      <c r="B1628" s="91">
        <f t="shared" si="27"/>
        <v>2023</v>
      </c>
      <c r="C1628" s="15" t="s">
        <v>104</v>
      </c>
      <c r="D1628" s="15" t="s">
        <v>2142</v>
      </c>
      <c r="E1628" s="15" t="s">
        <v>2119</v>
      </c>
      <c r="F1628" s="15" t="s">
        <v>2138</v>
      </c>
      <c r="G1628" s="15" t="s">
        <v>2139</v>
      </c>
      <c r="H1628" s="15">
        <v>2906</v>
      </c>
      <c r="I1628" s="15">
        <v>351.01</v>
      </c>
    </row>
    <row r="1629" spans="1:9">
      <c r="A1629" s="13">
        <v>45336</v>
      </c>
      <c r="B1629" s="91">
        <f t="shared" si="27"/>
        <v>2024</v>
      </c>
      <c r="C1629" s="15" t="s">
        <v>2113</v>
      </c>
      <c r="D1629" s="15" t="s">
        <v>2135</v>
      </c>
      <c r="E1629" s="15" t="s">
        <v>2129</v>
      </c>
      <c r="F1629" s="15" t="s">
        <v>2124</v>
      </c>
      <c r="G1629" s="15" t="s">
        <v>2125</v>
      </c>
      <c r="H1629" s="15">
        <v>6386</v>
      </c>
      <c r="I1629" s="15">
        <v>1374.16</v>
      </c>
    </row>
    <row r="1630" spans="1:9">
      <c r="A1630" s="13">
        <v>44770</v>
      </c>
      <c r="B1630" s="91">
        <f t="shared" si="27"/>
        <v>2022</v>
      </c>
      <c r="C1630" s="15" t="s">
        <v>2113</v>
      </c>
      <c r="D1630" s="15" t="s">
        <v>2152</v>
      </c>
      <c r="E1630" s="15" t="s">
        <v>2145</v>
      </c>
      <c r="F1630" s="15" t="s">
        <v>2138</v>
      </c>
      <c r="G1630" s="15" t="s">
        <v>2149</v>
      </c>
      <c r="H1630" s="15">
        <v>2514</v>
      </c>
      <c r="I1630" s="15">
        <v>660.34</v>
      </c>
    </row>
    <row r="1631" spans="1:9">
      <c r="A1631" s="13">
        <v>44758</v>
      </c>
      <c r="B1631" s="91">
        <f t="shared" si="27"/>
        <v>2022</v>
      </c>
      <c r="C1631" s="15" t="s">
        <v>2141</v>
      </c>
      <c r="D1631" s="15" t="s">
        <v>2148</v>
      </c>
      <c r="E1631" s="15" t="s">
        <v>2144</v>
      </c>
      <c r="F1631" s="15" t="s">
        <v>2124</v>
      </c>
      <c r="G1631" s="15" t="s">
        <v>2125</v>
      </c>
      <c r="H1631" s="15">
        <v>6684</v>
      </c>
      <c r="I1631" s="15">
        <v>1854.48</v>
      </c>
    </row>
    <row r="1632" spans="1:9">
      <c r="A1632" s="13">
        <v>44598</v>
      </c>
      <c r="B1632" s="91">
        <f t="shared" si="27"/>
        <v>2022</v>
      </c>
      <c r="C1632" s="15" t="s">
        <v>104</v>
      </c>
      <c r="D1632" s="15" t="s">
        <v>2114</v>
      </c>
      <c r="E1632" s="15" t="s">
        <v>2134</v>
      </c>
      <c r="F1632" s="15" t="s">
        <v>2124</v>
      </c>
      <c r="G1632" s="15" t="s">
        <v>2125</v>
      </c>
      <c r="H1632" s="15">
        <v>2429</v>
      </c>
      <c r="I1632" s="15">
        <v>623.85</v>
      </c>
    </row>
    <row r="1633" spans="1:9">
      <c r="A1633" s="13">
        <v>45009</v>
      </c>
      <c r="B1633" s="91">
        <f t="shared" si="27"/>
        <v>2023</v>
      </c>
      <c r="C1633" s="15" t="s">
        <v>104</v>
      </c>
      <c r="D1633" s="15" t="s">
        <v>2142</v>
      </c>
      <c r="E1633" s="15" t="s">
        <v>2151</v>
      </c>
      <c r="F1633" s="15" t="s">
        <v>2124</v>
      </c>
      <c r="G1633" s="15" t="s">
        <v>2140</v>
      </c>
      <c r="H1633" s="15">
        <v>3950</v>
      </c>
      <c r="I1633" s="15">
        <v>441.84</v>
      </c>
    </row>
    <row r="1634" spans="1:9">
      <c r="A1634" s="13">
        <v>44799</v>
      </c>
      <c r="B1634" s="91">
        <f t="shared" si="27"/>
        <v>2022</v>
      </c>
      <c r="C1634" s="15" t="s">
        <v>107</v>
      </c>
      <c r="D1634" s="15" t="s">
        <v>2114</v>
      </c>
      <c r="E1634" s="15" t="s">
        <v>2134</v>
      </c>
      <c r="F1634" s="15" t="s">
        <v>2120</v>
      </c>
      <c r="G1634" s="15" t="s">
        <v>2132</v>
      </c>
      <c r="H1634" s="15">
        <v>2007</v>
      </c>
      <c r="I1634" s="15">
        <v>425.37</v>
      </c>
    </row>
    <row r="1635" spans="1:9">
      <c r="A1635" s="13">
        <v>44574</v>
      </c>
      <c r="B1635" s="91">
        <f t="shared" si="27"/>
        <v>2022</v>
      </c>
      <c r="C1635" s="15" t="s">
        <v>2113</v>
      </c>
      <c r="D1635" s="15" t="s">
        <v>2153</v>
      </c>
      <c r="E1635" s="15" t="s">
        <v>2136</v>
      </c>
      <c r="F1635" s="15" t="s">
        <v>2124</v>
      </c>
      <c r="G1635" s="15" t="s">
        <v>2130</v>
      </c>
      <c r="H1635" s="15">
        <v>5169</v>
      </c>
      <c r="I1635" s="15">
        <v>923.05</v>
      </c>
    </row>
    <row r="1636" spans="1:9">
      <c r="A1636" s="13">
        <v>44651</v>
      </c>
      <c r="B1636" s="91">
        <f t="shared" si="27"/>
        <v>2022</v>
      </c>
      <c r="C1636" s="15" t="s">
        <v>2141</v>
      </c>
      <c r="D1636" s="15" t="s">
        <v>2142</v>
      </c>
      <c r="E1636" s="15" t="s">
        <v>2119</v>
      </c>
      <c r="F1636" s="15" t="s">
        <v>2116</v>
      </c>
      <c r="G1636" s="15" t="s">
        <v>2154</v>
      </c>
      <c r="H1636" s="15">
        <v>3876</v>
      </c>
      <c r="I1636" s="15">
        <v>774.82</v>
      </c>
    </row>
    <row r="1637" spans="1:9">
      <c r="A1637" s="13">
        <v>44643</v>
      </c>
      <c r="B1637" s="91">
        <f t="shared" si="27"/>
        <v>2022</v>
      </c>
      <c r="C1637" s="15" t="s">
        <v>2113</v>
      </c>
      <c r="D1637" s="15" t="s">
        <v>2153</v>
      </c>
      <c r="E1637" s="15" t="s">
        <v>2129</v>
      </c>
      <c r="F1637" s="15" t="s">
        <v>2116</v>
      </c>
      <c r="G1637" s="15" t="s">
        <v>2117</v>
      </c>
      <c r="H1637" s="15">
        <v>2143</v>
      </c>
      <c r="I1637" s="15">
        <v>234.89</v>
      </c>
    </row>
    <row r="1638" spans="1:9">
      <c r="A1638" s="13">
        <v>45559</v>
      </c>
      <c r="B1638" s="91">
        <f t="shared" si="27"/>
        <v>2024</v>
      </c>
      <c r="C1638" s="15" t="s">
        <v>104</v>
      </c>
      <c r="D1638" s="15" t="s">
        <v>2135</v>
      </c>
      <c r="E1638" s="15" t="s">
        <v>2123</v>
      </c>
      <c r="F1638" s="15" t="s">
        <v>2124</v>
      </c>
      <c r="G1638" s="15" t="s">
        <v>2140</v>
      </c>
      <c r="H1638" s="15">
        <v>7028</v>
      </c>
      <c r="I1638" s="15">
        <v>778.87</v>
      </c>
    </row>
    <row r="1639" spans="1:9">
      <c r="A1639" s="13">
        <v>45004</v>
      </c>
      <c r="B1639" s="91">
        <f t="shared" si="27"/>
        <v>2023</v>
      </c>
      <c r="C1639" s="15" t="s">
        <v>104</v>
      </c>
      <c r="D1639" s="15" t="s">
        <v>2114</v>
      </c>
      <c r="E1639" s="15" t="s">
        <v>2129</v>
      </c>
      <c r="F1639" s="15" t="s">
        <v>2138</v>
      </c>
      <c r="G1639" s="15" t="s">
        <v>2139</v>
      </c>
      <c r="H1639" s="15">
        <v>7349</v>
      </c>
      <c r="I1639" s="15">
        <v>834.26</v>
      </c>
    </row>
    <row r="1640" spans="1:9">
      <c r="A1640" s="13">
        <v>44987</v>
      </c>
      <c r="B1640" s="91">
        <f t="shared" si="27"/>
        <v>2023</v>
      </c>
      <c r="C1640" s="15" t="s">
        <v>2113</v>
      </c>
      <c r="D1640" s="15" t="s">
        <v>2152</v>
      </c>
      <c r="E1640" s="15" t="s">
        <v>2143</v>
      </c>
      <c r="F1640" s="15" t="s">
        <v>2124</v>
      </c>
      <c r="G1640" s="15" t="s">
        <v>2140</v>
      </c>
      <c r="H1640" s="15">
        <v>9497</v>
      </c>
      <c r="I1640" s="15">
        <v>2251.5</v>
      </c>
    </row>
    <row r="1641" spans="1:9">
      <c r="A1641" s="13">
        <v>45582</v>
      </c>
      <c r="B1641" s="91">
        <f t="shared" si="27"/>
        <v>2024</v>
      </c>
      <c r="C1641" s="15" t="s">
        <v>107</v>
      </c>
      <c r="D1641" s="15" t="s">
        <v>2135</v>
      </c>
      <c r="E1641" s="15" t="s">
        <v>2129</v>
      </c>
      <c r="F1641" s="15" t="s">
        <v>2138</v>
      </c>
      <c r="G1641" s="15" t="s">
        <v>2139</v>
      </c>
      <c r="H1641" s="15">
        <v>1266</v>
      </c>
      <c r="I1641" s="15">
        <v>359.02</v>
      </c>
    </row>
    <row r="1642" spans="1:9">
      <c r="A1642" s="13">
        <v>44600</v>
      </c>
      <c r="B1642" s="91">
        <f t="shared" si="27"/>
        <v>2022</v>
      </c>
      <c r="C1642" s="15" t="s">
        <v>2113</v>
      </c>
      <c r="D1642" s="15" t="s">
        <v>2126</v>
      </c>
      <c r="E1642" s="15" t="s">
        <v>2143</v>
      </c>
      <c r="F1642" s="15" t="s">
        <v>2116</v>
      </c>
      <c r="G1642" s="15" t="s">
        <v>2154</v>
      </c>
      <c r="H1642" s="15">
        <v>9770</v>
      </c>
      <c r="I1642" s="15">
        <v>2013.79</v>
      </c>
    </row>
    <row r="1643" spans="1:9">
      <c r="A1643" s="13">
        <v>45326</v>
      </c>
      <c r="B1643" s="91">
        <f t="shared" si="27"/>
        <v>2024</v>
      </c>
      <c r="C1643" s="15" t="s">
        <v>2141</v>
      </c>
      <c r="D1643" s="15" t="s">
        <v>2126</v>
      </c>
      <c r="E1643" s="15" t="s">
        <v>2144</v>
      </c>
      <c r="F1643" s="15" t="s">
        <v>2120</v>
      </c>
      <c r="G1643" s="15" t="s">
        <v>2133</v>
      </c>
      <c r="H1643" s="15">
        <v>7855</v>
      </c>
      <c r="I1643" s="15">
        <v>1221.6400000000001</v>
      </c>
    </row>
    <row r="1644" spans="1:9">
      <c r="A1644" s="13">
        <v>45038</v>
      </c>
      <c r="B1644" s="91">
        <f t="shared" si="27"/>
        <v>2023</v>
      </c>
      <c r="C1644" s="15" t="s">
        <v>2141</v>
      </c>
      <c r="D1644" s="15" t="s">
        <v>2148</v>
      </c>
      <c r="E1644" s="15" t="s">
        <v>2145</v>
      </c>
      <c r="F1644" s="15" t="s">
        <v>2138</v>
      </c>
      <c r="G1644" s="15" t="s">
        <v>2149</v>
      </c>
      <c r="H1644" s="15">
        <v>3298</v>
      </c>
      <c r="I1644" s="15">
        <v>970.38</v>
      </c>
    </row>
    <row r="1645" spans="1:9">
      <c r="A1645" s="13">
        <v>45063</v>
      </c>
      <c r="B1645" s="91">
        <f t="shared" si="27"/>
        <v>2023</v>
      </c>
      <c r="C1645" s="15" t="s">
        <v>2113</v>
      </c>
      <c r="D1645" s="15" t="s">
        <v>2135</v>
      </c>
      <c r="E1645" s="15" t="s">
        <v>2119</v>
      </c>
      <c r="F1645" s="15" t="s">
        <v>2124</v>
      </c>
      <c r="G1645" s="15" t="s">
        <v>2125</v>
      </c>
      <c r="H1645" s="15">
        <v>4261</v>
      </c>
      <c r="I1645" s="15">
        <v>511.36</v>
      </c>
    </row>
    <row r="1646" spans="1:9">
      <c r="A1646" s="13">
        <v>45623</v>
      </c>
      <c r="B1646" s="91">
        <f t="shared" si="27"/>
        <v>2024</v>
      </c>
      <c r="C1646" s="15" t="s">
        <v>104</v>
      </c>
      <c r="D1646" s="15" t="s">
        <v>2118</v>
      </c>
      <c r="E1646" s="15" t="s">
        <v>2143</v>
      </c>
      <c r="F1646" s="15" t="s">
        <v>2124</v>
      </c>
      <c r="G1646" s="15" t="s">
        <v>2140</v>
      </c>
      <c r="H1646" s="15">
        <v>3578</v>
      </c>
      <c r="I1646" s="15">
        <v>463.41</v>
      </c>
    </row>
    <row r="1647" spans="1:9">
      <c r="A1647" s="13">
        <v>45015</v>
      </c>
      <c r="B1647" s="91">
        <f t="shared" si="27"/>
        <v>2023</v>
      </c>
      <c r="C1647" s="15" t="s">
        <v>2113</v>
      </c>
      <c r="D1647" s="15" t="s">
        <v>2131</v>
      </c>
      <c r="E1647" s="15" t="s">
        <v>2136</v>
      </c>
      <c r="F1647" s="15" t="s">
        <v>2138</v>
      </c>
      <c r="G1647" s="15" t="s">
        <v>2146</v>
      </c>
      <c r="H1647" s="15">
        <v>9330</v>
      </c>
      <c r="I1647" s="15">
        <v>1502.63</v>
      </c>
    </row>
    <row r="1648" spans="1:9">
      <c r="A1648" s="13">
        <v>45516</v>
      </c>
      <c r="B1648" s="91">
        <f t="shared" si="27"/>
        <v>2024</v>
      </c>
      <c r="C1648" s="15" t="s">
        <v>2113</v>
      </c>
      <c r="D1648" s="15" t="s">
        <v>2142</v>
      </c>
      <c r="E1648" s="15" t="s">
        <v>2144</v>
      </c>
      <c r="F1648" s="15" t="s">
        <v>2116</v>
      </c>
      <c r="G1648" s="15" t="s">
        <v>2127</v>
      </c>
      <c r="H1648" s="15">
        <v>2458</v>
      </c>
      <c r="I1648" s="15">
        <v>450.79</v>
      </c>
    </row>
    <row r="1649" spans="1:9">
      <c r="A1649" s="13">
        <v>44942</v>
      </c>
      <c r="B1649" s="91">
        <f t="shared" si="27"/>
        <v>2023</v>
      </c>
      <c r="C1649" s="15" t="s">
        <v>2113</v>
      </c>
      <c r="D1649" s="15" t="s">
        <v>2114</v>
      </c>
      <c r="E1649" s="15" t="s">
        <v>2136</v>
      </c>
      <c r="F1649" s="15" t="s">
        <v>2138</v>
      </c>
      <c r="G1649" s="15" t="s">
        <v>2146</v>
      </c>
      <c r="H1649" s="15">
        <v>2345</v>
      </c>
      <c r="I1649" s="15">
        <v>411.72</v>
      </c>
    </row>
    <row r="1650" spans="1:9">
      <c r="A1650" s="13">
        <v>45367</v>
      </c>
      <c r="B1650" s="91">
        <f t="shared" si="27"/>
        <v>2024</v>
      </c>
      <c r="C1650" s="15" t="s">
        <v>107</v>
      </c>
      <c r="D1650" s="15" t="s">
        <v>2131</v>
      </c>
      <c r="E1650" s="15" t="s">
        <v>2145</v>
      </c>
      <c r="F1650" s="15" t="s">
        <v>2116</v>
      </c>
      <c r="G1650" s="15" t="s">
        <v>2117</v>
      </c>
      <c r="H1650" s="15">
        <v>6678</v>
      </c>
      <c r="I1650" s="15">
        <v>860.71</v>
      </c>
    </row>
    <row r="1651" spans="1:9">
      <c r="A1651" s="13">
        <v>45148</v>
      </c>
      <c r="B1651" s="91">
        <f t="shared" si="27"/>
        <v>2023</v>
      </c>
      <c r="C1651" s="15" t="s">
        <v>104</v>
      </c>
      <c r="D1651" s="15" t="s">
        <v>2128</v>
      </c>
      <c r="E1651" s="15" t="s">
        <v>2143</v>
      </c>
      <c r="F1651" s="15" t="s">
        <v>2138</v>
      </c>
      <c r="G1651" s="15" t="s">
        <v>2149</v>
      </c>
      <c r="H1651" s="15">
        <v>4155</v>
      </c>
      <c r="I1651" s="15">
        <v>804.67</v>
      </c>
    </row>
    <row r="1652" spans="1:9">
      <c r="A1652" s="13">
        <v>45319</v>
      </c>
      <c r="B1652" s="91">
        <f t="shared" si="27"/>
        <v>2024</v>
      </c>
      <c r="C1652" s="15" t="s">
        <v>104</v>
      </c>
      <c r="D1652" s="15" t="s">
        <v>2153</v>
      </c>
      <c r="E1652" s="15" t="s">
        <v>2144</v>
      </c>
      <c r="F1652" s="15" t="s">
        <v>2124</v>
      </c>
      <c r="G1652" s="15" t="s">
        <v>2125</v>
      </c>
      <c r="H1652" s="15">
        <v>4793</v>
      </c>
      <c r="I1652" s="15">
        <v>1368.25</v>
      </c>
    </row>
    <row r="1653" spans="1:9">
      <c r="A1653" s="13">
        <v>44776</v>
      </c>
      <c r="B1653" s="91">
        <f t="shared" si="27"/>
        <v>2022</v>
      </c>
      <c r="C1653" s="15" t="s">
        <v>107</v>
      </c>
      <c r="D1653" s="15" t="s">
        <v>2114</v>
      </c>
      <c r="E1653" s="15" t="s">
        <v>2119</v>
      </c>
      <c r="F1653" s="15" t="s">
        <v>2116</v>
      </c>
      <c r="G1653" s="15" t="s">
        <v>2154</v>
      </c>
      <c r="H1653" s="15">
        <v>1519</v>
      </c>
      <c r="I1653" s="15">
        <v>301.94</v>
      </c>
    </row>
    <row r="1654" spans="1:9">
      <c r="A1654" s="13">
        <v>45519</v>
      </c>
      <c r="B1654" s="91">
        <f t="shared" si="27"/>
        <v>2024</v>
      </c>
      <c r="C1654" s="15" t="s">
        <v>2141</v>
      </c>
      <c r="D1654" s="15" t="s">
        <v>2153</v>
      </c>
      <c r="E1654" s="15" t="s">
        <v>2123</v>
      </c>
      <c r="F1654" s="15" t="s">
        <v>2116</v>
      </c>
      <c r="G1654" s="15" t="s">
        <v>2117</v>
      </c>
      <c r="H1654" s="15">
        <v>9500</v>
      </c>
      <c r="I1654" s="15">
        <v>2705.07</v>
      </c>
    </row>
    <row r="1655" spans="1:9">
      <c r="A1655" s="13">
        <v>44966</v>
      </c>
      <c r="B1655" s="91">
        <f t="shared" si="27"/>
        <v>2023</v>
      </c>
      <c r="C1655" s="15" t="s">
        <v>104</v>
      </c>
      <c r="D1655" s="15" t="s">
        <v>2153</v>
      </c>
      <c r="E1655" s="15" t="s">
        <v>2143</v>
      </c>
      <c r="F1655" s="15" t="s">
        <v>2124</v>
      </c>
      <c r="G1655" s="15" t="s">
        <v>2125</v>
      </c>
      <c r="H1655" s="15">
        <v>8833</v>
      </c>
      <c r="I1655" s="15">
        <v>1484.44</v>
      </c>
    </row>
    <row r="1656" spans="1:9">
      <c r="A1656" s="13">
        <v>45222</v>
      </c>
      <c r="B1656" s="91">
        <f t="shared" si="27"/>
        <v>2023</v>
      </c>
      <c r="C1656" s="15" t="s">
        <v>104</v>
      </c>
      <c r="D1656" s="15" t="s">
        <v>2131</v>
      </c>
      <c r="E1656" s="15" t="s">
        <v>2136</v>
      </c>
      <c r="F1656" s="15" t="s">
        <v>2116</v>
      </c>
      <c r="G1656" s="15" t="s">
        <v>2127</v>
      </c>
      <c r="H1656" s="15">
        <v>6658</v>
      </c>
      <c r="I1656" s="15">
        <v>1876.65</v>
      </c>
    </row>
    <row r="1657" spans="1:9">
      <c r="A1657" s="13">
        <v>44586</v>
      </c>
      <c r="B1657" s="91">
        <f t="shared" si="27"/>
        <v>2022</v>
      </c>
      <c r="C1657" s="15" t="s">
        <v>2113</v>
      </c>
      <c r="D1657" s="15" t="s">
        <v>2114</v>
      </c>
      <c r="E1657" s="15" t="s">
        <v>2136</v>
      </c>
      <c r="F1657" s="15" t="s">
        <v>2116</v>
      </c>
      <c r="G1657" s="15" t="s">
        <v>2127</v>
      </c>
      <c r="H1657" s="15">
        <v>5928</v>
      </c>
      <c r="I1657" s="15">
        <v>1623.51</v>
      </c>
    </row>
    <row r="1658" spans="1:9">
      <c r="A1658" s="13">
        <v>44717</v>
      </c>
      <c r="B1658" s="91">
        <f t="shared" si="27"/>
        <v>2022</v>
      </c>
      <c r="C1658" s="15" t="s">
        <v>2141</v>
      </c>
      <c r="D1658" s="15" t="s">
        <v>2142</v>
      </c>
      <c r="E1658" s="15" t="s">
        <v>2151</v>
      </c>
      <c r="F1658" s="15" t="s">
        <v>2138</v>
      </c>
      <c r="G1658" s="15" t="s">
        <v>2139</v>
      </c>
      <c r="H1658" s="15">
        <v>5154</v>
      </c>
      <c r="I1658" s="15">
        <v>1016.36</v>
      </c>
    </row>
    <row r="1659" spans="1:9">
      <c r="A1659" s="13">
        <v>44970</v>
      </c>
      <c r="B1659" s="91">
        <f t="shared" si="27"/>
        <v>2023</v>
      </c>
      <c r="C1659" s="15" t="s">
        <v>2113</v>
      </c>
      <c r="D1659" s="15" t="s">
        <v>2152</v>
      </c>
      <c r="E1659" s="15" t="s">
        <v>2119</v>
      </c>
      <c r="F1659" s="15" t="s">
        <v>2124</v>
      </c>
      <c r="G1659" s="15" t="s">
        <v>2140</v>
      </c>
      <c r="H1659" s="15">
        <v>2240</v>
      </c>
      <c r="I1659" s="15">
        <v>578.01</v>
      </c>
    </row>
    <row r="1660" spans="1:9">
      <c r="A1660" s="13">
        <v>45152</v>
      </c>
      <c r="B1660" s="91">
        <f t="shared" si="27"/>
        <v>2023</v>
      </c>
      <c r="C1660" s="15" t="s">
        <v>2113</v>
      </c>
      <c r="D1660" s="15" t="s">
        <v>2118</v>
      </c>
      <c r="E1660" s="15" t="s">
        <v>2115</v>
      </c>
      <c r="F1660" s="15" t="s">
        <v>2120</v>
      </c>
      <c r="G1660" s="15" t="s">
        <v>2133</v>
      </c>
      <c r="H1660" s="15">
        <v>7232</v>
      </c>
      <c r="I1660" s="15">
        <v>2122.69</v>
      </c>
    </row>
    <row r="1661" spans="1:9">
      <c r="A1661" s="13">
        <v>44622</v>
      </c>
      <c r="B1661" s="91">
        <f t="shared" si="27"/>
        <v>2022</v>
      </c>
      <c r="C1661" s="15" t="s">
        <v>2113</v>
      </c>
      <c r="D1661" s="15" t="s">
        <v>2142</v>
      </c>
      <c r="E1661" s="15" t="s">
        <v>2129</v>
      </c>
      <c r="F1661" s="15" t="s">
        <v>2124</v>
      </c>
      <c r="G1661" s="15" t="s">
        <v>2125</v>
      </c>
      <c r="H1661" s="15">
        <v>5175</v>
      </c>
      <c r="I1661" s="15">
        <v>1505.09</v>
      </c>
    </row>
    <row r="1662" spans="1:9">
      <c r="A1662" s="13">
        <v>44967</v>
      </c>
      <c r="B1662" s="91">
        <f t="shared" si="27"/>
        <v>2023</v>
      </c>
      <c r="C1662" s="15" t="s">
        <v>2113</v>
      </c>
      <c r="D1662" s="15" t="s">
        <v>2148</v>
      </c>
      <c r="E1662" s="15" t="s">
        <v>2119</v>
      </c>
      <c r="F1662" s="15" t="s">
        <v>2124</v>
      </c>
      <c r="G1662" s="15" t="s">
        <v>2130</v>
      </c>
      <c r="H1662" s="15">
        <v>7112</v>
      </c>
      <c r="I1662" s="15">
        <v>1348.69</v>
      </c>
    </row>
    <row r="1663" spans="1:9">
      <c r="A1663" s="13">
        <v>45439</v>
      </c>
      <c r="B1663" s="91">
        <f t="shared" si="27"/>
        <v>2024</v>
      </c>
      <c r="C1663" s="15" t="s">
        <v>2141</v>
      </c>
      <c r="D1663" s="15" t="s">
        <v>2142</v>
      </c>
      <c r="E1663" s="15" t="s">
        <v>2115</v>
      </c>
      <c r="F1663" s="15" t="s">
        <v>2120</v>
      </c>
      <c r="G1663" s="15" t="s">
        <v>2133</v>
      </c>
      <c r="H1663" s="15">
        <v>6219</v>
      </c>
      <c r="I1663" s="15">
        <v>1307.8699999999999</v>
      </c>
    </row>
    <row r="1664" spans="1:9">
      <c r="A1664" s="13">
        <v>45597</v>
      </c>
      <c r="B1664" s="91">
        <f t="shared" si="27"/>
        <v>2024</v>
      </c>
      <c r="C1664" s="15" t="s">
        <v>2113</v>
      </c>
      <c r="D1664" s="15" t="s">
        <v>2126</v>
      </c>
      <c r="E1664" s="15" t="s">
        <v>2144</v>
      </c>
      <c r="F1664" s="15" t="s">
        <v>2138</v>
      </c>
      <c r="G1664" s="15" t="s">
        <v>2146</v>
      </c>
      <c r="H1664" s="15">
        <v>5290</v>
      </c>
      <c r="I1664" s="15">
        <v>786.59</v>
      </c>
    </row>
    <row r="1665" spans="1:9">
      <c r="A1665" s="13">
        <v>44911</v>
      </c>
      <c r="B1665" s="91">
        <f t="shared" si="27"/>
        <v>2022</v>
      </c>
      <c r="C1665" s="15" t="s">
        <v>2113</v>
      </c>
      <c r="D1665" s="15" t="s">
        <v>2114</v>
      </c>
      <c r="E1665" s="15" t="s">
        <v>2129</v>
      </c>
      <c r="F1665" s="15" t="s">
        <v>2138</v>
      </c>
      <c r="G1665" s="15" t="s">
        <v>2146</v>
      </c>
      <c r="H1665" s="15">
        <v>8744</v>
      </c>
      <c r="I1665" s="15">
        <v>2316.59</v>
      </c>
    </row>
    <row r="1666" spans="1:9">
      <c r="A1666" s="13">
        <v>45401</v>
      </c>
      <c r="B1666" s="91">
        <f t="shared" si="27"/>
        <v>2024</v>
      </c>
      <c r="C1666" s="15" t="s">
        <v>2141</v>
      </c>
      <c r="D1666" s="15" t="s">
        <v>2118</v>
      </c>
      <c r="E1666" s="15" t="s">
        <v>2115</v>
      </c>
      <c r="F1666" s="15" t="s">
        <v>2124</v>
      </c>
      <c r="G1666" s="15" t="s">
        <v>2130</v>
      </c>
      <c r="H1666" s="15">
        <v>3206</v>
      </c>
      <c r="I1666" s="15">
        <v>543.26</v>
      </c>
    </row>
    <row r="1667" spans="1:9">
      <c r="A1667" s="13">
        <v>45056</v>
      </c>
      <c r="B1667" s="91">
        <f t="shared" ref="B1667:B1730" si="28">YEAR(A1667)</f>
        <v>2023</v>
      </c>
      <c r="C1667" s="15" t="s">
        <v>2113</v>
      </c>
      <c r="D1667" s="15" t="s">
        <v>2148</v>
      </c>
      <c r="E1667" s="15" t="s">
        <v>2123</v>
      </c>
      <c r="F1667" s="15" t="s">
        <v>2116</v>
      </c>
      <c r="G1667" s="15" t="s">
        <v>2127</v>
      </c>
      <c r="H1667" s="15">
        <v>5125</v>
      </c>
      <c r="I1667" s="15">
        <v>1164.25</v>
      </c>
    </row>
    <row r="1668" spans="1:9">
      <c r="A1668" s="13">
        <v>44991</v>
      </c>
      <c r="B1668" s="91">
        <f t="shared" si="28"/>
        <v>2023</v>
      </c>
      <c r="C1668" s="15" t="s">
        <v>107</v>
      </c>
      <c r="D1668" s="15" t="s">
        <v>2148</v>
      </c>
      <c r="E1668" s="15" t="s">
        <v>2115</v>
      </c>
      <c r="F1668" s="15" t="s">
        <v>2116</v>
      </c>
      <c r="G1668" s="15" t="s">
        <v>2127</v>
      </c>
      <c r="H1668" s="15">
        <v>2022</v>
      </c>
      <c r="I1668" s="15">
        <v>519.33000000000004</v>
      </c>
    </row>
    <row r="1669" spans="1:9">
      <c r="A1669" s="13">
        <v>45343</v>
      </c>
      <c r="B1669" s="91">
        <f t="shared" si="28"/>
        <v>2024</v>
      </c>
      <c r="C1669" s="15" t="s">
        <v>2113</v>
      </c>
      <c r="D1669" s="15" t="s">
        <v>2152</v>
      </c>
      <c r="E1669" s="15" t="s">
        <v>2119</v>
      </c>
      <c r="F1669" s="15" t="s">
        <v>2120</v>
      </c>
      <c r="G1669" s="15" t="s">
        <v>2133</v>
      </c>
      <c r="H1669" s="15">
        <v>9684</v>
      </c>
      <c r="I1669" s="15">
        <v>1446.94</v>
      </c>
    </row>
    <row r="1670" spans="1:9">
      <c r="A1670" s="13">
        <v>45006</v>
      </c>
      <c r="B1670" s="91">
        <f t="shared" si="28"/>
        <v>2023</v>
      </c>
      <c r="C1670" s="15" t="s">
        <v>2141</v>
      </c>
      <c r="D1670" s="15" t="s">
        <v>2148</v>
      </c>
      <c r="E1670" s="15" t="s">
        <v>2145</v>
      </c>
      <c r="F1670" s="15" t="s">
        <v>2138</v>
      </c>
      <c r="G1670" s="15" t="s">
        <v>2149</v>
      </c>
      <c r="H1670" s="15">
        <v>6837</v>
      </c>
      <c r="I1670" s="15">
        <v>1141.33</v>
      </c>
    </row>
    <row r="1671" spans="1:9">
      <c r="A1671" s="13">
        <v>44745</v>
      </c>
      <c r="B1671" s="91">
        <f t="shared" si="28"/>
        <v>2022</v>
      </c>
      <c r="C1671" s="15" t="s">
        <v>104</v>
      </c>
      <c r="D1671" s="15" t="s">
        <v>2148</v>
      </c>
      <c r="E1671" s="15" t="s">
        <v>2115</v>
      </c>
      <c r="F1671" s="15" t="s">
        <v>2116</v>
      </c>
      <c r="G1671" s="15" t="s">
        <v>2154</v>
      </c>
      <c r="H1671" s="15">
        <v>4363</v>
      </c>
      <c r="I1671" s="15">
        <v>1304.48</v>
      </c>
    </row>
    <row r="1672" spans="1:9">
      <c r="A1672" s="13">
        <v>45469</v>
      </c>
      <c r="B1672" s="91">
        <f t="shared" si="28"/>
        <v>2024</v>
      </c>
      <c r="C1672" s="15" t="s">
        <v>104</v>
      </c>
      <c r="D1672" s="15" t="s">
        <v>2126</v>
      </c>
      <c r="E1672" s="15" t="s">
        <v>2151</v>
      </c>
      <c r="F1672" s="15" t="s">
        <v>2120</v>
      </c>
      <c r="G1672" s="15" t="s">
        <v>2121</v>
      </c>
      <c r="H1672" s="15">
        <v>2333</v>
      </c>
      <c r="I1672" s="15">
        <v>443.14</v>
      </c>
    </row>
    <row r="1673" spans="1:9">
      <c r="A1673" s="13">
        <v>45434</v>
      </c>
      <c r="B1673" s="91">
        <f t="shared" si="28"/>
        <v>2024</v>
      </c>
      <c r="C1673" s="15" t="s">
        <v>2113</v>
      </c>
      <c r="D1673" s="15" t="s">
        <v>2153</v>
      </c>
      <c r="E1673" s="15" t="s">
        <v>2143</v>
      </c>
      <c r="F1673" s="15" t="s">
        <v>2120</v>
      </c>
      <c r="G1673" s="15" t="s">
        <v>2121</v>
      </c>
      <c r="H1673" s="15">
        <v>5121</v>
      </c>
      <c r="I1673" s="15">
        <v>922.93</v>
      </c>
    </row>
    <row r="1674" spans="1:9">
      <c r="A1674" s="13">
        <v>45420</v>
      </c>
      <c r="B1674" s="91">
        <f t="shared" si="28"/>
        <v>2024</v>
      </c>
      <c r="C1674" s="15" t="s">
        <v>2113</v>
      </c>
      <c r="D1674" s="15" t="s">
        <v>2152</v>
      </c>
      <c r="E1674" s="15" t="s">
        <v>2144</v>
      </c>
      <c r="F1674" s="15" t="s">
        <v>2120</v>
      </c>
      <c r="G1674" s="15" t="s">
        <v>2132</v>
      </c>
      <c r="H1674" s="15">
        <v>3952</v>
      </c>
      <c r="I1674" s="15">
        <v>1130.23</v>
      </c>
    </row>
    <row r="1675" spans="1:9">
      <c r="A1675" s="13">
        <v>44910</v>
      </c>
      <c r="B1675" s="91">
        <f t="shared" si="28"/>
        <v>2022</v>
      </c>
      <c r="C1675" s="15" t="s">
        <v>2113</v>
      </c>
      <c r="D1675" s="15" t="s">
        <v>2126</v>
      </c>
      <c r="E1675" s="15" t="s">
        <v>2144</v>
      </c>
      <c r="F1675" s="15" t="s">
        <v>2120</v>
      </c>
      <c r="G1675" s="15" t="s">
        <v>2133</v>
      </c>
      <c r="H1675" s="15">
        <v>9451</v>
      </c>
      <c r="I1675" s="15">
        <v>2740.75</v>
      </c>
    </row>
    <row r="1676" spans="1:9">
      <c r="A1676" s="13">
        <v>45449</v>
      </c>
      <c r="B1676" s="91">
        <f t="shared" si="28"/>
        <v>2024</v>
      </c>
      <c r="C1676" s="15" t="s">
        <v>2113</v>
      </c>
      <c r="D1676" s="15" t="s">
        <v>2114</v>
      </c>
      <c r="E1676" s="15" t="s">
        <v>2129</v>
      </c>
      <c r="F1676" s="15" t="s">
        <v>2120</v>
      </c>
      <c r="G1676" s="15" t="s">
        <v>2132</v>
      </c>
      <c r="H1676" s="15">
        <v>2190</v>
      </c>
      <c r="I1676" s="15">
        <v>301.20999999999998</v>
      </c>
    </row>
    <row r="1677" spans="1:9">
      <c r="A1677" s="13">
        <v>45573</v>
      </c>
      <c r="B1677" s="91">
        <f t="shared" si="28"/>
        <v>2024</v>
      </c>
      <c r="C1677" s="15" t="s">
        <v>2141</v>
      </c>
      <c r="D1677" s="15" t="s">
        <v>2152</v>
      </c>
      <c r="E1677" s="15" t="s">
        <v>2151</v>
      </c>
      <c r="F1677" s="15" t="s">
        <v>2124</v>
      </c>
      <c r="G1677" s="15" t="s">
        <v>2130</v>
      </c>
      <c r="H1677" s="15">
        <v>5871</v>
      </c>
      <c r="I1677" s="15">
        <v>788.3</v>
      </c>
    </row>
    <row r="1678" spans="1:9">
      <c r="A1678" s="13">
        <v>44959</v>
      </c>
      <c r="B1678" s="91">
        <f t="shared" si="28"/>
        <v>2023</v>
      </c>
      <c r="C1678" s="15" t="s">
        <v>107</v>
      </c>
      <c r="D1678" s="15" t="s">
        <v>2135</v>
      </c>
      <c r="E1678" s="15" t="s">
        <v>2115</v>
      </c>
      <c r="F1678" s="15" t="s">
        <v>2120</v>
      </c>
      <c r="G1678" s="15" t="s">
        <v>2121</v>
      </c>
      <c r="H1678" s="15">
        <v>9199</v>
      </c>
      <c r="I1678" s="15">
        <v>2367.02</v>
      </c>
    </row>
    <row r="1679" spans="1:9">
      <c r="A1679" s="13">
        <v>44848</v>
      </c>
      <c r="B1679" s="91">
        <f t="shared" si="28"/>
        <v>2022</v>
      </c>
      <c r="C1679" s="15" t="s">
        <v>2113</v>
      </c>
      <c r="D1679" s="15" t="s">
        <v>2118</v>
      </c>
      <c r="E1679" s="15" t="s">
        <v>2129</v>
      </c>
      <c r="F1679" s="15" t="s">
        <v>2138</v>
      </c>
      <c r="G1679" s="15" t="s">
        <v>2149</v>
      </c>
      <c r="H1679" s="15">
        <v>5091</v>
      </c>
      <c r="I1679" s="15">
        <v>1127.18</v>
      </c>
    </row>
    <row r="1680" spans="1:9">
      <c r="A1680" s="13">
        <v>45632</v>
      </c>
      <c r="B1680" s="91">
        <f t="shared" si="28"/>
        <v>2024</v>
      </c>
      <c r="C1680" s="15" t="s">
        <v>107</v>
      </c>
      <c r="D1680" s="15" t="s">
        <v>2131</v>
      </c>
      <c r="E1680" s="15" t="s">
        <v>2129</v>
      </c>
      <c r="F1680" s="15" t="s">
        <v>2116</v>
      </c>
      <c r="G1680" s="15" t="s">
        <v>2127</v>
      </c>
      <c r="H1680" s="15">
        <v>7686</v>
      </c>
      <c r="I1680" s="15">
        <v>838.2</v>
      </c>
    </row>
    <row r="1681" spans="1:9">
      <c r="A1681" s="13">
        <v>45284</v>
      </c>
      <c r="B1681" s="91">
        <f t="shared" si="28"/>
        <v>2023</v>
      </c>
      <c r="C1681" s="15" t="s">
        <v>2113</v>
      </c>
      <c r="D1681" s="15" t="s">
        <v>2128</v>
      </c>
      <c r="E1681" s="15" t="s">
        <v>2119</v>
      </c>
      <c r="F1681" s="15" t="s">
        <v>2116</v>
      </c>
      <c r="G1681" s="15" t="s">
        <v>2127</v>
      </c>
      <c r="H1681" s="15">
        <v>9952</v>
      </c>
      <c r="I1681" s="15">
        <v>1951.51</v>
      </c>
    </row>
    <row r="1682" spans="1:9">
      <c r="A1682" s="13">
        <v>45334</v>
      </c>
      <c r="B1682" s="91">
        <f t="shared" si="28"/>
        <v>2024</v>
      </c>
      <c r="C1682" s="15" t="s">
        <v>107</v>
      </c>
      <c r="D1682" s="15" t="s">
        <v>2142</v>
      </c>
      <c r="E1682" s="15" t="s">
        <v>2136</v>
      </c>
      <c r="F1682" s="15" t="s">
        <v>2120</v>
      </c>
      <c r="G1682" s="15" t="s">
        <v>2132</v>
      </c>
      <c r="H1682" s="15">
        <v>9302</v>
      </c>
      <c r="I1682" s="15">
        <v>1242.3900000000001</v>
      </c>
    </row>
    <row r="1683" spans="1:9">
      <c r="A1683" s="13">
        <v>45186</v>
      </c>
      <c r="B1683" s="91">
        <f t="shared" si="28"/>
        <v>2023</v>
      </c>
      <c r="C1683" s="15" t="s">
        <v>104</v>
      </c>
      <c r="D1683" s="15" t="s">
        <v>2118</v>
      </c>
      <c r="E1683" s="15" t="s">
        <v>2151</v>
      </c>
      <c r="F1683" s="15" t="s">
        <v>2120</v>
      </c>
      <c r="G1683" s="15" t="s">
        <v>2121</v>
      </c>
      <c r="H1683" s="15">
        <v>9629</v>
      </c>
      <c r="I1683" s="15">
        <v>2534.4299999999998</v>
      </c>
    </row>
    <row r="1684" spans="1:9">
      <c r="A1684" s="13">
        <v>45295</v>
      </c>
      <c r="B1684" s="91">
        <f t="shared" si="28"/>
        <v>2024</v>
      </c>
      <c r="C1684" s="15" t="s">
        <v>2113</v>
      </c>
      <c r="D1684" s="15" t="s">
        <v>2126</v>
      </c>
      <c r="E1684" s="15" t="s">
        <v>2129</v>
      </c>
      <c r="F1684" s="15" t="s">
        <v>2124</v>
      </c>
      <c r="G1684" s="15" t="s">
        <v>2125</v>
      </c>
      <c r="H1684" s="15">
        <v>4036</v>
      </c>
      <c r="I1684" s="15">
        <v>779.29</v>
      </c>
    </row>
    <row r="1685" spans="1:9">
      <c r="A1685" s="13">
        <v>44672</v>
      </c>
      <c r="B1685" s="91">
        <f t="shared" si="28"/>
        <v>2022</v>
      </c>
      <c r="C1685" s="15" t="s">
        <v>2113</v>
      </c>
      <c r="D1685" s="15" t="s">
        <v>2118</v>
      </c>
      <c r="E1685" s="15" t="s">
        <v>2134</v>
      </c>
      <c r="F1685" s="15" t="s">
        <v>2116</v>
      </c>
      <c r="G1685" s="15" t="s">
        <v>2127</v>
      </c>
      <c r="H1685" s="15">
        <v>7534</v>
      </c>
      <c r="I1685" s="15">
        <v>1085.3</v>
      </c>
    </row>
    <row r="1686" spans="1:9">
      <c r="A1686" s="13">
        <v>44676</v>
      </c>
      <c r="B1686" s="91">
        <f t="shared" si="28"/>
        <v>2022</v>
      </c>
      <c r="C1686" s="15" t="s">
        <v>104</v>
      </c>
      <c r="D1686" s="15" t="s">
        <v>2114</v>
      </c>
      <c r="E1686" s="15" t="s">
        <v>2134</v>
      </c>
      <c r="F1686" s="15" t="s">
        <v>2116</v>
      </c>
      <c r="G1686" s="15" t="s">
        <v>2117</v>
      </c>
      <c r="H1686" s="15">
        <v>9700</v>
      </c>
      <c r="I1686" s="15">
        <v>2779.64</v>
      </c>
    </row>
    <row r="1687" spans="1:9">
      <c r="A1687" s="13">
        <v>45555</v>
      </c>
      <c r="B1687" s="91">
        <f t="shared" si="28"/>
        <v>2024</v>
      </c>
      <c r="C1687" s="15" t="s">
        <v>2113</v>
      </c>
      <c r="D1687" s="15" t="s">
        <v>2135</v>
      </c>
      <c r="E1687" s="15" t="s">
        <v>2115</v>
      </c>
      <c r="F1687" s="15" t="s">
        <v>2120</v>
      </c>
      <c r="G1687" s="15" t="s">
        <v>2133</v>
      </c>
      <c r="H1687" s="15">
        <v>2150</v>
      </c>
      <c r="I1687" s="15">
        <v>521.48</v>
      </c>
    </row>
    <row r="1688" spans="1:9">
      <c r="A1688" s="13">
        <v>45553</v>
      </c>
      <c r="B1688" s="91">
        <f t="shared" si="28"/>
        <v>2024</v>
      </c>
      <c r="C1688" s="15" t="s">
        <v>107</v>
      </c>
      <c r="D1688" s="15" t="s">
        <v>2126</v>
      </c>
      <c r="E1688" s="15" t="s">
        <v>2115</v>
      </c>
      <c r="F1688" s="15" t="s">
        <v>2120</v>
      </c>
      <c r="G1688" s="15" t="s">
        <v>2121</v>
      </c>
      <c r="H1688" s="15">
        <v>1838</v>
      </c>
      <c r="I1688" s="15">
        <v>339.13</v>
      </c>
    </row>
    <row r="1689" spans="1:9">
      <c r="A1689" s="13">
        <v>44899</v>
      </c>
      <c r="B1689" s="91">
        <f t="shared" si="28"/>
        <v>2022</v>
      </c>
      <c r="C1689" s="15" t="s">
        <v>107</v>
      </c>
      <c r="D1689" s="15" t="s">
        <v>2152</v>
      </c>
      <c r="E1689" s="15" t="s">
        <v>2134</v>
      </c>
      <c r="F1689" s="15" t="s">
        <v>2138</v>
      </c>
      <c r="G1689" s="15" t="s">
        <v>2146</v>
      </c>
      <c r="H1689" s="15">
        <v>5159</v>
      </c>
      <c r="I1689" s="15">
        <v>659.65</v>
      </c>
    </row>
    <row r="1690" spans="1:9">
      <c r="A1690" s="13">
        <v>45378</v>
      </c>
      <c r="B1690" s="91">
        <f t="shared" si="28"/>
        <v>2024</v>
      </c>
      <c r="C1690" s="15" t="s">
        <v>107</v>
      </c>
      <c r="D1690" s="15" t="s">
        <v>2153</v>
      </c>
      <c r="E1690" s="15" t="s">
        <v>2119</v>
      </c>
      <c r="F1690" s="15" t="s">
        <v>2116</v>
      </c>
      <c r="G1690" s="15" t="s">
        <v>2154</v>
      </c>
      <c r="H1690" s="15">
        <v>7513</v>
      </c>
      <c r="I1690" s="15">
        <v>1040.42</v>
      </c>
    </row>
    <row r="1691" spans="1:9">
      <c r="A1691" s="13">
        <v>45490</v>
      </c>
      <c r="B1691" s="91">
        <f t="shared" si="28"/>
        <v>2024</v>
      </c>
      <c r="C1691" s="15" t="s">
        <v>2141</v>
      </c>
      <c r="D1691" s="15" t="s">
        <v>2114</v>
      </c>
      <c r="E1691" s="15" t="s">
        <v>2144</v>
      </c>
      <c r="F1691" s="15" t="s">
        <v>2124</v>
      </c>
      <c r="G1691" s="15" t="s">
        <v>2140</v>
      </c>
      <c r="H1691" s="15">
        <v>5611</v>
      </c>
      <c r="I1691" s="15">
        <v>1594.4</v>
      </c>
    </row>
    <row r="1692" spans="1:9">
      <c r="A1692" s="13">
        <v>44604</v>
      </c>
      <c r="B1692" s="91">
        <f t="shared" si="28"/>
        <v>2022</v>
      </c>
      <c r="C1692" s="15" t="s">
        <v>104</v>
      </c>
      <c r="D1692" s="15" t="s">
        <v>2131</v>
      </c>
      <c r="E1692" s="15" t="s">
        <v>2134</v>
      </c>
      <c r="F1692" s="15" t="s">
        <v>2124</v>
      </c>
      <c r="G1692" s="15" t="s">
        <v>2140</v>
      </c>
      <c r="H1692" s="15">
        <v>5073</v>
      </c>
      <c r="I1692" s="15">
        <v>1519.09</v>
      </c>
    </row>
    <row r="1693" spans="1:9">
      <c r="A1693" s="13">
        <v>45565</v>
      </c>
      <c r="B1693" s="91">
        <f t="shared" si="28"/>
        <v>2024</v>
      </c>
      <c r="C1693" s="15" t="s">
        <v>104</v>
      </c>
      <c r="D1693" s="15" t="s">
        <v>2153</v>
      </c>
      <c r="E1693" s="15" t="s">
        <v>2144</v>
      </c>
      <c r="F1693" s="15" t="s">
        <v>2124</v>
      </c>
      <c r="G1693" s="15" t="s">
        <v>2130</v>
      </c>
      <c r="H1693" s="15">
        <v>7781</v>
      </c>
      <c r="I1693" s="15">
        <v>991.61</v>
      </c>
    </row>
    <row r="1694" spans="1:9">
      <c r="A1694" s="13">
        <v>45329</v>
      </c>
      <c r="B1694" s="91">
        <f t="shared" si="28"/>
        <v>2024</v>
      </c>
      <c r="C1694" s="15" t="s">
        <v>2141</v>
      </c>
      <c r="D1694" s="15" t="s">
        <v>2126</v>
      </c>
      <c r="E1694" s="15" t="s">
        <v>2115</v>
      </c>
      <c r="F1694" s="15" t="s">
        <v>2138</v>
      </c>
      <c r="G1694" s="15" t="s">
        <v>2146</v>
      </c>
      <c r="H1694" s="15">
        <v>8475</v>
      </c>
      <c r="I1694" s="15">
        <v>1010.95</v>
      </c>
    </row>
    <row r="1695" spans="1:9">
      <c r="A1695" s="13">
        <v>44857</v>
      </c>
      <c r="B1695" s="91">
        <f t="shared" si="28"/>
        <v>2022</v>
      </c>
      <c r="C1695" s="15" t="s">
        <v>107</v>
      </c>
      <c r="D1695" s="15" t="s">
        <v>2128</v>
      </c>
      <c r="E1695" s="15" t="s">
        <v>2144</v>
      </c>
      <c r="F1695" s="15" t="s">
        <v>2116</v>
      </c>
      <c r="G1695" s="15" t="s">
        <v>2127</v>
      </c>
      <c r="H1695" s="15">
        <v>4713</v>
      </c>
      <c r="I1695" s="15">
        <v>1183.07</v>
      </c>
    </row>
    <row r="1696" spans="1:9">
      <c r="A1696" s="13">
        <v>44670</v>
      </c>
      <c r="B1696" s="91">
        <f t="shared" si="28"/>
        <v>2022</v>
      </c>
      <c r="C1696" s="15" t="s">
        <v>107</v>
      </c>
      <c r="D1696" s="15" t="s">
        <v>2148</v>
      </c>
      <c r="E1696" s="15" t="s">
        <v>2145</v>
      </c>
      <c r="F1696" s="15" t="s">
        <v>2138</v>
      </c>
      <c r="G1696" s="15" t="s">
        <v>2149</v>
      </c>
      <c r="H1696" s="15">
        <v>4638</v>
      </c>
      <c r="I1696" s="15">
        <v>649.61</v>
      </c>
    </row>
    <row r="1697" spans="1:9">
      <c r="A1697" s="13">
        <v>44932</v>
      </c>
      <c r="B1697" s="91">
        <f t="shared" si="28"/>
        <v>2023</v>
      </c>
      <c r="C1697" s="15" t="s">
        <v>104</v>
      </c>
      <c r="D1697" s="15" t="s">
        <v>2148</v>
      </c>
      <c r="E1697" s="15" t="s">
        <v>2145</v>
      </c>
      <c r="F1697" s="15" t="s">
        <v>2124</v>
      </c>
      <c r="G1697" s="15" t="s">
        <v>2140</v>
      </c>
      <c r="H1697" s="15">
        <v>8824</v>
      </c>
      <c r="I1697" s="15">
        <v>2239.69</v>
      </c>
    </row>
    <row r="1698" spans="1:9">
      <c r="A1698" s="13">
        <v>45431</v>
      </c>
      <c r="B1698" s="91">
        <f t="shared" si="28"/>
        <v>2024</v>
      </c>
      <c r="C1698" s="15" t="s">
        <v>2113</v>
      </c>
      <c r="D1698" s="15" t="s">
        <v>2118</v>
      </c>
      <c r="E1698" s="15" t="s">
        <v>2119</v>
      </c>
      <c r="F1698" s="15" t="s">
        <v>2116</v>
      </c>
      <c r="G1698" s="15" t="s">
        <v>2117</v>
      </c>
      <c r="H1698" s="15">
        <v>9818</v>
      </c>
      <c r="I1698" s="15">
        <v>1830.14</v>
      </c>
    </row>
    <row r="1699" spans="1:9">
      <c r="A1699" s="13">
        <v>44956</v>
      </c>
      <c r="B1699" s="91">
        <f t="shared" si="28"/>
        <v>2023</v>
      </c>
      <c r="C1699" s="15" t="s">
        <v>2113</v>
      </c>
      <c r="D1699" s="15" t="s">
        <v>2131</v>
      </c>
      <c r="E1699" s="15" t="s">
        <v>2144</v>
      </c>
      <c r="F1699" s="15" t="s">
        <v>2116</v>
      </c>
      <c r="G1699" s="15" t="s">
        <v>2154</v>
      </c>
      <c r="H1699" s="15">
        <v>9304</v>
      </c>
      <c r="I1699" s="15">
        <v>1495.37</v>
      </c>
    </row>
    <row r="1700" spans="1:9">
      <c r="A1700" s="13">
        <v>45611</v>
      </c>
      <c r="B1700" s="91">
        <f t="shared" si="28"/>
        <v>2024</v>
      </c>
      <c r="C1700" s="15" t="s">
        <v>104</v>
      </c>
      <c r="D1700" s="15" t="s">
        <v>2131</v>
      </c>
      <c r="E1700" s="15" t="s">
        <v>2129</v>
      </c>
      <c r="F1700" s="15" t="s">
        <v>2138</v>
      </c>
      <c r="G1700" s="15" t="s">
        <v>2139</v>
      </c>
      <c r="H1700" s="15">
        <v>8753</v>
      </c>
      <c r="I1700" s="15">
        <v>1670.05</v>
      </c>
    </row>
    <row r="1701" spans="1:9">
      <c r="A1701" s="13">
        <v>45462</v>
      </c>
      <c r="B1701" s="91">
        <f t="shared" si="28"/>
        <v>2024</v>
      </c>
      <c r="C1701" s="15" t="s">
        <v>2141</v>
      </c>
      <c r="D1701" s="15" t="s">
        <v>2131</v>
      </c>
      <c r="E1701" s="15" t="s">
        <v>2134</v>
      </c>
      <c r="F1701" s="15" t="s">
        <v>2120</v>
      </c>
      <c r="G1701" s="15" t="s">
        <v>2133</v>
      </c>
      <c r="H1701" s="15">
        <v>6732</v>
      </c>
      <c r="I1701" s="15">
        <v>1193.22</v>
      </c>
    </row>
    <row r="1702" spans="1:9">
      <c r="A1702" s="13">
        <v>45583</v>
      </c>
      <c r="B1702" s="91">
        <f t="shared" si="28"/>
        <v>2024</v>
      </c>
      <c r="C1702" s="15" t="s">
        <v>104</v>
      </c>
      <c r="D1702" s="15" t="s">
        <v>2128</v>
      </c>
      <c r="E1702" s="15" t="s">
        <v>2129</v>
      </c>
      <c r="F1702" s="15" t="s">
        <v>2120</v>
      </c>
      <c r="G1702" s="15" t="s">
        <v>2132</v>
      </c>
      <c r="H1702" s="15">
        <v>7437</v>
      </c>
      <c r="I1702" s="15">
        <v>1880.24</v>
      </c>
    </row>
    <row r="1703" spans="1:9">
      <c r="A1703" s="13">
        <v>45156</v>
      </c>
      <c r="B1703" s="91">
        <f t="shared" si="28"/>
        <v>2023</v>
      </c>
      <c r="C1703" s="15" t="s">
        <v>107</v>
      </c>
      <c r="D1703" s="15" t="s">
        <v>2118</v>
      </c>
      <c r="E1703" s="15" t="s">
        <v>2134</v>
      </c>
      <c r="F1703" s="15" t="s">
        <v>2124</v>
      </c>
      <c r="G1703" s="15" t="s">
        <v>2125</v>
      </c>
      <c r="H1703" s="15">
        <v>3780</v>
      </c>
      <c r="I1703" s="15">
        <v>796.58</v>
      </c>
    </row>
    <row r="1704" spans="1:9">
      <c r="A1704" s="13">
        <v>45164</v>
      </c>
      <c r="B1704" s="91">
        <f t="shared" si="28"/>
        <v>2023</v>
      </c>
      <c r="C1704" s="15" t="s">
        <v>2113</v>
      </c>
      <c r="D1704" s="15" t="s">
        <v>2153</v>
      </c>
      <c r="E1704" s="15" t="s">
        <v>2129</v>
      </c>
      <c r="F1704" s="15" t="s">
        <v>2120</v>
      </c>
      <c r="G1704" s="15" t="s">
        <v>2133</v>
      </c>
      <c r="H1704" s="15">
        <v>2980</v>
      </c>
      <c r="I1704" s="15">
        <v>336.96</v>
      </c>
    </row>
    <row r="1705" spans="1:9">
      <c r="A1705" s="13">
        <v>45011</v>
      </c>
      <c r="B1705" s="91">
        <f t="shared" si="28"/>
        <v>2023</v>
      </c>
      <c r="C1705" s="15" t="s">
        <v>107</v>
      </c>
      <c r="D1705" s="15" t="s">
        <v>2126</v>
      </c>
      <c r="E1705" s="15" t="s">
        <v>2136</v>
      </c>
      <c r="F1705" s="15" t="s">
        <v>2124</v>
      </c>
      <c r="G1705" s="15" t="s">
        <v>2130</v>
      </c>
      <c r="H1705" s="15">
        <v>9826</v>
      </c>
      <c r="I1705" s="15">
        <v>2788.14</v>
      </c>
    </row>
    <row r="1706" spans="1:9">
      <c r="A1706" s="13">
        <v>45456</v>
      </c>
      <c r="B1706" s="91">
        <f t="shared" si="28"/>
        <v>2024</v>
      </c>
      <c r="C1706" s="15" t="s">
        <v>107</v>
      </c>
      <c r="D1706" s="15" t="s">
        <v>2128</v>
      </c>
      <c r="E1706" s="15" t="s">
        <v>2134</v>
      </c>
      <c r="F1706" s="15" t="s">
        <v>2120</v>
      </c>
      <c r="G1706" s="15" t="s">
        <v>2133</v>
      </c>
      <c r="H1706" s="15">
        <v>2428</v>
      </c>
      <c r="I1706" s="15">
        <v>461.36</v>
      </c>
    </row>
    <row r="1707" spans="1:9">
      <c r="A1707" s="13">
        <v>45554</v>
      </c>
      <c r="B1707" s="91">
        <f t="shared" si="28"/>
        <v>2024</v>
      </c>
      <c r="C1707" s="15" t="s">
        <v>107</v>
      </c>
      <c r="D1707" s="15" t="s">
        <v>2152</v>
      </c>
      <c r="E1707" s="15" t="s">
        <v>2151</v>
      </c>
      <c r="F1707" s="15" t="s">
        <v>2124</v>
      </c>
      <c r="G1707" s="15" t="s">
        <v>2140</v>
      </c>
      <c r="H1707" s="15">
        <v>6952</v>
      </c>
      <c r="I1707" s="15">
        <v>804.23</v>
      </c>
    </row>
    <row r="1708" spans="1:9">
      <c r="A1708" s="13">
        <v>44783</v>
      </c>
      <c r="B1708" s="91">
        <f t="shared" si="28"/>
        <v>2022</v>
      </c>
      <c r="C1708" s="15" t="s">
        <v>2113</v>
      </c>
      <c r="D1708" s="15" t="s">
        <v>2142</v>
      </c>
      <c r="E1708" s="15" t="s">
        <v>2119</v>
      </c>
      <c r="F1708" s="15" t="s">
        <v>2138</v>
      </c>
      <c r="G1708" s="15" t="s">
        <v>2146</v>
      </c>
      <c r="H1708" s="15">
        <v>8247</v>
      </c>
      <c r="I1708" s="15">
        <v>2024.04</v>
      </c>
    </row>
    <row r="1709" spans="1:9">
      <c r="A1709" s="13">
        <v>45626</v>
      </c>
      <c r="B1709" s="91">
        <f t="shared" si="28"/>
        <v>2024</v>
      </c>
      <c r="C1709" s="15" t="s">
        <v>107</v>
      </c>
      <c r="D1709" s="15" t="s">
        <v>2152</v>
      </c>
      <c r="E1709" s="15" t="s">
        <v>2151</v>
      </c>
      <c r="F1709" s="15" t="s">
        <v>2116</v>
      </c>
      <c r="G1709" s="15" t="s">
        <v>2127</v>
      </c>
      <c r="H1709" s="15">
        <v>3591</v>
      </c>
      <c r="I1709" s="15">
        <v>997.05</v>
      </c>
    </row>
    <row r="1710" spans="1:9">
      <c r="A1710" s="13">
        <v>44680</v>
      </c>
      <c r="B1710" s="91">
        <f t="shared" si="28"/>
        <v>2022</v>
      </c>
      <c r="C1710" s="15" t="s">
        <v>2141</v>
      </c>
      <c r="D1710" s="15" t="s">
        <v>2126</v>
      </c>
      <c r="E1710" s="15" t="s">
        <v>2143</v>
      </c>
      <c r="F1710" s="15" t="s">
        <v>2116</v>
      </c>
      <c r="G1710" s="15" t="s">
        <v>2154</v>
      </c>
      <c r="H1710" s="15">
        <v>1142</v>
      </c>
      <c r="I1710" s="15">
        <v>319.81</v>
      </c>
    </row>
    <row r="1711" spans="1:9">
      <c r="A1711" s="13">
        <v>45475</v>
      </c>
      <c r="B1711" s="91">
        <f t="shared" si="28"/>
        <v>2024</v>
      </c>
      <c r="C1711" s="15" t="s">
        <v>104</v>
      </c>
      <c r="D1711" s="15" t="s">
        <v>2114</v>
      </c>
      <c r="E1711" s="15" t="s">
        <v>2144</v>
      </c>
      <c r="F1711" s="15" t="s">
        <v>2124</v>
      </c>
      <c r="G1711" s="15" t="s">
        <v>2130</v>
      </c>
      <c r="H1711" s="15">
        <v>6309</v>
      </c>
      <c r="I1711" s="15">
        <v>1453.35</v>
      </c>
    </row>
    <row r="1712" spans="1:9">
      <c r="A1712" s="13">
        <v>45214</v>
      </c>
      <c r="B1712" s="91">
        <f t="shared" si="28"/>
        <v>2023</v>
      </c>
      <c r="C1712" s="15" t="s">
        <v>104</v>
      </c>
      <c r="D1712" s="15" t="s">
        <v>2131</v>
      </c>
      <c r="E1712" s="15" t="s">
        <v>2129</v>
      </c>
      <c r="F1712" s="15" t="s">
        <v>2120</v>
      </c>
      <c r="G1712" s="15" t="s">
        <v>2121</v>
      </c>
      <c r="H1712" s="15">
        <v>3719</v>
      </c>
      <c r="I1712" s="15">
        <v>821.71</v>
      </c>
    </row>
    <row r="1713" spans="1:9">
      <c r="A1713" s="13">
        <v>45473</v>
      </c>
      <c r="B1713" s="91">
        <f t="shared" si="28"/>
        <v>2024</v>
      </c>
      <c r="C1713" s="15" t="s">
        <v>104</v>
      </c>
      <c r="D1713" s="15" t="s">
        <v>2114</v>
      </c>
      <c r="E1713" s="15" t="s">
        <v>2134</v>
      </c>
      <c r="F1713" s="15" t="s">
        <v>2138</v>
      </c>
      <c r="G1713" s="15" t="s">
        <v>2146</v>
      </c>
      <c r="H1713" s="15">
        <v>1323</v>
      </c>
      <c r="I1713" s="15">
        <v>268.02</v>
      </c>
    </row>
    <row r="1714" spans="1:9">
      <c r="A1714" s="13">
        <v>45189</v>
      </c>
      <c r="B1714" s="91">
        <f t="shared" si="28"/>
        <v>2023</v>
      </c>
      <c r="C1714" s="15" t="s">
        <v>107</v>
      </c>
      <c r="D1714" s="15" t="s">
        <v>2135</v>
      </c>
      <c r="E1714" s="15" t="s">
        <v>2151</v>
      </c>
      <c r="F1714" s="15" t="s">
        <v>2138</v>
      </c>
      <c r="G1714" s="15" t="s">
        <v>2146</v>
      </c>
      <c r="H1714" s="15">
        <v>6941</v>
      </c>
      <c r="I1714" s="15">
        <v>1270.3599999999999</v>
      </c>
    </row>
    <row r="1715" spans="1:9">
      <c r="A1715" s="13">
        <v>45462</v>
      </c>
      <c r="B1715" s="91">
        <f t="shared" si="28"/>
        <v>2024</v>
      </c>
      <c r="C1715" s="15" t="s">
        <v>2141</v>
      </c>
      <c r="D1715" s="15" t="s">
        <v>2114</v>
      </c>
      <c r="E1715" s="15" t="s">
        <v>2143</v>
      </c>
      <c r="F1715" s="15" t="s">
        <v>2138</v>
      </c>
      <c r="G1715" s="15" t="s">
        <v>2139</v>
      </c>
      <c r="H1715" s="15">
        <v>1969</v>
      </c>
      <c r="I1715" s="15">
        <v>334.09</v>
      </c>
    </row>
    <row r="1716" spans="1:9">
      <c r="A1716" s="13">
        <v>45619</v>
      </c>
      <c r="B1716" s="91">
        <f t="shared" si="28"/>
        <v>2024</v>
      </c>
      <c r="C1716" s="15" t="s">
        <v>2113</v>
      </c>
      <c r="D1716" s="15" t="s">
        <v>2131</v>
      </c>
      <c r="E1716" s="15" t="s">
        <v>2123</v>
      </c>
      <c r="F1716" s="15" t="s">
        <v>2120</v>
      </c>
      <c r="G1716" s="15" t="s">
        <v>2132</v>
      </c>
      <c r="H1716" s="15">
        <v>2693</v>
      </c>
      <c r="I1716" s="15">
        <v>436.8</v>
      </c>
    </row>
    <row r="1717" spans="1:9">
      <c r="A1717" s="13">
        <v>45298</v>
      </c>
      <c r="B1717" s="91">
        <f t="shared" si="28"/>
        <v>2024</v>
      </c>
      <c r="C1717" s="15" t="s">
        <v>104</v>
      </c>
      <c r="D1717" s="15" t="s">
        <v>2135</v>
      </c>
      <c r="E1717" s="15" t="s">
        <v>2119</v>
      </c>
      <c r="F1717" s="15" t="s">
        <v>2124</v>
      </c>
      <c r="G1717" s="15" t="s">
        <v>2140</v>
      </c>
      <c r="H1717" s="15">
        <v>6400</v>
      </c>
      <c r="I1717" s="15">
        <v>1316.73</v>
      </c>
    </row>
    <row r="1718" spans="1:9">
      <c r="A1718" s="13">
        <v>45288</v>
      </c>
      <c r="B1718" s="91">
        <f t="shared" si="28"/>
        <v>2023</v>
      </c>
      <c r="C1718" s="15" t="s">
        <v>2141</v>
      </c>
      <c r="D1718" s="15" t="s">
        <v>2148</v>
      </c>
      <c r="E1718" s="15" t="s">
        <v>2151</v>
      </c>
      <c r="F1718" s="15" t="s">
        <v>2116</v>
      </c>
      <c r="G1718" s="15" t="s">
        <v>2117</v>
      </c>
      <c r="H1718" s="15">
        <v>5492</v>
      </c>
      <c r="I1718" s="15">
        <v>1332.43</v>
      </c>
    </row>
    <row r="1719" spans="1:9">
      <c r="A1719" s="13">
        <v>45470</v>
      </c>
      <c r="B1719" s="91">
        <f t="shared" si="28"/>
        <v>2024</v>
      </c>
      <c r="C1719" s="15" t="s">
        <v>2141</v>
      </c>
      <c r="D1719" s="15" t="s">
        <v>2153</v>
      </c>
      <c r="E1719" s="15" t="s">
        <v>2134</v>
      </c>
      <c r="F1719" s="15" t="s">
        <v>2120</v>
      </c>
      <c r="G1719" s="15" t="s">
        <v>2121</v>
      </c>
      <c r="H1719" s="15">
        <v>7991</v>
      </c>
      <c r="I1719" s="15">
        <v>1575.69</v>
      </c>
    </row>
    <row r="1720" spans="1:9">
      <c r="A1720" s="13">
        <v>45174</v>
      </c>
      <c r="B1720" s="91">
        <f t="shared" si="28"/>
        <v>2023</v>
      </c>
      <c r="C1720" s="15" t="s">
        <v>107</v>
      </c>
      <c r="D1720" s="15" t="s">
        <v>2118</v>
      </c>
      <c r="E1720" s="15" t="s">
        <v>2136</v>
      </c>
      <c r="F1720" s="15" t="s">
        <v>2120</v>
      </c>
      <c r="G1720" s="15" t="s">
        <v>2132</v>
      </c>
      <c r="H1720" s="15">
        <v>6457</v>
      </c>
      <c r="I1720" s="15">
        <v>1154.29</v>
      </c>
    </row>
    <row r="1721" spans="1:9">
      <c r="A1721" s="13">
        <v>44589</v>
      </c>
      <c r="B1721" s="91">
        <f t="shared" si="28"/>
        <v>2022</v>
      </c>
      <c r="C1721" s="15" t="s">
        <v>107</v>
      </c>
      <c r="D1721" s="15" t="s">
        <v>2142</v>
      </c>
      <c r="E1721" s="15" t="s">
        <v>2123</v>
      </c>
      <c r="F1721" s="15" t="s">
        <v>2124</v>
      </c>
      <c r="G1721" s="15" t="s">
        <v>2130</v>
      </c>
      <c r="H1721" s="15">
        <v>9142</v>
      </c>
      <c r="I1721" s="15">
        <v>1256.18</v>
      </c>
    </row>
    <row r="1722" spans="1:9">
      <c r="A1722" s="13">
        <v>45147</v>
      </c>
      <c r="B1722" s="91">
        <f t="shared" si="28"/>
        <v>2023</v>
      </c>
      <c r="C1722" s="15" t="s">
        <v>2141</v>
      </c>
      <c r="D1722" s="15" t="s">
        <v>2148</v>
      </c>
      <c r="E1722" s="15" t="s">
        <v>2115</v>
      </c>
      <c r="F1722" s="15" t="s">
        <v>2124</v>
      </c>
      <c r="G1722" s="15" t="s">
        <v>2130</v>
      </c>
      <c r="H1722" s="15">
        <v>2490</v>
      </c>
      <c r="I1722" s="15">
        <v>453.69</v>
      </c>
    </row>
    <row r="1723" spans="1:9">
      <c r="A1723" s="13">
        <v>45499</v>
      </c>
      <c r="B1723" s="91">
        <f t="shared" si="28"/>
        <v>2024</v>
      </c>
      <c r="C1723" s="15" t="s">
        <v>2141</v>
      </c>
      <c r="D1723" s="15" t="s">
        <v>2126</v>
      </c>
      <c r="E1723" s="15" t="s">
        <v>2129</v>
      </c>
      <c r="F1723" s="15" t="s">
        <v>2116</v>
      </c>
      <c r="G1723" s="15" t="s">
        <v>2117</v>
      </c>
      <c r="H1723" s="15">
        <v>7707</v>
      </c>
      <c r="I1723" s="15">
        <v>2142.12</v>
      </c>
    </row>
    <row r="1724" spans="1:9">
      <c r="A1724" s="13">
        <v>44714</v>
      </c>
      <c r="B1724" s="91">
        <f t="shared" si="28"/>
        <v>2022</v>
      </c>
      <c r="C1724" s="15" t="s">
        <v>2141</v>
      </c>
      <c r="D1724" s="15" t="s">
        <v>2135</v>
      </c>
      <c r="E1724" s="15" t="s">
        <v>2123</v>
      </c>
      <c r="F1724" s="15" t="s">
        <v>2120</v>
      </c>
      <c r="G1724" s="15" t="s">
        <v>2132</v>
      </c>
      <c r="H1724" s="15">
        <v>6424</v>
      </c>
      <c r="I1724" s="15">
        <v>1478.14</v>
      </c>
    </row>
    <row r="1725" spans="1:9">
      <c r="A1725" s="13">
        <v>45410</v>
      </c>
      <c r="B1725" s="91">
        <f t="shared" si="28"/>
        <v>2024</v>
      </c>
      <c r="C1725" s="15" t="s">
        <v>2141</v>
      </c>
      <c r="D1725" s="15" t="s">
        <v>2152</v>
      </c>
      <c r="E1725" s="15" t="s">
        <v>2144</v>
      </c>
      <c r="F1725" s="15" t="s">
        <v>2120</v>
      </c>
      <c r="G1725" s="15" t="s">
        <v>2133</v>
      </c>
      <c r="H1725" s="15">
        <v>2071</v>
      </c>
      <c r="I1725" s="15">
        <v>581.84</v>
      </c>
    </row>
    <row r="1726" spans="1:9">
      <c r="A1726" s="13">
        <v>45133</v>
      </c>
      <c r="B1726" s="91">
        <f t="shared" si="28"/>
        <v>2023</v>
      </c>
      <c r="C1726" s="15" t="s">
        <v>104</v>
      </c>
      <c r="D1726" s="15" t="s">
        <v>2135</v>
      </c>
      <c r="E1726" s="15" t="s">
        <v>2143</v>
      </c>
      <c r="F1726" s="15" t="s">
        <v>2138</v>
      </c>
      <c r="G1726" s="15" t="s">
        <v>2139</v>
      </c>
      <c r="H1726" s="15">
        <v>3571</v>
      </c>
      <c r="I1726" s="15">
        <v>699.42</v>
      </c>
    </row>
    <row r="1727" spans="1:9">
      <c r="A1727" s="13">
        <v>45601</v>
      </c>
      <c r="B1727" s="91">
        <f t="shared" si="28"/>
        <v>2024</v>
      </c>
      <c r="C1727" s="15" t="s">
        <v>104</v>
      </c>
      <c r="D1727" s="15" t="s">
        <v>2131</v>
      </c>
      <c r="E1727" s="15" t="s">
        <v>2145</v>
      </c>
      <c r="F1727" s="15" t="s">
        <v>2138</v>
      </c>
      <c r="G1727" s="15" t="s">
        <v>2146</v>
      </c>
      <c r="H1727" s="15">
        <v>8472</v>
      </c>
      <c r="I1727" s="15">
        <v>862.37</v>
      </c>
    </row>
    <row r="1728" spans="1:9">
      <c r="A1728" s="13">
        <v>44961</v>
      </c>
      <c r="B1728" s="91">
        <f t="shared" si="28"/>
        <v>2023</v>
      </c>
      <c r="C1728" s="15" t="s">
        <v>107</v>
      </c>
      <c r="D1728" s="15" t="s">
        <v>2142</v>
      </c>
      <c r="E1728" s="15" t="s">
        <v>2136</v>
      </c>
      <c r="F1728" s="15" t="s">
        <v>2120</v>
      </c>
      <c r="G1728" s="15" t="s">
        <v>2133</v>
      </c>
      <c r="H1728" s="15">
        <v>1397</v>
      </c>
      <c r="I1728" s="15">
        <v>399.48</v>
      </c>
    </row>
    <row r="1729" spans="1:9">
      <c r="A1729" s="13">
        <v>45005</v>
      </c>
      <c r="B1729" s="91">
        <f t="shared" si="28"/>
        <v>2023</v>
      </c>
      <c r="C1729" s="15" t="s">
        <v>104</v>
      </c>
      <c r="D1729" s="15" t="s">
        <v>2114</v>
      </c>
      <c r="E1729" s="15" t="s">
        <v>2144</v>
      </c>
      <c r="F1729" s="15" t="s">
        <v>2138</v>
      </c>
      <c r="G1729" s="15" t="s">
        <v>2149</v>
      </c>
      <c r="H1729" s="15">
        <v>3256</v>
      </c>
      <c r="I1729" s="15">
        <v>782.64</v>
      </c>
    </row>
    <row r="1730" spans="1:9">
      <c r="A1730" s="13">
        <v>45226</v>
      </c>
      <c r="B1730" s="91">
        <f t="shared" si="28"/>
        <v>2023</v>
      </c>
      <c r="C1730" s="15" t="s">
        <v>2141</v>
      </c>
      <c r="D1730" s="15" t="s">
        <v>2114</v>
      </c>
      <c r="E1730" s="15" t="s">
        <v>2119</v>
      </c>
      <c r="F1730" s="15" t="s">
        <v>2120</v>
      </c>
      <c r="G1730" s="15" t="s">
        <v>2121</v>
      </c>
      <c r="H1730" s="15">
        <v>2752</v>
      </c>
      <c r="I1730" s="15">
        <v>744.23</v>
      </c>
    </row>
    <row r="1731" spans="1:9">
      <c r="A1731" s="13">
        <v>44613</v>
      </c>
      <c r="B1731" s="91">
        <f t="shared" ref="B1731:B1794" si="29">YEAR(A1731)</f>
        <v>2022</v>
      </c>
      <c r="C1731" s="15" t="s">
        <v>2141</v>
      </c>
      <c r="D1731" s="15" t="s">
        <v>2148</v>
      </c>
      <c r="E1731" s="15" t="s">
        <v>2119</v>
      </c>
      <c r="F1731" s="15" t="s">
        <v>2120</v>
      </c>
      <c r="G1731" s="15" t="s">
        <v>2132</v>
      </c>
      <c r="H1731" s="15">
        <v>2339</v>
      </c>
      <c r="I1731" s="15">
        <v>541.26</v>
      </c>
    </row>
    <row r="1732" spans="1:9">
      <c r="A1732" s="13">
        <v>45435</v>
      </c>
      <c r="B1732" s="91">
        <f t="shared" si="29"/>
        <v>2024</v>
      </c>
      <c r="C1732" s="15" t="s">
        <v>107</v>
      </c>
      <c r="D1732" s="15" t="s">
        <v>2142</v>
      </c>
      <c r="E1732" s="15" t="s">
        <v>2144</v>
      </c>
      <c r="F1732" s="15" t="s">
        <v>2138</v>
      </c>
      <c r="G1732" s="15" t="s">
        <v>2149</v>
      </c>
      <c r="H1732" s="15">
        <v>9498</v>
      </c>
      <c r="I1732" s="15">
        <v>1199.83</v>
      </c>
    </row>
    <row r="1733" spans="1:9">
      <c r="A1733" s="13">
        <v>44822</v>
      </c>
      <c r="B1733" s="91">
        <f t="shared" si="29"/>
        <v>2022</v>
      </c>
      <c r="C1733" s="15" t="s">
        <v>2113</v>
      </c>
      <c r="D1733" s="15" t="s">
        <v>2142</v>
      </c>
      <c r="E1733" s="15" t="s">
        <v>2136</v>
      </c>
      <c r="F1733" s="15" t="s">
        <v>2124</v>
      </c>
      <c r="G1733" s="15" t="s">
        <v>2140</v>
      </c>
      <c r="H1733" s="15">
        <v>6984</v>
      </c>
      <c r="I1733" s="15">
        <v>2075.75</v>
      </c>
    </row>
    <row r="1734" spans="1:9">
      <c r="A1734" s="13">
        <v>44722</v>
      </c>
      <c r="B1734" s="91">
        <f t="shared" si="29"/>
        <v>2022</v>
      </c>
      <c r="C1734" s="15" t="s">
        <v>107</v>
      </c>
      <c r="D1734" s="15" t="s">
        <v>2118</v>
      </c>
      <c r="E1734" s="15" t="s">
        <v>2119</v>
      </c>
      <c r="F1734" s="15" t="s">
        <v>2138</v>
      </c>
      <c r="G1734" s="15" t="s">
        <v>2139</v>
      </c>
      <c r="H1734" s="15">
        <v>1955</v>
      </c>
      <c r="I1734" s="15">
        <v>209.14</v>
      </c>
    </row>
    <row r="1735" spans="1:9">
      <c r="A1735" s="13">
        <v>45008</v>
      </c>
      <c r="B1735" s="91">
        <f t="shared" si="29"/>
        <v>2023</v>
      </c>
      <c r="C1735" s="15" t="s">
        <v>104</v>
      </c>
      <c r="D1735" s="15" t="s">
        <v>2114</v>
      </c>
      <c r="E1735" s="15" t="s">
        <v>2144</v>
      </c>
      <c r="F1735" s="15" t="s">
        <v>2124</v>
      </c>
      <c r="G1735" s="15" t="s">
        <v>2125</v>
      </c>
      <c r="H1735" s="15">
        <v>5077</v>
      </c>
      <c r="I1735" s="15">
        <v>1173.68</v>
      </c>
    </row>
    <row r="1736" spans="1:9">
      <c r="A1736" s="13">
        <v>44702</v>
      </c>
      <c r="B1736" s="91">
        <f t="shared" si="29"/>
        <v>2022</v>
      </c>
      <c r="C1736" s="15" t="s">
        <v>2141</v>
      </c>
      <c r="D1736" s="15" t="s">
        <v>2131</v>
      </c>
      <c r="E1736" s="15" t="s">
        <v>2134</v>
      </c>
      <c r="F1736" s="15" t="s">
        <v>2124</v>
      </c>
      <c r="G1736" s="15" t="s">
        <v>2140</v>
      </c>
      <c r="H1736" s="15">
        <v>8387</v>
      </c>
      <c r="I1736" s="15">
        <v>1094.6300000000001</v>
      </c>
    </row>
    <row r="1737" spans="1:9">
      <c r="A1737" s="13">
        <v>45156</v>
      </c>
      <c r="B1737" s="91">
        <f t="shared" si="29"/>
        <v>2023</v>
      </c>
      <c r="C1737" s="15" t="s">
        <v>2141</v>
      </c>
      <c r="D1737" s="15" t="s">
        <v>2152</v>
      </c>
      <c r="E1737" s="15" t="s">
        <v>2115</v>
      </c>
      <c r="F1737" s="15" t="s">
        <v>2120</v>
      </c>
      <c r="G1737" s="15" t="s">
        <v>2121</v>
      </c>
      <c r="H1737" s="15">
        <v>9416</v>
      </c>
      <c r="I1737" s="15">
        <v>1188.01</v>
      </c>
    </row>
    <row r="1738" spans="1:9">
      <c r="A1738" s="13">
        <v>44887</v>
      </c>
      <c r="B1738" s="91">
        <f t="shared" si="29"/>
        <v>2022</v>
      </c>
      <c r="C1738" s="15" t="s">
        <v>107</v>
      </c>
      <c r="D1738" s="15" t="s">
        <v>2142</v>
      </c>
      <c r="E1738" s="15" t="s">
        <v>2134</v>
      </c>
      <c r="F1738" s="15" t="s">
        <v>2138</v>
      </c>
      <c r="G1738" s="15" t="s">
        <v>2139</v>
      </c>
      <c r="H1738" s="15">
        <v>2411</v>
      </c>
      <c r="I1738" s="15">
        <v>626.54999999999995</v>
      </c>
    </row>
    <row r="1739" spans="1:9">
      <c r="A1739" s="13">
        <v>44766</v>
      </c>
      <c r="B1739" s="91">
        <f t="shared" si="29"/>
        <v>2022</v>
      </c>
      <c r="C1739" s="15" t="s">
        <v>2113</v>
      </c>
      <c r="D1739" s="15" t="s">
        <v>2142</v>
      </c>
      <c r="E1739" s="15" t="s">
        <v>2134</v>
      </c>
      <c r="F1739" s="15" t="s">
        <v>2120</v>
      </c>
      <c r="G1739" s="15" t="s">
        <v>2132</v>
      </c>
      <c r="H1739" s="15">
        <v>9380</v>
      </c>
      <c r="I1739" s="15">
        <v>1246.24</v>
      </c>
    </row>
    <row r="1740" spans="1:9">
      <c r="A1740" s="13">
        <v>44962</v>
      </c>
      <c r="B1740" s="91">
        <f t="shared" si="29"/>
        <v>2023</v>
      </c>
      <c r="C1740" s="15" t="s">
        <v>2113</v>
      </c>
      <c r="D1740" s="15" t="s">
        <v>2152</v>
      </c>
      <c r="E1740" s="15" t="s">
        <v>2145</v>
      </c>
      <c r="F1740" s="15" t="s">
        <v>2124</v>
      </c>
      <c r="G1740" s="15" t="s">
        <v>2130</v>
      </c>
      <c r="H1740" s="15">
        <v>6875</v>
      </c>
      <c r="I1740" s="15">
        <v>1374.4</v>
      </c>
    </row>
    <row r="1741" spans="1:9">
      <c r="A1741" s="13">
        <v>45160</v>
      </c>
      <c r="B1741" s="91">
        <f t="shared" si="29"/>
        <v>2023</v>
      </c>
      <c r="C1741" s="15" t="s">
        <v>104</v>
      </c>
      <c r="D1741" s="15" t="s">
        <v>2118</v>
      </c>
      <c r="E1741" s="15" t="s">
        <v>2145</v>
      </c>
      <c r="F1741" s="15" t="s">
        <v>2116</v>
      </c>
      <c r="G1741" s="15" t="s">
        <v>2154</v>
      </c>
      <c r="H1741" s="15">
        <v>2110</v>
      </c>
      <c r="I1741" s="15">
        <v>443.8</v>
      </c>
    </row>
    <row r="1742" spans="1:9">
      <c r="A1742" s="13">
        <v>45644</v>
      </c>
      <c r="B1742" s="91">
        <f t="shared" si="29"/>
        <v>2024</v>
      </c>
      <c r="C1742" s="15" t="s">
        <v>2113</v>
      </c>
      <c r="D1742" s="15" t="s">
        <v>2128</v>
      </c>
      <c r="E1742" s="15" t="s">
        <v>2143</v>
      </c>
      <c r="F1742" s="15" t="s">
        <v>2116</v>
      </c>
      <c r="G1742" s="15" t="s">
        <v>2154</v>
      </c>
      <c r="H1742" s="15">
        <v>2842</v>
      </c>
      <c r="I1742" s="15">
        <v>811.79</v>
      </c>
    </row>
    <row r="1743" spans="1:9">
      <c r="A1743" s="13">
        <v>44956</v>
      </c>
      <c r="B1743" s="91">
        <f t="shared" si="29"/>
        <v>2023</v>
      </c>
      <c r="C1743" s="15" t="s">
        <v>2113</v>
      </c>
      <c r="D1743" s="15" t="s">
        <v>2128</v>
      </c>
      <c r="E1743" s="15" t="s">
        <v>2119</v>
      </c>
      <c r="F1743" s="15" t="s">
        <v>2120</v>
      </c>
      <c r="G1743" s="15" t="s">
        <v>2132</v>
      </c>
      <c r="H1743" s="15">
        <v>9320</v>
      </c>
      <c r="I1743" s="15">
        <v>2162.14</v>
      </c>
    </row>
    <row r="1744" spans="1:9">
      <c r="A1744" s="13">
        <v>45214</v>
      </c>
      <c r="B1744" s="91">
        <f t="shared" si="29"/>
        <v>2023</v>
      </c>
      <c r="C1744" s="15" t="s">
        <v>107</v>
      </c>
      <c r="D1744" s="15" t="s">
        <v>2153</v>
      </c>
      <c r="E1744" s="15" t="s">
        <v>2143</v>
      </c>
      <c r="F1744" s="15" t="s">
        <v>2120</v>
      </c>
      <c r="G1744" s="15" t="s">
        <v>2132</v>
      </c>
      <c r="H1744" s="15">
        <v>1436</v>
      </c>
      <c r="I1744" s="15">
        <v>297.73</v>
      </c>
    </row>
    <row r="1745" spans="1:9">
      <c r="A1745" s="13">
        <v>45112</v>
      </c>
      <c r="B1745" s="91">
        <f t="shared" si="29"/>
        <v>2023</v>
      </c>
      <c r="C1745" s="15" t="s">
        <v>2113</v>
      </c>
      <c r="D1745" s="15" t="s">
        <v>2152</v>
      </c>
      <c r="E1745" s="15" t="s">
        <v>2134</v>
      </c>
      <c r="F1745" s="15" t="s">
        <v>2138</v>
      </c>
      <c r="G1745" s="15" t="s">
        <v>2149</v>
      </c>
      <c r="H1745" s="15">
        <v>9107</v>
      </c>
      <c r="I1745" s="15">
        <v>1252.07</v>
      </c>
    </row>
    <row r="1746" spans="1:9">
      <c r="A1746" s="13">
        <v>44789</v>
      </c>
      <c r="B1746" s="91">
        <f t="shared" si="29"/>
        <v>2022</v>
      </c>
      <c r="C1746" s="15" t="s">
        <v>2141</v>
      </c>
      <c r="D1746" s="15" t="s">
        <v>2114</v>
      </c>
      <c r="E1746" s="15" t="s">
        <v>2144</v>
      </c>
      <c r="F1746" s="15" t="s">
        <v>2124</v>
      </c>
      <c r="G1746" s="15" t="s">
        <v>2130</v>
      </c>
      <c r="H1746" s="15">
        <v>7028</v>
      </c>
      <c r="I1746" s="15">
        <v>1169.6500000000001</v>
      </c>
    </row>
    <row r="1747" spans="1:9">
      <c r="A1747" s="13">
        <v>45189</v>
      </c>
      <c r="B1747" s="91">
        <f t="shared" si="29"/>
        <v>2023</v>
      </c>
      <c r="C1747" s="15" t="s">
        <v>2113</v>
      </c>
      <c r="D1747" s="15" t="s">
        <v>2114</v>
      </c>
      <c r="E1747" s="15" t="s">
        <v>2123</v>
      </c>
      <c r="F1747" s="15" t="s">
        <v>2138</v>
      </c>
      <c r="G1747" s="15" t="s">
        <v>2149</v>
      </c>
      <c r="H1747" s="15">
        <v>5742</v>
      </c>
      <c r="I1747" s="15">
        <v>1142.53</v>
      </c>
    </row>
    <row r="1748" spans="1:9">
      <c r="A1748" s="13">
        <v>44820</v>
      </c>
      <c r="B1748" s="91">
        <f t="shared" si="29"/>
        <v>2022</v>
      </c>
      <c r="C1748" s="15" t="s">
        <v>2113</v>
      </c>
      <c r="D1748" s="15" t="s">
        <v>2142</v>
      </c>
      <c r="E1748" s="15" t="s">
        <v>2151</v>
      </c>
      <c r="F1748" s="15" t="s">
        <v>2138</v>
      </c>
      <c r="G1748" s="15" t="s">
        <v>2149</v>
      </c>
      <c r="H1748" s="15">
        <v>5013</v>
      </c>
      <c r="I1748" s="15">
        <v>1336.02</v>
      </c>
    </row>
    <row r="1749" spans="1:9">
      <c r="A1749" s="13">
        <v>44673</v>
      </c>
      <c r="B1749" s="91">
        <f t="shared" si="29"/>
        <v>2022</v>
      </c>
      <c r="C1749" s="15" t="s">
        <v>104</v>
      </c>
      <c r="D1749" s="15" t="s">
        <v>2153</v>
      </c>
      <c r="E1749" s="15" t="s">
        <v>2151</v>
      </c>
      <c r="F1749" s="15" t="s">
        <v>2116</v>
      </c>
      <c r="G1749" s="15" t="s">
        <v>2117</v>
      </c>
      <c r="H1749" s="15">
        <v>3180</v>
      </c>
      <c r="I1749" s="15">
        <v>542</v>
      </c>
    </row>
    <row r="1750" spans="1:9">
      <c r="A1750" s="13">
        <v>45571</v>
      </c>
      <c r="B1750" s="91">
        <f t="shared" si="29"/>
        <v>2024</v>
      </c>
      <c r="C1750" s="15" t="s">
        <v>104</v>
      </c>
      <c r="D1750" s="15" t="s">
        <v>2142</v>
      </c>
      <c r="E1750" s="15" t="s">
        <v>2129</v>
      </c>
      <c r="F1750" s="15" t="s">
        <v>2138</v>
      </c>
      <c r="G1750" s="15" t="s">
        <v>2149</v>
      </c>
      <c r="H1750" s="15">
        <v>6315</v>
      </c>
      <c r="I1750" s="15">
        <v>1105.83</v>
      </c>
    </row>
    <row r="1751" spans="1:9">
      <c r="A1751" s="13">
        <v>44760</v>
      </c>
      <c r="B1751" s="91">
        <f t="shared" si="29"/>
        <v>2022</v>
      </c>
      <c r="C1751" s="15" t="s">
        <v>104</v>
      </c>
      <c r="D1751" s="15" t="s">
        <v>2118</v>
      </c>
      <c r="E1751" s="15" t="s">
        <v>2151</v>
      </c>
      <c r="F1751" s="15" t="s">
        <v>2124</v>
      </c>
      <c r="G1751" s="15" t="s">
        <v>2125</v>
      </c>
      <c r="H1751" s="15">
        <v>6295</v>
      </c>
      <c r="I1751" s="15">
        <v>837.13</v>
      </c>
    </row>
    <row r="1752" spans="1:9">
      <c r="A1752" s="13">
        <v>44979</v>
      </c>
      <c r="B1752" s="91">
        <f t="shared" si="29"/>
        <v>2023</v>
      </c>
      <c r="C1752" s="15" t="s">
        <v>2141</v>
      </c>
      <c r="D1752" s="15" t="s">
        <v>2126</v>
      </c>
      <c r="E1752" s="15" t="s">
        <v>2129</v>
      </c>
      <c r="F1752" s="15" t="s">
        <v>2120</v>
      </c>
      <c r="G1752" s="15" t="s">
        <v>2133</v>
      </c>
      <c r="H1752" s="15">
        <v>4661</v>
      </c>
      <c r="I1752" s="15">
        <v>817</v>
      </c>
    </row>
    <row r="1753" spans="1:9">
      <c r="A1753" s="13">
        <v>45174</v>
      </c>
      <c r="B1753" s="91">
        <f t="shared" si="29"/>
        <v>2023</v>
      </c>
      <c r="C1753" s="15" t="s">
        <v>2113</v>
      </c>
      <c r="D1753" s="15" t="s">
        <v>2126</v>
      </c>
      <c r="E1753" s="15" t="s">
        <v>2136</v>
      </c>
      <c r="F1753" s="15" t="s">
        <v>2124</v>
      </c>
      <c r="G1753" s="15" t="s">
        <v>2140</v>
      </c>
      <c r="H1753" s="15">
        <v>7787</v>
      </c>
      <c r="I1753" s="15">
        <v>1920.93</v>
      </c>
    </row>
    <row r="1754" spans="1:9">
      <c r="A1754" s="13">
        <v>45397</v>
      </c>
      <c r="B1754" s="91">
        <f t="shared" si="29"/>
        <v>2024</v>
      </c>
      <c r="C1754" s="15" t="s">
        <v>107</v>
      </c>
      <c r="D1754" s="15" t="s">
        <v>2114</v>
      </c>
      <c r="E1754" s="15" t="s">
        <v>2123</v>
      </c>
      <c r="F1754" s="15" t="s">
        <v>2138</v>
      </c>
      <c r="G1754" s="15" t="s">
        <v>2149</v>
      </c>
      <c r="H1754" s="15">
        <v>2448</v>
      </c>
      <c r="I1754" s="15">
        <v>531.30999999999995</v>
      </c>
    </row>
    <row r="1755" spans="1:9">
      <c r="A1755" s="13">
        <v>45403</v>
      </c>
      <c r="B1755" s="91">
        <f t="shared" si="29"/>
        <v>2024</v>
      </c>
      <c r="C1755" s="15" t="s">
        <v>104</v>
      </c>
      <c r="D1755" s="15" t="s">
        <v>2135</v>
      </c>
      <c r="E1755" s="15" t="s">
        <v>2115</v>
      </c>
      <c r="F1755" s="15" t="s">
        <v>2138</v>
      </c>
      <c r="G1755" s="15" t="s">
        <v>2146</v>
      </c>
      <c r="H1755" s="15">
        <v>7731</v>
      </c>
      <c r="I1755" s="15">
        <v>1094</v>
      </c>
    </row>
    <row r="1756" spans="1:9">
      <c r="A1756" s="13">
        <v>44799</v>
      </c>
      <c r="B1756" s="91">
        <f t="shared" si="29"/>
        <v>2022</v>
      </c>
      <c r="C1756" s="15" t="s">
        <v>104</v>
      </c>
      <c r="D1756" s="15" t="s">
        <v>2142</v>
      </c>
      <c r="E1756" s="15" t="s">
        <v>2151</v>
      </c>
      <c r="F1756" s="15" t="s">
        <v>2120</v>
      </c>
      <c r="G1756" s="15" t="s">
        <v>2121</v>
      </c>
      <c r="H1756" s="15">
        <v>4145</v>
      </c>
      <c r="I1756" s="15">
        <v>528.87</v>
      </c>
    </row>
    <row r="1757" spans="1:9">
      <c r="A1757" s="13">
        <v>45281</v>
      </c>
      <c r="B1757" s="91">
        <f t="shared" si="29"/>
        <v>2023</v>
      </c>
      <c r="C1757" s="15" t="s">
        <v>107</v>
      </c>
      <c r="D1757" s="15" t="s">
        <v>2131</v>
      </c>
      <c r="E1757" s="15" t="s">
        <v>2136</v>
      </c>
      <c r="F1757" s="15" t="s">
        <v>2116</v>
      </c>
      <c r="G1757" s="15" t="s">
        <v>2127</v>
      </c>
      <c r="H1757" s="15">
        <v>3716</v>
      </c>
      <c r="I1757" s="15">
        <v>745.23</v>
      </c>
    </row>
    <row r="1758" spans="1:9">
      <c r="A1758" s="13">
        <v>45564</v>
      </c>
      <c r="B1758" s="91">
        <f t="shared" si="29"/>
        <v>2024</v>
      </c>
      <c r="C1758" s="15" t="s">
        <v>2113</v>
      </c>
      <c r="D1758" s="15" t="s">
        <v>2118</v>
      </c>
      <c r="E1758" s="15" t="s">
        <v>2145</v>
      </c>
      <c r="F1758" s="15" t="s">
        <v>2120</v>
      </c>
      <c r="G1758" s="15" t="s">
        <v>2121</v>
      </c>
      <c r="H1758" s="15">
        <v>1598</v>
      </c>
      <c r="I1758" s="15">
        <v>397.67</v>
      </c>
    </row>
    <row r="1759" spans="1:9">
      <c r="A1759" s="13">
        <v>45222</v>
      </c>
      <c r="B1759" s="91">
        <f t="shared" si="29"/>
        <v>2023</v>
      </c>
      <c r="C1759" s="15" t="s">
        <v>2113</v>
      </c>
      <c r="D1759" s="15" t="s">
        <v>2142</v>
      </c>
      <c r="E1759" s="15" t="s">
        <v>2115</v>
      </c>
      <c r="F1759" s="15" t="s">
        <v>2120</v>
      </c>
      <c r="G1759" s="15" t="s">
        <v>2121</v>
      </c>
      <c r="H1759" s="15">
        <v>6376</v>
      </c>
      <c r="I1759" s="15">
        <v>1660.6</v>
      </c>
    </row>
    <row r="1760" spans="1:9">
      <c r="A1760" s="13">
        <v>45020</v>
      </c>
      <c r="B1760" s="91">
        <f t="shared" si="29"/>
        <v>2023</v>
      </c>
      <c r="C1760" s="15" t="s">
        <v>107</v>
      </c>
      <c r="D1760" s="15" t="s">
        <v>2142</v>
      </c>
      <c r="E1760" s="15" t="s">
        <v>2151</v>
      </c>
      <c r="F1760" s="15" t="s">
        <v>2138</v>
      </c>
      <c r="G1760" s="15" t="s">
        <v>2139</v>
      </c>
      <c r="H1760" s="15">
        <v>1415</v>
      </c>
      <c r="I1760" s="15">
        <v>234.63</v>
      </c>
    </row>
    <row r="1761" spans="1:9">
      <c r="A1761" s="13">
        <v>44818</v>
      </c>
      <c r="B1761" s="91">
        <f t="shared" si="29"/>
        <v>2022</v>
      </c>
      <c r="C1761" s="15" t="s">
        <v>2141</v>
      </c>
      <c r="D1761" s="15" t="s">
        <v>2118</v>
      </c>
      <c r="E1761" s="15" t="s">
        <v>2123</v>
      </c>
      <c r="F1761" s="15" t="s">
        <v>2124</v>
      </c>
      <c r="G1761" s="15" t="s">
        <v>2140</v>
      </c>
      <c r="H1761" s="15">
        <v>1811</v>
      </c>
      <c r="I1761" s="15">
        <v>325.54000000000002</v>
      </c>
    </row>
    <row r="1762" spans="1:9">
      <c r="A1762" s="13">
        <v>44803</v>
      </c>
      <c r="B1762" s="91">
        <f t="shared" si="29"/>
        <v>2022</v>
      </c>
      <c r="C1762" s="15" t="s">
        <v>107</v>
      </c>
      <c r="D1762" s="15" t="s">
        <v>2131</v>
      </c>
      <c r="E1762" s="15" t="s">
        <v>2129</v>
      </c>
      <c r="F1762" s="15" t="s">
        <v>2116</v>
      </c>
      <c r="G1762" s="15" t="s">
        <v>2154</v>
      </c>
      <c r="H1762" s="15">
        <v>8358</v>
      </c>
      <c r="I1762" s="15">
        <v>1997.22</v>
      </c>
    </row>
    <row r="1763" spans="1:9">
      <c r="A1763" s="13">
        <v>45100</v>
      </c>
      <c r="B1763" s="91">
        <f t="shared" si="29"/>
        <v>2023</v>
      </c>
      <c r="C1763" s="15" t="s">
        <v>104</v>
      </c>
      <c r="D1763" s="15" t="s">
        <v>2118</v>
      </c>
      <c r="E1763" s="15" t="s">
        <v>2143</v>
      </c>
      <c r="F1763" s="15" t="s">
        <v>2120</v>
      </c>
      <c r="G1763" s="15" t="s">
        <v>2121</v>
      </c>
      <c r="H1763" s="15">
        <v>5777</v>
      </c>
      <c r="I1763" s="15">
        <v>1557.04</v>
      </c>
    </row>
    <row r="1764" spans="1:9">
      <c r="A1764" s="13">
        <v>45010</v>
      </c>
      <c r="B1764" s="91">
        <f t="shared" si="29"/>
        <v>2023</v>
      </c>
      <c r="C1764" s="15" t="s">
        <v>104</v>
      </c>
      <c r="D1764" s="15" t="s">
        <v>2118</v>
      </c>
      <c r="E1764" s="15" t="s">
        <v>2129</v>
      </c>
      <c r="F1764" s="15" t="s">
        <v>2138</v>
      </c>
      <c r="G1764" s="15" t="s">
        <v>2139</v>
      </c>
      <c r="H1764" s="15">
        <v>9733</v>
      </c>
      <c r="I1764" s="15">
        <v>1653.04</v>
      </c>
    </row>
    <row r="1765" spans="1:9">
      <c r="A1765" s="13">
        <v>44859</v>
      </c>
      <c r="B1765" s="91">
        <f t="shared" si="29"/>
        <v>2022</v>
      </c>
      <c r="C1765" s="15" t="s">
        <v>107</v>
      </c>
      <c r="D1765" s="15" t="s">
        <v>2118</v>
      </c>
      <c r="E1765" s="15" t="s">
        <v>2144</v>
      </c>
      <c r="F1765" s="15" t="s">
        <v>2124</v>
      </c>
      <c r="G1765" s="15" t="s">
        <v>2125</v>
      </c>
      <c r="H1765" s="15">
        <v>6565</v>
      </c>
      <c r="I1765" s="15">
        <v>1369.67</v>
      </c>
    </row>
    <row r="1766" spans="1:9">
      <c r="A1766" s="13">
        <v>45574</v>
      </c>
      <c r="B1766" s="91">
        <f t="shared" si="29"/>
        <v>2024</v>
      </c>
      <c r="C1766" s="15" t="s">
        <v>107</v>
      </c>
      <c r="D1766" s="15" t="s">
        <v>2152</v>
      </c>
      <c r="E1766" s="15" t="s">
        <v>2143</v>
      </c>
      <c r="F1766" s="15" t="s">
        <v>2124</v>
      </c>
      <c r="G1766" s="15" t="s">
        <v>2130</v>
      </c>
      <c r="H1766" s="15">
        <v>1172</v>
      </c>
      <c r="I1766" s="15">
        <v>248.16</v>
      </c>
    </row>
    <row r="1767" spans="1:9">
      <c r="A1767" s="13">
        <v>45041</v>
      </c>
      <c r="B1767" s="91">
        <f t="shared" si="29"/>
        <v>2023</v>
      </c>
      <c r="C1767" s="15" t="s">
        <v>104</v>
      </c>
      <c r="D1767" s="15" t="s">
        <v>2126</v>
      </c>
      <c r="E1767" s="15" t="s">
        <v>2115</v>
      </c>
      <c r="F1767" s="15" t="s">
        <v>2116</v>
      </c>
      <c r="G1767" s="15" t="s">
        <v>2117</v>
      </c>
      <c r="H1767" s="15">
        <v>2259</v>
      </c>
      <c r="I1767" s="15">
        <v>552.17999999999995</v>
      </c>
    </row>
    <row r="1768" spans="1:9">
      <c r="A1768" s="13">
        <v>45526</v>
      </c>
      <c r="B1768" s="91">
        <f t="shared" si="29"/>
        <v>2024</v>
      </c>
      <c r="C1768" s="15" t="s">
        <v>2141</v>
      </c>
      <c r="D1768" s="15" t="s">
        <v>2152</v>
      </c>
      <c r="E1768" s="15" t="s">
        <v>2143</v>
      </c>
      <c r="F1768" s="15" t="s">
        <v>2138</v>
      </c>
      <c r="G1768" s="15" t="s">
        <v>2149</v>
      </c>
      <c r="H1768" s="15">
        <v>9925</v>
      </c>
      <c r="I1768" s="15">
        <v>2946.23</v>
      </c>
    </row>
    <row r="1769" spans="1:9">
      <c r="A1769" s="13">
        <v>45334</v>
      </c>
      <c r="B1769" s="91">
        <f t="shared" si="29"/>
        <v>2024</v>
      </c>
      <c r="C1769" s="15" t="s">
        <v>104</v>
      </c>
      <c r="D1769" s="15" t="s">
        <v>2153</v>
      </c>
      <c r="E1769" s="15" t="s">
        <v>2144</v>
      </c>
      <c r="F1769" s="15" t="s">
        <v>2116</v>
      </c>
      <c r="G1769" s="15" t="s">
        <v>2154</v>
      </c>
      <c r="H1769" s="15">
        <v>9208</v>
      </c>
      <c r="I1769" s="15">
        <v>1356.49</v>
      </c>
    </row>
    <row r="1770" spans="1:9">
      <c r="A1770" s="13">
        <v>45253</v>
      </c>
      <c r="B1770" s="91">
        <f t="shared" si="29"/>
        <v>2023</v>
      </c>
      <c r="C1770" s="15" t="s">
        <v>107</v>
      </c>
      <c r="D1770" s="15" t="s">
        <v>2135</v>
      </c>
      <c r="E1770" s="15" t="s">
        <v>2145</v>
      </c>
      <c r="F1770" s="15" t="s">
        <v>2124</v>
      </c>
      <c r="G1770" s="15" t="s">
        <v>2130</v>
      </c>
      <c r="H1770" s="15">
        <v>8427</v>
      </c>
      <c r="I1770" s="15">
        <v>855.71</v>
      </c>
    </row>
    <row r="1771" spans="1:9">
      <c r="A1771" s="13">
        <v>44838</v>
      </c>
      <c r="B1771" s="91">
        <f t="shared" si="29"/>
        <v>2022</v>
      </c>
      <c r="C1771" s="15" t="s">
        <v>2113</v>
      </c>
      <c r="D1771" s="15" t="s">
        <v>2152</v>
      </c>
      <c r="E1771" s="15" t="s">
        <v>2144</v>
      </c>
      <c r="F1771" s="15" t="s">
        <v>2116</v>
      </c>
      <c r="G1771" s="15" t="s">
        <v>2127</v>
      </c>
      <c r="H1771" s="15">
        <v>5370</v>
      </c>
      <c r="I1771" s="15">
        <v>1405.97</v>
      </c>
    </row>
    <row r="1772" spans="1:9">
      <c r="A1772" s="13">
        <v>44929</v>
      </c>
      <c r="B1772" s="91">
        <f t="shared" si="29"/>
        <v>2023</v>
      </c>
      <c r="C1772" s="15" t="s">
        <v>2113</v>
      </c>
      <c r="D1772" s="15" t="s">
        <v>2142</v>
      </c>
      <c r="E1772" s="15" t="s">
        <v>2115</v>
      </c>
      <c r="F1772" s="15" t="s">
        <v>2116</v>
      </c>
      <c r="G1772" s="15" t="s">
        <v>2127</v>
      </c>
      <c r="H1772" s="15">
        <v>3354</v>
      </c>
      <c r="I1772" s="15">
        <v>505.99</v>
      </c>
    </row>
    <row r="1773" spans="1:9">
      <c r="A1773" s="13">
        <v>45655</v>
      </c>
      <c r="B1773" s="91">
        <f t="shared" si="29"/>
        <v>2024</v>
      </c>
      <c r="C1773" s="15" t="s">
        <v>2141</v>
      </c>
      <c r="D1773" s="15" t="s">
        <v>2152</v>
      </c>
      <c r="E1773" s="15" t="s">
        <v>2115</v>
      </c>
      <c r="F1773" s="15" t="s">
        <v>2120</v>
      </c>
      <c r="G1773" s="15" t="s">
        <v>2121</v>
      </c>
      <c r="H1773" s="15">
        <v>9353</v>
      </c>
      <c r="I1773" s="15">
        <v>2674.37</v>
      </c>
    </row>
    <row r="1774" spans="1:9">
      <c r="A1774" s="13">
        <v>45113</v>
      </c>
      <c r="B1774" s="91">
        <f t="shared" si="29"/>
        <v>2023</v>
      </c>
      <c r="C1774" s="15" t="s">
        <v>2141</v>
      </c>
      <c r="D1774" s="15" t="s">
        <v>2128</v>
      </c>
      <c r="E1774" s="15" t="s">
        <v>2151</v>
      </c>
      <c r="F1774" s="15" t="s">
        <v>2124</v>
      </c>
      <c r="G1774" s="15" t="s">
        <v>2140</v>
      </c>
      <c r="H1774" s="15">
        <v>8424</v>
      </c>
      <c r="I1774" s="15">
        <v>1798.49</v>
      </c>
    </row>
    <row r="1775" spans="1:9">
      <c r="A1775" s="13">
        <v>44788</v>
      </c>
      <c r="B1775" s="91">
        <f t="shared" si="29"/>
        <v>2022</v>
      </c>
      <c r="C1775" s="15" t="s">
        <v>107</v>
      </c>
      <c r="D1775" s="15" t="s">
        <v>2114</v>
      </c>
      <c r="E1775" s="15" t="s">
        <v>2123</v>
      </c>
      <c r="F1775" s="15" t="s">
        <v>2120</v>
      </c>
      <c r="G1775" s="15" t="s">
        <v>2121</v>
      </c>
      <c r="H1775" s="15">
        <v>9395</v>
      </c>
      <c r="I1775" s="15">
        <v>2685.97</v>
      </c>
    </row>
    <row r="1776" spans="1:9">
      <c r="A1776" s="13">
        <v>44880</v>
      </c>
      <c r="B1776" s="91">
        <f t="shared" si="29"/>
        <v>2022</v>
      </c>
      <c r="C1776" s="15" t="s">
        <v>2141</v>
      </c>
      <c r="D1776" s="15" t="s">
        <v>2153</v>
      </c>
      <c r="E1776" s="15" t="s">
        <v>2144</v>
      </c>
      <c r="F1776" s="15" t="s">
        <v>2116</v>
      </c>
      <c r="G1776" s="15" t="s">
        <v>2117</v>
      </c>
      <c r="H1776" s="15">
        <v>7889</v>
      </c>
      <c r="I1776" s="15">
        <v>1731.65</v>
      </c>
    </row>
    <row r="1777" spans="1:9">
      <c r="A1777" s="13">
        <v>44829</v>
      </c>
      <c r="B1777" s="91">
        <f t="shared" si="29"/>
        <v>2022</v>
      </c>
      <c r="C1777" s="15" t="s">
        <v>2113</v>
      </c>
      <c r="D1777" s="15" t="s">
        <v>2142</v>
      </c>
      <c r="E1777" s="15" t="s">
        <v>2151</v>
      </c>
      <c r="F1777" s="15" t="s">
        <v>2116</v>
      </c>
      <c r="G1777" s="15" t="s">
        <v>2154</v>
      </c>
      <c r="H1777" s="15">
        <v>8301</v>
      </c>
      <c r="I1777" s="15">
        <v>2023.54</v>
      </c>
    </row>
    <row r="1778" spans="1:9">
      <c r="A1778" s="13">
        <v>45393</v>
      </c>
      <c r="B1778" s="91">
        <f t="shared" si="29"/>
        <v>2024</v>
      </c>
      <c r="C1778" s="15" t="s">
        <v>2141</v>
      </c>
      <c r="D1778" s="15" t="s">
        <v>2118</v>
      </c>
      <c r="E1778" s="15" t="s">
        <v>2134</v>
      </c>
      <c r="F1778" s="15" t="s">
        <v>2138</v>
      </c>
      <c r="G1778" s="15" t="s">
        <v>2146</v>
      </c>
      <c r="H1778" s="15">
        <v>5405</v>
      </c>
      <c r="I1778" s="15">
        <v>603.41999999999996</v>
      </c>
    </row>
    <row r="1779" spans="1:9">
      <c r="A1779" s="13">
        <v>44812</v>
      </c>
      <c r="B1779" s="91">
        <f t="shared" si="29"/>
        <v>2022</v>
      </c>
      <c r="C1779" s="15" t="s">
        <v>2113</v>
      </c>
      <c r="D1779" s="15" t="s">
        <v>2126</v>
      </c>
      <c r="E1779" s="15" t="s">
        <v>2115</v>
      </c>
      <c r="F1779" s="15" t="s">
        <v>2116</v>
      </c>
      <c r="G1779" s="15" t="s">
        <v>2117</v>
      </c>
      <c r="H1779" s="15">
        <v>8947</v>
      </c>
      <c r="I1779" s="15">
        <v>1067.28</v>
      </c>
    </row>
    <row r="1780" spans="1:9">
      <c r="A1780" s="13">
        <v>45533</v>
      </c>
      <c r="B1780" s="91">
        <f t="shared" si="29"/>
        <v>2024</v>
      </c>
      <c r="C1780" s="15" t="s">
        <v>107</v>
      </c>
      <c r="D1780" s="15" t="s">
        <v>2153</v>
      </c>
      <c r="E1780" s="15" t="s">
        <v>2143</v>
      </c>
      <c r="F1780" s="15" t="s">
        <v>2124</v>
      </c>
      <c r="G1780" s="15" t="s">
        <v>2125</v>
      </c>
      <c r="H1780" s="15">
        <v>2846</v>
      </c>
      <c r="I1780" s="15">
        <v>828.62</v>
      </c>
    </row>
    <row r="1781" spans="1:9">
      <c r="A1781" s="13">
        <v>45540</v>
      </c>
      <c r="B1781" s="91">
        <f t="shared" si="29"/>
        <v>2024</v>
      </c>
      <c r="C1781" s="15" t="s">
        <v>2113</v>
      </c>
      <c r="D1781" s="15" t="s">
        <v>2131</v>
      </c>
      <c r="E1781" s="15" t="s">
        <v>2144</v>
      </c>
      <c r="F1781" s="15" t="s">
        <v>2124</v>
      </c>
      <c r="G1781" s="15" t="s">
        <v>2130</v>
      </c>
      <c r="H1781" s="15">
        <v>5406</v>
      </c>
      <c r="I1781" s="15">
        <v>621.53</v>
      </c>
    </row>
    <row r="1782" spans="1:9">
      <c r="A1782" s="13">
        <v>45293</v>
      </c>
      <c r="B1782" s="91">
        <f t="shared" si="29"/>
        <v>2024</v>
      </c>
      <c r="C1782" s="15" t="s">
        <v>104</v>
      </c>
      <c r="D1782" s="15" t="s">
        <v>2126</v>
      </c>
      <c r="E1782" s="15" t="s">
        <v>2136</v>
      </c>
      <c r="F1782" s="15" t="s">
        <v>2120</v>
      </c>
      <c r="G1782" s="15" t="s">
        <v>2133</v>
      </c>
      <c r="H1782" s="15">
        <v>4558</v>
      </c>
      <c r="I1782" s="15">
        <v>1289.47</v>
      </c>
    </row>
    <row r="1783" spans="1:9">
      <c r="A1783" s="13">
        <v>44582</v>
      </c>
      <c r="B1783" s="91">
        <f t="shared" si="29"/>
        <v>2022</v>
      </c>
      <c r="C1783" s="15" t="s">
        <v>107</v>
      </c>
      <c r="D1783" s="15" t="s">
        <v>2126</v>
      </c>
      <c r="E1783" s="15" t="s">
        <v>2115</v>
      </c>
      <c r="F1783" s="15" t="s">
        <v>2124</v>
      </c>
      <c r="G1783" s="15" t="s">
        <v>2125</v>
      </c>
      <c r="H1783" s="15">
        <v>2684</v>
      </c>
      <c r="I1783" s="15">
        <v>797.33</v>
      </c>
    </row>
    <row r="1784" spans="1:9">
      <c r="A1784" s="13">
        <v>45081</v>
      </c>
      <c r="B1784" s="91">
        <f t="shared" si="29"/>
        <v>2023</v>
      </c>
      <c r="C1784" s="15" t="s">
        <v>2141</v>
      </c>
      <c r="D1784" s="15" t="s">
        <v>2126</v>
      </c>
      <c r="E1784" s="15" t="s">
        <v>2119</v>
      </c>
      <c r="F1784" s="15" t="s">
        <v>2120</v>
      </c>
      <c r="G1784" s="15" t="s">
        <v>2121</v>
      </c>
      <c r="H1784" s="15">
        <v>6584</v>
      </c>
      <c r="I1784" s="15">
        <v>886.66</v>
      </c>
    </row>
    <row r="1785" spans="1:9">
      <c r="A1785" s="13">
        <v>44848</v>
      </c>
      <c r="B1785" s="91">
        <f t="shared" si="29"/>
        <v>2022</v>
      </c>
      <c r="C1785" s="15" t="s">
        <v>107</v>
      </c>
      <c r="D1785" s="15" t="s">
        <v>2118</v>
      </c>
      <c r="E1785" s="15" t="s">
        <v>2115</v>
      </c>
      <c r="F1785" s="15" t="s">
        <v>2116</v>
      </c>
      <c r="G1785" s="15" t="s">
        <v>2117</v>
      </c>
      <c r="H1785" s="15">
        <v>7793</v>
      </c>
      <c r="I1785" s="15">
        <v>1369.65</v>
      </c>
    </row>
    <row r="1786" spans="1:9">
      <c r="A1786" s="13">
        <v>45577</v>
      </c>
      <c r="B1786" s="91">
        <f t="shared" si="29"/>
        <v>2024</v>
      </c>
      <c r="C1786" s="15" t="s">
        <v>104</v>
      </c>
      <c r="D1786" s="15" t="s">
        <v>2135</v>
      </c>
      <c r="E1786" s="15" t="s">
        <v>2134</v>
      </c>
      <c r="F1786" s="15" t="s">
        <v>2120</v>
      </c>
      <c r="G1786" s="15" t="s">
        <v>2132</v>
      </c>
      <c r="H1786" s="15">
        <v>4350</v>
      </c>
      <c r="I1786" s="15">
        <v>912.86</v>
      </c>
    </row>
    <row r="1787" spans="1:9">
      <c r="A1787" s="13">
        <v>45300</v>
      </c>
      <c r="B1787" s="91">
        <f t="shared" si="29"/>
        <v>2024</v>
      </c>
      <c r="C1787" s="15" t="s">
        <v>2141</v>
      </c>
      <c r="D1787" s="15" t="s">
        <v>2148</v>
      </c>
      <c r="E1787" s="15" t="s">
        <v>2144</v>
      </c>
      <c r="F1787" s="15" t="s">
        <v>2124</v>
      </c>
      <c r="G1787" s="15" t="s">
        <v>2130</v>
      </c>
      <c r="H1787" s="15">
        <v>1651</v>
      </c>
      <c r="I1787" s="15">
        <v>492.85</v>
      </c>
    </row>
    <row r="1788" spans="1:9">
      <c r="A1788" s="13">
        <v>45493</v>
      </c>
      <c r="B1788" s="91">
        <f t="shared" si="29"/>
        <v>2024</v>
      </c>
      <c r="C1788" s="15" t="s">
        <v>107</v>
      </c>
      <c r="D1788" s="15" t="s">
        <v>2135</v>
      </c>
      <c r="E1788" s="15" t="s">
        <v>2134</v>
      </c>
      <c r="F1788" s="15" t="s">
        <v>2120</v>
      </c>
      <c r="G1788" s="15" t="s">
        <v>2133</v>
      </c>
      <c r="H1788" s="15">
        <v>3857</v>
      </c>
      <c r="I1788" s="15">
        <v>1098.73</v>
      </c>
    </row>
    <row r="1789" spans="1:9">
      <c r="A1789" s="13">
        <v>45056</v>
      </c>
      <c r="B1789" s="91">
        <f t="shared" si="29"/>
        <v>2023</v>
      </c>
      <c r="C1789" s="15" t="s">
        <v>2141</v>
      </c>
      <c r="D1789" s="15" t="s">
        <v>2118</v>
      </c>
      <c r="E1789" s="15" t="s">
        <v>2129</v>
      </c>
      <c r="F1789" s="15" t="s">
        <v>2116</v>
      </c>
      <c r="G1789" s="15" t="s">
        <v>2127</v>
      </c>
      <c r="H1789" s="15">
        <v>4327</v>
      </c>
      <c r="I1789" s="15">
        <v>1038.53</v>
      </c>
    </row>
    <row r="1790" spans="1:9">
      <c r="A1790" s="13">
        <v>45242</v>
      </c>
      <c r="B1790" s="91">
        <f t="shared" si="29"/>
        <v>2023</v>
      </c>
      <c r="C1790" s="15" t="s">
        <v>2141</v>
      </c>
      <c r="D1790" s="15" t="s">
        <v>2148</v>
      </c>
      <c r="E1790" s="15" t="s">
        <v>2129</v>
      </c>
      <c r="F1790" s="15" t="s">
        <v>2138</v>
      </c>
      <c r="G1790" s="15" t="s">
        <v>2139</v>
      </c>
      <c r="H1790" s="15">
        <v>1246</v>
      </c>
      <c r="I1790" s="15">
        <v>340.04</v>
      </c>
    </row>
    <row r="1791" spans="1:9">
      <c r="A1791" s="13">
        <v>44825</v>
      </c>
      <c r="B1791" s="91">
        <f t="shared" si="29"/>
        <v>2022</v>
      </c>
      <c r="C1791" s="15" t="s">
        <v>107</v>
      </c>
      <c r="D1791" s="15" t="s">
        <v>2142</v>
      </c>
      <c r="E1791" s="15" t="s">
        <v>2143</v>
      </c>
      <c r="F1791" s="15" t="s">
        <v>2120</v>
      </c>
      <c r="G1791" s="15" t="s">
        <v>2133</v>
      </c>
      <c r="H1791" s="15">
        <v>6635</v>
      </c>
      <c r="I1791" s="15">
        <v>1514.62</v>
      </c>
    </row>
    <row r="1792" spans="1:9">
      <c r="A1792" s="13">
        <v>44803</v>
      </c>
      <c r="B1792" s="91">
        <f t="shared" si="29"/>
        <v>2022</v>
      </c>
      <c r="C1792" s="15" t="s">
        <v>107</v>
      </c>
      <c r="D1792" s="15" t="s">
        <v>2114</v>
      </c>
      <c r="E1792" s="15" t="s">
        <v>2145</v>
      </c>
      <c r="F1792" s="15" t="s">
        <v>2116</v>
      </c>
      <c r="G1792" s="15" t="s">
        <v>2154</v>
      </c>
      <c r="H1792" s="15">
        <v>6741</v>
      </c>
      <c r="I1792" s="15">
        <v>1544.44</v>
      </c>
    </row>
    <row r="1793" spans="1:9">
      <c r="A1793" s="13">
        <v>45412</v>
      </c>
      <c r="B1793" s="91">
        <f t="shared" si="29"/>
        <v>2024</v>
      </c>
      <c r="C1793" s="15" t="s">
        <v>107</v>
      </c>
      <c r="D1793" s="15" t="s">
        <v>2114</v>
      </c>
      <c r="E1793" s="15" t="s">
        <v>2115</v>
      </c>
      <c r="F1793" s="15" t="s">
        <v>2138</v>
      </c>
      <c r="G1793" s="15" t="s">
        <v>2149</v>
      </c>
      <c r="H1793" s="15">
        <v>9920</v>
      </c>
      <c r="I1793" s="15">
        <v>1574.31</v>
      </c>
    </row>
    <row r="1794" spans="1:9">
      <c r="A1794" s="13">
        <v>45152</v>
      </c>
      <c r="B1794" s="91">
        <f t="shared" si="29"/>
        <v>2023</v>
      </c>
      <c r="C1794" s="15" t="s">
        <v>2113</v>
      </c>
      <c r="D1794" s="15" t="s">
        <v>2118</v>
      </c>
      <c r="E1794" s="15" t="s">
        <v>2136</v>
      </c>
      <c r="F1794" s="15" t="s">
        <v>2138</v>
      </c>
      <c r="G1794" s="15" t="s">
        <v>2146</v>
      </c>
      <c r="H1794" s="15">
        <v>9338</v>
      </c>
      <c r="I1794" s="15">
        <v>2415.8200000000002</v>
      </c>
    </row>
    <row r="1795" spans="1:9">
      <c r="A1795" s="13">
        <v>45120</v>
      </c>
      <c r="B1795" s="91">
        <f t="shared" ref="B1795:B1858" si="30">YEAR(A1795)</f>
        <v>2023</v>
      </c>
      <c r="C1795" s="15" t="s">
        <v>104</v>
      </c>
      <c r="D1795" s="15" t="s">
        <v>2153</v>
      </c>
      <c r="E1795" s="15" t="s">
        <v>2134</v>
      </c>
      <c r="F1795" s="15" t="s">
        <v>2120</v>
      </c>
      <c r="G1795" s="15" t="s">
        <v>2121</v>
      </c>
      <c r="H1795" s="15">
        <v>3499</v>
      </c>
      <c r="I1795" s="15">
        <v>1042.57</v>
      </c>
    </row>
    <row r="1796" spans="1:9">
      <c r="A1796" s="13">
        <v>45005</v>
      </c>
      <c r="B1796" s="91">
        <f t="shared" si="30"/>
        <v>2023</v>
      </c>
      <c r="C1796" s="15" t="s">
        <v>2113</v>
      </c>
      <c r="D1796" s="15" t="s">
        <v>2126</v>
      </c>
      <c r="E1796" s="15" t="s">
        <v>2123</v>
      </c>
      <c r="F1796" s="15" t="s">
        <v>2120</v>
      </c>
      <c r="G1796" s="15" t="s">
        <v>2133</v>
      </c>
      <c r="H1796" s="15">
        <v>1224</v>
      </c>
      <c r="I1796" s="15">
        <v>358.83</v>
      </c>
    </row>
    <row r="1797" spans="1:9">
      <c r="A1797" s="13">
        <v>45229</v>
      </c>
      <c r="B1797" s="91">
        <f t="shared" si="30"/>
        <v>2023</v>
      </c>
      <c r="C1797" s="15" t="s">
        <v>2141</v>
      </c>
      <c r="D1797" s="15" t="s">
        <v>2131</v>
      </c>
      <c r="E1797" s="15" t="s">
        <v>2115</v>
      </c>
      <c r="F1797" s="15" t="s">
        <v>2120</v>
      </c>
      <c r="G1797" s="15" t="s">
        <v>2121</v>
      </c>
      <c r="H1797" s="15">
        <v>9947</v>
      </c>
      <c r="I1797" s="15">
        <v>2795.36</v>
      </c>
    </row>
    <row r="1798" spans="1:9">
      <c r="A1798" s="13">
        <v>44795</v>
      </c>
      <c r="B1798" s="91">
        <f t="shared" si="30"/>
        <v>2022</v>
      </c>
      <c r="C1798" s="15" t="s">
        <v>104</v>
      </c>
      <c r="D1798" s="15" t="s">
        <v>2126</v>
      </c>
      <c r="E1798" s="15" t="s">
        <v>2123</v>
      </c>
      <c r="F1798" s="15" t="s">
        <v>2124</v>
      </c>
      <c r="G1798" s="15" t="s">
        <v>2140</v>
      </c>
      <c r="H1798" s="15">
        <v>6132</v>
      </c>
      <c r="I1798" s="15">
        <v>1758.68</v>
      </c>
    </row>
    <row r="1799" spans="1:9">
      <c r="A1799" s="13">
        <v>44740</v>
      </c>
      <c r="B1799" s="91">
        <f t="shared" si="30"/>
        <v>2022</v>
      </c>
      <c r="C1799" s="15" t="s">
        <v>104</v>
      </c>
      <c r="D1799" s="15" t="s">
        <v>2126</v>
      </c>
      <c r="E1799" s="15" t="s">
        <v>2151</v>
      </c>
      <c r="F1799" s="15" t="s">
        <v>2116</v>
      </c>
      <c r="G1799" s="15" t="s">
        <v>2127</v>
      </c>
      <c r="H1799" s="15">
        <v>1898</v>
      </c>
      <c r="I1799" s="15">
        <v>269.16000000000003</v>
      </c>
    </row>
    <row r="1800" spans="1:9">
      <c r="A1800" s="13">
        <v>45530</v>
      </c>
      <c r="B1800" s="91">
        <f t="shared" si="30"/>
        <v>2024</v>
      </c>
      <c r="C1800" s="15" t="s">
        <v>2113</v>
      </c>
      <c r="D1800" s="15" t="s">
        <v>2153</v>
      </c>
      <c r="E1800" s="15" t="s">
        <v>2136</v>
      </c>
      <c r="F1800" s="15" t="s">
        <v>2124</v>
      </c>
      <c r="G1800" s="15" t="s">
        <v>2140</v>
      </c>
      <c r="H1800" s="15">
        <v>7373</v>
      </c>
      <c r="I1800" s="15">
        <v>1695.96</v>
      </c>
    </row>
    <row r="1801" spans="1:9">
      <c r="A1801" s="13">
        <v>44940</v>
      </c>
      <c r="B1801" s="91">
        <f t="shared" si="30"/>
        <v>2023</v>
      </c>
      <c r="C1801" s="15" t="s">
        <v>107</v>
      </c>
      <c r="D1801" s="15" t="s">
        <v>2126</v>
      </c>
      <c r="E1801" s="15" t="s">
        <v>2129</v>
      </c>
      <c r="F1801" s="15" t="s">
        <v>2116</v>
      </c>
      <c r="G1801" s="15" t="s">
        <v>2117</v>
      </c>
      <c r="H1801" s="15">
        <v>6103</v>
      </c>
      <c r="I1801" s="15">
        <v>1265.33</v>
      </c>
    </row>
    <row r="1802" spans="1:9">
      <c r="A1802" s="13">
        <v>45313</v>
      </c>
      <c r="B1802" s="91">
        <f t="shared" si="30"/>
        <v>2024</v>
      </c>
      <c r="C1802" s="15" t="s">
        <v>107</v>
      </c>
      <c r="D1802" s="15" t="s">
        <v>2153</v>
      </c>
      <c r="E1802" s="15" t="s">
        <v>2144</v>
      </c>
      <c r="F1802" s="15" t="s">
        <v>2124</v>
      </c>
      <c r="G1802" s="15" t="s">
        <v>2130</v>
      </c>
      <c r="H1802" s="15">
        <v>7348</v>
      </c>
      <c r="I1802" s="15">
        <v>1391.49</v>
      </c>
    </row>
    <row r="1803" spans="1:9">
      <c r="A1803" s="13">
        <v>44720</v>
      </c>
      <c r="B1803" s="91">
        <f t="shared" si="30"/>
        <v>2022</v>
      </c>
      <c r="C1803" s="15" t="s">
        <v>2113</v>
      </c>
      <c r="D1803" s="15" t="s">
        <v>2142</v>
      </c>
      <c r="E1803" s="15" t="s">
        <v>2145</v>
      </c>
      <c r="F1803" s="15" t="s">
        <v>2116</v>
      </c>
      <c r="G1803" s="15" t="s">
        <v>2117</v>
      </c>
      <c r="H1803" s="15">
        <v>3489</v>
      </c>
      <c r="I1803" s="15">
        <v>913.2</v>
      </c>
    </row>
    <row r="1804" spans="1:9">
      <c r="A1804" s="13">
        <v>45565</v>
      </c>
      <c r="B1804" s="91">
        <f t="shared" si="30"/>
        <v>2024</v>
      </c>
      <c r="C1804" s="15" t="s">
        <v>2113</v>
      </c>
      <c r="D1804" s="15" t="s">
        <v>2128</v>
      </c>
      <c r="E1804" s="15" t="s">
        <v>2136</v>
      </c>
      <c r="F1804" s="15" t="s">
        <v>2124</v>
      </c>
      <c r="G1804" s="15" t="s">
        <v>2125</v>
      </c>
      <c r="H1804" s="15">
        <v>8211</v>
      </c>
      <c r="I1804" s="15">
        <v>937.03</v>
      </c>
    </row>
    <row r="1805" spans="1:9">
      <c r="A1805" s="13">
        <v>44589</v>
      </c>
      <c r="B1805" s="91">
        <f t="shared" si="30"/>
        <v>2022</v>
      </c>
      <c r="C1805" s="15" t="s">
        <v>2113</v>
      </c>
      <c r="D1805" s="15" t="s">
        <v>2153</v>
      </c>
      <c r="E1805" s="15" t="s">
        <v>2134</v>
      </c>
      <c r="F1805" s="15" t="s">
        <v>2120</v>
      </c>
      <c r="G1805" s="15" t="s">
        <v>2132</v>
      </c>
      <c r="H1805" s="15">
        <v>7384</v>
      </c>
      <c r="I1805" s="15">
        <v>935.94</v>
      </c>
    </row>
    <row r="1806" spans="1:9">
      <c r="A1806" s="13">
        <v>44743</v>
      </c>
      <c r="B1806" s="91">
        <f t="shared" si="30"/>
        <v>2022</v>
      </c>
      <c r="C1806" s="15" t="s">
        <v>2113</v>
      </c>
      <c r="D1806" s="15" t="s">
        <v>2148</v>
      </c>
      <c r="E1806" s="15" t="s">
        <v>2129</v>
      </c>
      <c r="F1806" s="15" t="s">
        <v>2138</v>
      </c>
      <c r="G1806" s="15" t="s">
        <v>2139</v>
      </c>
      <c r="H1806" s="15">
        <v>8396</v>
      </c>
      <c r="I1806" s="15">
        <v>873.82</v>
      </c>
    </row>
    <row r="1807" spans="1:9">
      <c r="A1807" s="13">
        <v>45617</v>
      </c>
      <c r="B1807" s="91">
        <f t="shared" si="30"/>
        <v>2024</v>
      </c>
      <c r="C1807" s="15" t="s">
        <v>104</v>
      </c>
      <c r="D1807" s="15" t="s">
        <v>2114</v>
      </c>
      <c r="E1807" s="15" t="s">
        <v>2123</v>
      </c>
      <c r="F1807" s="15" t="s">
        <v>2120</v>
      </c>
      <c r="G1807" s="15" t="s">
        <v>2132</v>
      </c>
      <c r="H1807" s="15">
        <v>3158</v>
      </c>
      <c r="I1807" s="15">
        <v>633.85</v>
      </c>
    </row>
    <row r="1808" spans="1:9">
      <c r="A1808" s="13">
        <v>44933</v>
      </c>
      <c r="B1808" s="91">
        <f t="shared" si="30"/>
        <v>2023</v>
      </c>
      <c r="C1808" s="15" t="s">
        <v>2141</v>
      </c>
      <c r="D1808" s="15" t="s">
        <v>2153</v>
      </c>
      <c r="E1808" s="15" t="s">
        <v>2151</v>
      </c>
      <c r="F1808" s="15" t="s">
        <v>2116</v>
      </c>
      <c r="G1808" s="15" t="s">
        <v>2117</v>
      </c>
      <c r="H1808" s="15">
        <v>2176</v>
      </c>
      <c r="I1808" s="15">
        <v>237.52</v>
      </c>
    </row>
    <row r="1809" spans="1:9">
      <c r="A1809" s="13">
        <v>45155</v>
      </c>
      <c r="B1809" s="91">
        <f t="shared" si="30"/>
        <v>2023</v>
      </c>
      <c r="C1809" s="15" t="s">
        <v>104</v>
      </c>
      <c r="D1809" s="15" t="s">
        <v>2114</v>
      </c>
      <c r="E1809" s="15" t="s">
        <v>2119</v>
      </c>
      <c r="F1809" s="15" t="s">
        <v>2116</v>
      </c>
      <c r="G1809" s="15" t="s">
        <v>2154</v>
      </c>
      <c r="H1809" s="15">
        <v>2825</v>
      </c>
      <c r="I1809" s="15">
        <v>512.30999999999995</v>
      </c>
    </row>
    <row r="1810" spans="1:9">
      <c r="A1810" s="13">
        <v>45195</v>
      </c>
      <c r="B1810" s="91">
        <f t="shared" si="30"/>
        <v>2023</v>
      </c>
      <c r="C1810" s="15" t="s">
        <v>2141</v>
      </c>
      <c r="D1810" s="15" t="s">
        <v>2128</v>
      </c>
      <c r="E1810" s="15" t="s">
        <v>2119</v>
      </c>
      <c r="F1810" s="15" t="s">
        <v>2120</v>
      </c>
      <c r="G1810" s="15" t="s">
        <v>2121</v>
      </c>
      <c r="H1810" s="15">
        <v>9652</v>
      </c>
      <c r="I1810" s="15">
        <v>1295.4000000000001</v>
      </c>
    </row>
    <row r="1811" spans="1:9">
      <c r="A1811" s="13">
        <v>44705</v>
      </c>
      <c r="B1811" s="91">
        <f t="shared" si="30"/>
        <v>2022</v>
      </c>
      <c r="C1811" s="15" t="s">
        <v>2113</v>
      </c>
      <c r="D1811" s="15" t="s">
        <v>2131</v>
      </c>
      <c r="E1811" s="15" t="s">
        <v>2123</v>
      </c>
      <c r="F1811" s="15" t="s">
        <v>2116</v>
      </c>
      <c r="G1811" s="15" t="s">
        <v>2117</v>
      </c>
      <c r="H1811" s="15">
        <v>8500</v>
      </c>
      <c r="I1811" s="15">
        <v>1009.35</v>
      </c>
    </row>
    <row r="1812" spans="1:9">
      <c r="A1812" s="13">
        <v>45420</v>
      </c>
      <c r="B1812" s="91">
        <f t="shared" si="30"/>
        <v>2024</v>
      </c>
      <c r="C1812" s="15" t="s">
        <v>107</v>
      </c>
      <c r="D1812" s="15" t="s">
        <v>2153</v>
      </c>
      <c r="E1812" s="15" t="s">
        <v>2123</v>
      </c>
      <c r="F1812" s="15" t="s">
        <v>2138</v>
      </c>
      <c r="G1812" s="15" t="s">
        <v>2149</v>
      </c>
      <c r="H1812" s="15">
        <v>7195</v>
      </c>
      <c r="I1812" s="15">
        <v>785.62</v>
      </c>
    </row>
    <row r="1813" spans="1:9">
      <c r="A1813" s="13">
        <v>44801</v>
      </c>
      <c r="B1813" s="91">
        <f t="shared" si="30"/>
        <v>2022</v>
      </c>
      <c r="C1813" s="15" t="s">
        <v>2113</v>
      </c>
      <c r="D1813" s="15" t="s">
        <v>2126</v>
      </c>
      <c r="E1813" s="15" t="s">
        <v>2134</v>
      </c>
      <c r="F1813" s="15" t="s">
        <v>2120</v>
      </c>
      <c r="G1813" s="15" t="s">
        <v>2121</v>
      </c>
      <c r="H1813" s="15">
        <v>2183</v>
      </c>
      <c r="I1813" s="15">
        <v>642.28</v>
      </c>
    </row>
    <row r="1814" spans="1:9">
      <c r="A1814" s="13">
        <v>44845</v>
      </c>
      <c r="B1814" s="91">
        <f t="shared" si="30"/>
        <v>2022</v>
      </c>
      <c r="C1814" s="15" t="s">
        <v>107</v>
      </c>
      <c r="D1814" s="15" t="s">
        <v>2148</v>
      </c>
      <c r="E1814" s="15" t="s">
        <v>2129</v>
      </c>
      <c r="F1814" s="15" t="s">
        <v>2138</v>
      </c>
      <c r="G1814" s="15" t="s">
        <v>2139</v>
      </c>
      <c r="H1814" s="15">
        <v>8669</v>
      </c>
      <c r="I1814" s="15">
        <v>932.36</v>
      </c>
    </row>
    <row r="1815" spans="1:9">
      <c r="A1815" s="13">
        <v>45226</v>
      </c>
      <c r="B1815" s="91">
        <f t="shared" si="30"/>
        <v>2023</v>
      </c>
      <c r="C1815" s="15" t="s">
        <v>107</v>
      </c>
      <c r="D1815" s="15" t="s">
        <v>2135</v>
      </c>
      <c r="E1815" s="15" t="s">
        <v>2144</v>
      </c>
      <c r="F1815" s="15" t="s">
        <v>2120</v>
      </c>
      <c r="G1815" s="15" t="s">
        <v>2121</v>
      </c>
      <c r="H1815" s="15">
        <v>7371</v>
      </c>
      <c r="I1815" s="15">
        <v>1079.5</v>
      </c>
    </row>
    <row r="1816" spans="1:9">
      <c r="A1816" s="13">
        <v>45284</v>
      </c>
      <c r="B1816" s="91">
        <f t="shared" si="30"/>
        <v>2023</v>
      </c>
      <c r="C1816" s="15" t="s">
        <v>107</v>
      </c>
      <c r="D1816" s="15" t="s">
        <v>2148</v>
      </c>
      <c r="E1816" s="15" t="s">
        <v>2144</v>
      </c>
      <c r="F1816" s="15" t="s">
        <v>2120</v>
      </c>
      <c r="G1816" s="15" t="s">
        <v>2121</v>
      </c>
      <c r="H1816" s="15">
        <v>9343</v>
      </c>
      <c r="I1816" s="15">
        <v>1266.95</v>
      </c>
    </row>
    <row r="1817" spans="1:9">
      <c r="A1817" s="13">
        <v>44989</v>
      </c>
      <c r="B1817" s="91">
        <f t="shared" si="30"/>
        <v>2023</v>
      </c>
      <c r="C1817" s="15" t="s">
        <v>107</v>
      </c>
      <c r="D1817" s="15" t="s">
        <v>2118</v>
      </c>
      <c r="E1817" s="15" t="s">
        <v>2144</v>
      </c>
      <c r="F1817" s="15" t="s">
        <v>2116</v>
      </c>
      <c r="G1817" s="15" t="s">
        <v>2154</v>
      </c>
      <c r="H1817" s="15">
        <v>3314</v>
      </c>
      <c r="I1817" s="15">
        <v>862.71</v>
      </c>
    </row>
    <row r="1818" spans="1:9">
      <c r="A1818" s="13">
        <v>45473</v>
      </c>
      <c r="B1818" s="91">
        <f t="shared" si="30"/>
        <v>2024</v>
      </c>
      <c r="C1818" s="15" t="s">
        <v>107</v>
      </c>
      <c r="D1818" s="15" t="s">
        <v>2114</v>
      </c>
      <c r="E1818" s="15" t="s">
        <v>2143</v>
      </c>
      <c r="F1818" s="15" t="s">
        <v>2124</v>
      </c>
      <c r="G1818" s="15" t="s">
        <v>2130</v>
      </c>
      <c r="H1818" s="15">
        <v>7201</v>
      </c>
      <c r="I1818" s="15">
        <v>1568.65</v>
      </c>
    </row>
    <row r="1819" spans="1:9">
      <c r="A1819" s="13">
        <v>44677</v>
      </c>
      <c r="B1819" s="91">
        <f t="shared" si="30"/>
        <v>2022</v>
      </c>
      <c r="C1819" s="15" t="s">
        <v>107</v>
      </c>
      <c r="D1819" s="15" t="s">
        <v>2126</v>
      </c>
      <c r="E1819" s="15" t="s">
        <v>2123</v>
      </c>
      <c r="F1819" s="15" t="s">
        <v>2124</v>
      </c>
      <c r="G1819" s="15" t="s">
        <v>2140</v>
      </c>
      <c r="H1819" s="15">
        <v>6471</v>
      </c>
      <c r="I1819" s="15">
        <v>990.15</v>
      </c>
    </row>
    <row r="1820" spans="1:9">
      <c r="A1820" s="13">
        <v>45591</v>
      </c>
      <c r="B1820" s="91">
        <f t="shared" si="30"/>
        <v>2024</v>
      </c>
      <c r="C1820" s="15" t="s">
        <v>2141</v>
      </c>
      <c r="D1820" s="15" t="s">
        <v>2118</v>
      </c>
      <c r="E1820" s="15" t="s">
        <v>2136</v>
      </c>
      <c r="F1820" s="15" t="s">
        <v>2120</v>
      </c>
      <c r="G1820" s="15" t="s">
        <v>2121</v>
      </c>
      <c r="H1820" s="15">
        <v>6630</v>
      </c>
      <c r="I1820" s="15">
        <v>800.23</v>
      </c>
    </row>
    <row r="1821" spans="1:9">
      <c r="A1821" s="13">
        <v>44808</v>
      </c>
      <c r="B1821" s="91">
        <f t="shared" si="30"/>
        <v>2022</v>
      </c>
      <c r="C1821" s="15" t="s">
        <v>2113</v>
      </c>
      <c r="D1821" s="15" t="s">
        <v>2152</v>
      </c>
      <c r="E1821" s="15" t="s">
        <v>2136</v>
      </c>
      <c r="F1821" s="15" t="s">
        <v>2120</v>
      </c>
      <c r="G1821" s="15" t="s">
        <v>2132</v>
      </c>
      <c r="H1821" s="15">
        <v>7686</v>
      </c>
      <c r="I1821" s="15">
        <v>786.97</v>
      </c>
    </row>
    <row r="1822" spans="1:9">
      <c r="A1822" s="13">
        <v>44660</v>
      </c>
      <c r="B1822" s="91">
        <f t="shared" si="30"/>
        <v>2022</v>
      </c>
      <c r="C1822" s="15" t="s">
        <v>104</v>
      </c>
      <c r="D1822" s="15" t="s">
        <v>2126</v>
      </c>
      <c r="E1822" s="15" t="s">
        <v>2144</v>
      </c>
      <c r="F1822" s="15" t="s">
        <v>2120</v>
      </c>
      <c r="G1822" s="15" t="s">
        <v>2121</v>
      </c>
      <c r="H1822" s="15">
        <v>3053</v>
      </c>
      <c r="I1822" s="15">
        <v>454.56</v>
      </c>
    </row>
    <row r="1823" spans="1:9">
      <c r="A1823" s="13">
        <v>44972</v>
      </c>
      <c r="B1823" s="91">
        <f t="shared" si="30"/>
        <v>2023</v>
      </c>
      <c r="C1823" s="15" t="s">
        <v>2113</v>
      </c>
      <c r="D1823" s="15" t="s">
        <v>2152</v>
      </c>
      <c r="E1823" s="15" t="s">
        <v>2115</v>
      </c>
      <c r="F1823" s="15" t="s">
        <v>2124</v>
      </c>
      <c r="G1823" s="15" t="s">
        <v>2140</v>
      </c>
      <c r="H1823" s="15">
        <v>6786</v>
      </c>
      <c r="I1823" s="15">
        <v>1588.77</v>
      </c>
    </row>
    <row r="1824" spans="1:9">
      <c r="A1824" s="13">
        <v>44802</v>
      </c>
      <c r="B1824" s="91">
        <f t="shared" si="30"/>
        <v>2022</v>
      </c>
      <c r="C1824" s="15" t="s">
        <v>2141</v>
      </c>
      <c r="D1824" s="15" t="s">
        <v>2152</v>
      </c>
      <c r="E1824" s="15" t="s">
        <v>2115</v>
      </c>
      <c r="F1824" s="15" t="s">
        <v>2138</v>
      </c>
      <c r="G1824" s="15" t="s">
        <v>2146</v>
      </c>
      <c r="H1824" s="15">
        <v>3949</v>
      </c>
      <c r="I1824" s="15">
        <v>505.62</v>
      </c>
    </row>
    <row r="1825" spans="1:9">
      <c r="A1825" s="13">
        <v>45151</v>
      </c>
      <c r="B1825" s="91">
        <f t="shared" si="30"/>
        <v>2023</v>
      </c>
      <c r="C1825" s="15" t="s">
        <v>2113</v>
      </c>
      <c r="D1825" s="15" t="s">
        <v>2118</v>
      </c>
      <c r="E1825" s="15" t="s">
        <v>2144</v>
      </c>
      <c r="F1825" s="15" t="s">
        <v>2138</v>
      </c>
      <c r="G1825" s="15" t="s">
        <v>2139</v>
      </c>
      <c r="H1825" s="15">
        <v>5948</v>
      </c>
      <c r="I1825" s="15">
        <v>1607.99</v>
      </c>
    </row>
    <row r="1826" spans="1:9">
      <c r="A1826" s="13">
        <v>44976</v>
      </c>
      <c r="B1826" s="91">
        <f t="shared" si="30"/>
        <v>2023</v>
      </c>
      <c r="C1826" s="15" t="s">
        <v>2113</v>
      </c>
      <c r="D1826" s="15" t="s">
        <v>2135</v>
      </c>
      <c r="E1826" s="15" t="s">
        <v>2134</v>
      </c>
      <c r="F1826" s="15" t="s">
        <v>2120</v>
      </c>
      <c r="G1826" s="15" t="s">
        <v>2133</v>
      </c>
      <c r="H1826" s="15">
        <v>4042</v>
      </c>
      <c r="I1826" s="15">
        <v>527.04</v>
      </c>
    </row>
    <row r="1827" spans="1:9">
      <c r="A1827" s="13">
        <v>45049</v>
      </c>
      <c r="B1827" s="91">
        <f t="shared" si="30"/>
        <v>2023</v>
      </c>
      <c r="C1827" s="15" t="s">
        <v>104</v>
      </c>
      <c r="D1827" s="15" t="s">
        <v>2135</v>
      </c>
      <c r="E1827" s="15" t="s">
        <v>2134</v>
      </c>
      <c r="F1827" s="15" t="s">
        <v>2120</v>
      </c>
      <c r="G1827" s="15" t="s">
        <v>2133</v>
      </c>
      <c r="H1827" s="15">
        <v>1431</v>
      </c>
      <c r="I1827" s="15">
        <v>405.15</v>
      </c>
    </row>
    <row r="1828" spans="1:9">
      <c r="A1828" s="13">
        <v>45400</v>
      </c>
      <c r="B1828" s="91">
        <f t="shared" si="30"/>
        <v>2024</v>
      </c>
      <c r="C1828" s="15" t="s">
        <v>2141</v>
      </c>
      <c r="D1828" s="15" t="s">
        <v>2152</v>
      </c>
      <c r="E1828" s="15" t="s">
        <v>2119</v>
      </c>
      <c r="F1828" s="15" t="s">
        <v>2138</v>
      </c>
      <c r="G1828" s="15" t="s">
        <v>2139</v>
      </c>
      <c r="H1828" s="15">
        <v>1906</v>
      </c>
      <c r="I1828" s="15">
        <v>402.09</v>
      </c>
    </row>
    <row r="1829" spans="1:9">
      <c r="A1829" s="13">
        <v>44842</v>
      </c>
      <c r="B1829" s="91">
        <f t="shared" si="30"/>
        <v>2022</v>
      </c>
      <c r="C1829" s="15" t="s">
        <v>2141</v>
      </c>
      <c r="D1829" s="15" t="s">
        <v>2118</v>
      </c>
      <c r="E1829" s="15" t="s">
        <v>2144</v>
      </c>
      <c r="F1829" s="15" t="s">
        <v>2124</v>
      </c>
      <c r="G1829" s="15" t="s">
        <v>2130</v>
      </c>
      <c r="H1829" s="15">
        <v>7167</v>
      </c>
      <c r="I1829" s="15">
        <v>2018.88</v>
      </c>
    </row>
    <row r="1830" spans="1:9">
      <c r="A1830" s="13">
        <v>45066</v>
      </c>
      <c r="B1830" s="91">
        <f t="shared" si="30"/>
        <v>2023</v>
      </c>
      <c r="C1830" s="15" t="s">
        <v>107</v>
      </c>
      <c r="D1830" s="15" t="s">
        <v>2126</v>
      </c>
      <c r="E1830" s="15" t="s">
        <v>2143</v>
      </c>
      <c r="F1830" s="15" t="s">
        <v>2120</v>
      </c>
      <c r="G1830" s="15" t="s">
        <v>2121</v>
      </c>
      <c r="H1830" s="15">
        <v>3930</v>
      </c>
      <c r="I1830" s="15">
        <v>1110.6600000000001</v>
      </c>
    </row>
    <row r="1831" spans="1:9">
      <c r="A1831" s="13">
        <v>44980</v>
      </c>
      <c r="B1831" s="91">
        <f t="shared" si="30"/>
        <v>2023</v>
      </c>
      <c r="C1831" s="15" t="s">
        <v>104</v>
      </c>
      <c r="D1831" s="15" t="s">
        <v>2118</v>
      </c>
      <c r="E1831" s="15" t="s">
        <v>2145</v>
      </c>
      <c r="F1831" s="15" t="s">
        <v>2138</v>
      </c>
      <c r="G1831" s="15" t="s">
        <v>2146</v>
      </c>
      <c r="H1831" s="15">
        <v>5115</v>
      </c>
      <c r="I1831" s="15">
        <v>1011.61</v>
      </c>
    </row>
    <row r="1832" spans="1:9">
      <c r="A1832" s="13">
        <v>45105</v>
      </c>
      <c r="B1832" s="91">
        <f t="shared" si="30"/>
        <v>2023</v>
      </c>
      <c r="C1832" s="15" t="s">
        <v>2113</v>
      </c>
      <c r="D1832" s="15" t="s">
        <v>2118</v>
      </c>
      <c r="E1832" s="15" t="s">
        <v>2123</v>
      </c>
      <c r="F1832" s="15" t="s">
        <v>2116</v>
      </c>
      <c r="G1832" s="15" t="s">
        <v>2117</v>
      </c>
      <c r="H1832" s="15">
        <v>4191</v>
      </c>
      <c r="I1832" s="15">
        <v>438.63</v>
      </c>
    </row>
    <row r="1833" spans="1:9">
      <c r="A1833" s="13">
        <v>45424</v>
      </c>
      <c r="B1833" s="91">
        <f t="shared" si="30"/>
        <v>2024</v>
      </c>
      <c r="C1833" s="15" t="s">
        <v>107</v>
      </c>
      <c r="D1833" s="15" t="s">
        <v>2152</v>
      </c>
      <c r="E1833" s="15" t="s">
        <v>2145</v>
      </c>
      <c r="F1833" s="15" t="s">
        <v>2116</v>
      </c>
      <c r="G1833" s="15" t="s">
        <v>2154</v>
      </c>
      <c r="H1833" s="15">
        <v>6355</v>
      </c>
      <c r="I1833" s="15">
        <v>1560.35</v>
      </c>
    </row>
    <row r="1834" spans="1:9">
      <c r="A1834" s="13">
        <v>45237</v>
      </c>
      <c r="B1834" s="91">
        <f t="shared" si="30"/>
        <v>2023</v>
      </c>
      <c r="C1834" s="15" t="s">
        <v>104</v>
      </c>
      <c r="D1834" s="15" t="s">
        <v>2128</v>
      </c>
      <c r="E1834" s="15" t="s">
        <v>2119</v>
      </c>
      <c r="F1834" s="15" t="s">
        <v>2120</v>
      </c>
      <c r="G1834" s="15" t="s">
        <v>2133</v>
      </c>
      <c r="H1834" s="15">
        <v>2811</v>
      </c>
      <c r="I1834" s="15">
        <v>442.21</v>
      </c>
    </row>
    <row r="1835" spans="1:9">
      <c r="A1835" s="13">
        <v>45606</v>
      </c>
      <c r="B1835" s="91">
        <f t="shared" si="30"/>
        <v>2024</v>
      </c>
      <c r="C1835" s="15" t="s">
        <v>104</v>
      </c>
      <c r="D1835" s="15" t="s">
        <v>2148</v>
      </c>
      <c r="E1835" s="15" t="s">
        <v>2145</v>
      </c>
      <c r="F1835" s="15" t="s">
        <v>2120</v>
      </c>
      <c r="G1835" s="15" t="s">
        <v>2132</v>
      </c>
      <c r="H1835" s="15">
        <v>3427</v>
      </c>
      <c r="I1835" s="15">
        <v>564.67999999999995</v>
      </c>
    </row>
    <row r="1836" spans="1:9">
      <c r="A1836" s="13">
        <v>44648</v>
      </c>
      <c r="B1836" s="91">
        <f t="shared" si="30"/>
        <v>2022</v>
      </c>
      <c r="C1836" s="15" t="s">
        <v>104</v>
      </c>
      <c r="D1836" s="15" t="s">
        <v>2131</v>
      </c>
      <c r="E1836" s="15" t="s">
        <v>2144</v>
      </c>
      <c r="F1836" s="15" t="s">
        <v>2124</v>
      </c>
      <c r="G1836" s="15" t="s">
        <v>2130</v>
      </c>
      <c r="H1836" s="15">
        <v>5141</v>
      </c>
      <c r="I1836" s="15">
        <v>845.23</v>
      </c>
    </row>
    <row r="1837" spans="1:9">
      <c r="A1837" s="13">
        <v>45489</v>
      </c>
      <c r="B1837" s="91">
        <f t="shared" si="30"/>
        <v>2024</v>
      </c>
      <c r="C1837" s="15" t="s">
        <v>2113</v>
      </c>
      <c r="D1837" s="15" t="s">
        <v>2135</v>
      </c>
      <c r="E1837" s="15" t="s">
        <v>2123</v>
      </c>
      <c r="F1837" s="15" t="s">
        <v>2120</v>
      </c>
      <c r="G1837" s="15" t="s">
        <v>2133</v>
      </c>
      <c r="H1837" s="15">
        <v>7999</v>
      </c>
      <c r="I1837" s="15">
        <v>1287.75</v>
      </c>
    </row>
    <row r="1838" spans="1:9">
      <c r="A1838" s="13">
        <v>45581</v>
      </c>
      <c r="B1838" s="91">
        <f t="shared" si="30"/>
        <v>2024</v>
      </c>
      <c r="C1838" s="15" t="s">
        <v>104</v>
      </c>
      <c r="D1838" s="15" t="s">
        <v>2142</v>
      </c>
      <c r="E1838" s="15" t="s">
        <v>2119</v>
      </c>
      <c r="F1838" s="15" t="s">
        <v>2116</v>
      </c>
      <c r="G1838" s="15" t="s">
        <v>2117</v>
      </c>
      <c r="H1838" s="15">
        <v>2513</v>
      </c>
      <c r="I1838" s="15">
        <v>325.33</v>
      </c>
    </row>
    <row r="1839" spans="1:9">
      <c r="A1839" s="13">
        <v>44999</v>
      </c>
      <c r="B1839" s="91">
        <f t="shared" si="30"/>
        <v>2023</v>
      </c>
      <c r="C1839" s="15" t="s">
        <v>104</v>
      </c>
      <c r="D1839" s="15" t="s">
        <v>2131</v>
      </c>
      <c r="E1839" s="15" t="s">
        <v>2144</v>
      </c>
      <c r="F1839" s="15" t="s">
        <v>2138</v>
      </c>
      <c r="G1839" s="15" t="s">
        <v>2146</v>
      </c>
      <c r="H1839" s="15">
        <v>5158</v>
      </c>
      <c r="I1839" s="15">
        <v>1111.83</v>
      </c>
    </row>
    <row r="1840" spans="1:9">
      <c r="A1840" s="13">
        <v>44906</v>
      </c>
      <c r="B1840" s="91">
        <f t="shared" si="30"/>
        <v>2022</v>
      </c>
      <c r="C1840" s="15" t="s">
        <v>2141</v>
      </c>
      <c r="D1840" s="15" t="s">
        <v>2153</v>
      </c>
      <c r="E1840" s="15" t="s">
        <v>2136</v>
      </c>
      <c r="F1840" s="15" t="s">
        <v>2116</v>
      </c>
      <c r="G1840" s="15" t="s">
        <v>2127</v>
      </c>
      <c r="H1840" s="15">
        <v>8475</v>
      </c>
      <c r="I1840" s="15">
        <v>2540.58</v>
      </c>
    </row>
    <row r="1841" spans="1:9">
      <c r="A1841" s="13">
        <v>45263</v>
      </c>
      <c r="B1841" s="91">
        <f t="shared" si="30"/>
        <v>2023</v>
      </c>
      <c r="C1841" s="15" t="s">
        <v>107</v>
      </c>
      <c r="D1841" s="15" t="s">
        <v>2131</v>
      </c>
      <c r="E1841" s="15" t="s">
        <v>2136</v>
      </c>
      <c r="F1841" s="15" t="s">
        <v>2120</v>
      </c>
      <c r="G1841" s="15" t="s">
        <v>2133</v>
      </c>
      <c r="H1841" s="15">
        <v>5868</v>
      </c>
      <c r="I1841" s="15">
        <v>1420.25</v>
      </c>
    </row>
    <row r="1842" spans="1:9">
      <c r="A1842" s="13">
        <v>45187</v>
      </c>
      <c r="B1842" s="91">
        <f t="shared" si="30"/>
        <v>2023</v>
      </c>
      <c r="C1842" s="15" t="s">
        <v>2141</v>
      </c>
      <c r="D1842" s="15" t="s">
        <v>2114</v>
      </c>
      <c r="E1842" s="15" t="s">
        <v>2119</v>
      </c>
      <c r="F1842" s="15" t="s">
        <v>2116</v>
      </c>
      <c r="G1842" s="15" t="s">
        <v>2117</v>
      </c>
      <c r="H1842" s="15">
        <v>4521</v>
      </c>
      <c r="I1842" s="15">
        <v>1342.41</v>
      </c>
    </row>
    <row r="1843" spans="1:9">
      <c r="A1843" s="13">
        <v>45545</v>
      </c>
      <c r="B1843" s="91">
        <f t="shared" si="30"/>
        <v>2024</v>
      </c>
      <c r="C1843" s="15" t="s">
        <v>107</v>
      </c>
      <c r="D1843" s="15" t="s">
        <v>2153</v>
      </c>
      <c r="E1843" s="15" t="s">
        <v>2123</v>
      </c>
      <c r="F1843" s="15" t="s">
        <v>2116</v>
      </c>
      <c r="G1843" s="15" t="s">
        <v>2127</v>
      </c>
      <c r="H1843" s="15">
        <v>7026</v>
      </c>
      <c r="I1843" s="15">
        <v>1846.84</v>
      </c>
    </row>
    <row r="1844" spans="1:9">
      <c r="A1844" s="13">
        <v>44698</v>
      </c>
      <c r="B1844" s="91">
        <f t="shared" si="30"/>
        <v>2022</v>
      </c>
      <c r="C1844" s="15" t="s">
        <v>107</v>
      </c>
      <c r="D1844" s="15" t="s">
        <v>2142</v>
      </c>
      <c r="E1844" s="15" t="s">
        <v>2129</v>
      </c>
      <c r="F1844" s="15" t="s">
        <v>2138</v>
      </c>
      <c r="G1844" s="15" t="s">
        <v>2149</v>
      </c>
      <c r="H1844" s="15">
        <v>6590</v>
      </c>
      <c r="I1844" s="15">
        <v>1852.36</v>
      </c>
    </row>
    <row r="1845" spans="1:9">
      <c r="A1845" s="13">
        <v>44835</v>
      </c>
      <c r="B1845" s="91">
        <f t="shared" si="30"/>
        <v>2022</v>
      </c>
      <c r="C1845" s="15" t="s">
        <v>104</v>
      </c>
      <c r="D1845" s="15" t="s">
        <v>2152</v>
      </c>
      <c r="E1845" s="15" t="s">
        <v>2145</v>
      </c>
      <c r="F1845" s="15" t="s">
        <v>2124</v>
      </c>
      <c r="G1845" s="15" t="s">
        <v>2125</v>
      </c>
      <c r="H1845" s="15">
        <v>9283</v>
      </c>
      <c r="I1845" s="15">
        <v>1678.28</v>
      </c>
    </row>
    <row r="1846" spans="1:9">
      <c r="A1846" s="13">
        <v>44986</v>
      </c>
      <c r="B1846" s="91">
        <f t="shared" si="30"/>
        <v>2023</v>
      </c>
      <c r="C1846" s="15" t="s">
        <v>104</v>
      </c>
      <c r="D1846" s="15" t="s">
        <v>2135</v>
      </c>
      <c r="E1846" s="15" t="s">
        <v>2123</v>
      </c>
      <c r="F1846" s="15" t="s">
        <v>2124</v>
      </c>
      <c r="G1846" s="15" t="s">
        <v>2125</v>
      </c>
      <c r="H1846" s="15">
        <v>8072</v>
      </c>
      <c r="I1846" s="15">
        <v>1807.28</v>
      </c>
    </row>
    <row r="1847" spans="1:9">
      <c r="A1847" s="13">
        <v>45647</v>
      </c>
      <c r="B1847" s="91">
        <f t="shared" si="30"/>
        <v>2024</v>
      </c>
      <c r="C1847" s="15" t="s">
        <v>2141</v>
      </c>
      <c r="D1847" s="15" t="s">
        <v>2135</v>
      </c>
      <c r="E1847" s="15" t="s">
        <v>2151</v>
      </c>
      <c r="F1847" s="15" t="s">
        <v>2138</v>
      </c>
      <c r="G1847" s="15" t="s">
        <v>2146</v>
      </c>
      <c r="H1847" s="15">
        <v>6711</v>
      </c>
      <c r="I1847" s="15">
        <v>1378.96</v>
      </c>
    </row>
    <row r="1848" spans="1:9">
      <c r="A1848" s="13">
        <v>45315</v>
      </c>
      <c r="B1848" s="91">
        <f t="shared" si="30"/>
        <v>2024</v>
      </c>
      <c r="C1848" s="15" t="s">
        <v>2113</v>
      </c>
      <c r="D1848" s="15" t="s">
        <v>2148</v>
      </c>
      <c r="E1848" s="15" t="s">
        <v>2134</v>
      </c>
      <c r="F1848" s="15" t="s">
        <v>2138</v>
      </c>
      <c r="G1848" s="15" t="s">
        <v>2139</v>
      </c>
      <c r="H1848" s="15">
        <v>5816</v>
      </c>
      <c r="I1848" s="15">
        <v>939.36</v>
      </c>
    </row>
    <row r="1849" spans="1:9">
      <c r="A1849" s="13">
        <v>44720</v>
      </c>
      <c r="B1849" s="91">
        <f t="shared" si="30"/>
        <v>2022</v>
      </c>
      <c r="C1849" s="15" t="s">
        <v>107</v>
      </c>
      <c r="D1849" s="15" t="s">
        <v>2128</v>
      </c>
      <c r="E1849" s="15" t="s">
        <v>2145</v>
      </c>
      <c r="F1849" s="15" t="s">
        <v>2138</v>
      </c>
      <c r="G1849" s="15" t="s">
        <v>2146</v>
      </c>
      <c r="H1849" s="15">
        <v>6085</v>
      </c>
      <c r="I1849" s="15">
        <v>1263.6199999999999</v>
      </c>
    </row>
    <row r="1850" spans="1:9">
      <c r="A1850" s="13">
        <v>45517</v>
      </c>
      <c r="B1850" s="91">
        <f t="shared" si="30"/>
        <v>2024</v>
      </c>
      <c r="C1850" s="15" t="s">
        <v>107</v>
      </c>
      <c r="D1850" s="15" t="s">
        <v>2128</v>
      </c>
      <c r="E1850" s="15" t="s">
        <v>2123</v>
      </c>
      <c r="F1850" s="15" t="s">
        <v>2138</v>
      </c>
      <c r="G1850" s="15" t="s">
        <v>2149</v>
      </c>
      <c r="H1850" s="15">
        <v>2823</v>
      </c>
      <c r="I1850" s="15">
        <v>509.59</v>
      </c>
    </row>
    <row r="1851" spans="1:9">
      <c r="A1851" s="13">
        <v>44856</v>
      </c>
      <c r="B1851" s="91">
        <f t="shared" si="30"/>
        <v>2022</v>
      </c>
      <c r="C1851" s="15" t="s">
        <v>107</v>
      </c>
      <c r="D1851" s="15" t="s">
        <v>2153</v>
      </c>
      <c r="E1851" s="15" t="s">
        <v>2115</v>
      </c>
      <c r="F1851" s="15" t="s">
        <v>2138</v>
      </c>
      <c r="G1851" s="15" t="s">
        <v>2146</v>
      </c>
      <c r="H1851" s="15">
        <v>3952</v>
      </c>
      <c r="I1851" s="15">
        <v>620.55999999999995</v>
      </c>
    </row>
    <row r="1852" spans="1:9">
      <c r="A1852" s="13">
        <v>44857</v>
      </c>
      <c r="B1852" s="91">
        <f t="shared" si="30"/>
        <v>2022</v>
      </c>
      <c r="C1852" s="15" t="s">
        <v>2141</v>
      </c>
      <c r="D1852" s="15" t="s">
        <v>2131</v>
      </c>
      <c r="E1852" s="15" t="s">
        <v>2136</v>
      </c>
      <c r="F1852" s="15" t="s">
        <v>2138</v>
      </c>
      <c r="G1852" s="15" t="s">
        <v>2149</v>
      </c>
      <c r="H1852" s="15">
        <v>9329</v>
      </c>
      <c r="I1852" s="15">
        <v>1014.7</v>
      </c>
    </row>
    <row r="1853" spans="1:9">
      <c r="A1853" s="13">
        <v>44995</v>
      </c>
      <c r="B1853" s="91">
        <f t="shared" si="30"/>
        <v>2023</v>
      </c>
      <c r="C1853" s="15" t="s">
        <v>107</v>
      </c>
      <c r="D1853" s="15" t="s">
        <v>2148</v>
      </c>
      <c r="E1853" s="15" t="s">
        <v>2143</v>
      </c>
      <c r="F1853" s="15" t="s">
        <v>2138</v>
      </c>
      <c r="G1853" s="15" t="s">
        <v>2149</v>
      </c>
      <c r="H1853" s="15">
        <v>8156</v>
      </c>
      <c r="I1853" s="15">
        <v>2239.79</v>
      </c>
    </row>
    <row r="1854" spans="1:9">
      <c r="A1854" s="13">
        <v>44707</v>
      </c>
      <c r="B1854" s="91">
        <f t="shared" si="30"/>
        <v>2022</v>
      </c>
      <c r="C1854" s="15" t="s">
        <v>2141</v>
      </c>
      <c r="D1854" s="15" t="s">
        <v>2114</v>
      </c>
      <c r="E1854" s="15" t="s">
        <v>2115</v>
      </c>
      <c r="F1854" s="15" t="s">
        <v>2138</v>
      </c>
      <c r="G1854" s="15" t="s">
        <v>2149</v>
      </c>
      <c r="H1854" s="15">
        <v>2116</v>
      </c>
      <c r="I1854" s="15">
        <v>302.89</v>
      </c>
    </row>
    <row r="1855" spans="1:9">
      <c r="A1855" s="13">
        <v>44830</v>
      </c>
      <c r="B1855" s="91">
        <f t="shared" si="30"/>
        <v>2022</v>
      </c>
      <c r="C1855" s="15" t="s">
        <v>2141</v>
      </c>
      <c r="D1855" s="15" t="s">
        <v>2128</v>
      </c>
      <c r="E1855" s="15" t="s">
        <v>2129</v>
      </c>
      <c r="F1855" s="15" t="s">
        <v>2116</v>
      </c>
      <c r="G1855" s="15" t="s">
        <v>2117</v>
      </c>
      <c r="H1855" s="15">
        <v>1147</v>
      </c>
      <c r="I1855" s="15">
        <v>227.99</v>
      </c>
    </row>
    <row r="1856" spans="1:9">
      <c r="A1856" s="13">
        <v>44718</v>
      </c>
      <c r="B1856" s="91">
        <f t="shared" si="30"/>
        <v>2022</v>
      </c>
      <c r="C1856" s="15" t="s">
        <v>2141</v>
      </c>
      <c r="D1856" s="15" t="s">
        <v>2152</v>
      </c>
      <c r="E1856" s="15" t="s">
        <v>2144</v>
      </c>
      <c r="F1856" s="15" t="s">
        <v>2116</v>
      </c>
      <c r="G1856" s="15" t="s">
        <v>2117</v>
      </c>
      <c r="H1856" s="15">
        <v>2625</v>
      </c>
      <c r="I1856" s="15">
        <v>778.74</v>
      </c>
    </row>
    <row r="1857" spans="1:9">
      <c r="A1857" s="13">
        <v>45573</v>
      </c>
      <c r="B1857" s="91">
        <f t="shared" si="30"/>
        <v>2024</v>
      </c>
      <c r="C1857" s="15" t="s">
        <v>2113</v>
      </c>
      <c r="D1857" s="15" t="s">
        <v>2126</v>
      </c>
      <c r="E1857" s="15" t="s">
        <v>2123</v>
      </c>
      <c r="F1857" s="15" t="s">
        <v>2124</v>
      </c>
      <c r="G1857" s="15" t="s">
        <v>2140</v>
      </c>
      <c r="H1857" s="15">
        <v>6086</v>
      </c>
      <c r="I1857" s="15">
        <v>777.95</v>
      </c>
    </row>
    <row r="1858" spans="1:9">
      <c r="A1858" s="13">
        <v>45069</v>
      </c>
      <c r="B1858" s="91">
        <f t="shared" si="30"/>
        <v>2023</v>
      </c>
      <c r="C1858" s="15" t="s">
        <v>104</v>
      </c>
      <c r="D1858" s="15" t="s">
        <v>2131</v>
      </c>
      <c r="E1858" s="15" t="s">
        <v>2151</v>
      </c>
      <c r="F1858" s="15" t="s">
        <v>2124</v>
      </c>
      <c r="G1858" s="15" t="s">
        <v>2130</v>
      </c>
      <c r="H1858" s="15">
        <v>1859</v>
      </c>
      <c r="I1858" s="15">
        <v>272.05</v>
      </c>
    </row>
    <row r="1859" spans="1:9">
      <c r="A1859" s="13">
        <v>44750</v>
      </c>
      <c r="B1859" s="91">
        <f t="shared" ref="B1859:B1922" si="31">YEAR(A1859)</f>
        <v>2022</v>
      </c>
      <c r="C1859" s="15" t="s">
        <v>104</v>
      </c>
      <c r="D1859" s="15" t="s">
        <v>2114</v>
      </c>
      <c r="E1859" s="15" t="s">
        <v>2145</v>
      </c>
      <c r="F1859" s="15" t="s">
        <v>2120</v>
      </c>
      <c r="G1859" s="15" t="s">
        <v>2121</v>
      </c>
      <c r="H1859" s="15">
        <v>4260</v>
      </c>
      <c r="I1859" s="15">
        <v>1194.7</v>
      </c>
    </row>
    <row r="1860" spans="1:9">
      <c r="A1860" s="13">
        <v>45224</v>
      </c>
      <c r="B1860" s="91">
        <f t="shared" si="31"/>
        <v>2023</v>
      </c>
      <c r="C1860" s="15" t="s">
        <v>2113</v>
      </c>
      <c r="D1860" s="15" t="s">
        <v>2152</v>
      </c>
      <c r="E1860" s="15" t="s">
        <v>2123</v>
      </c>
      <c r="F1860" s="15" t="s">
        <v>2116</v>
      </c>
      <c r="G1860" s="15" t="s">
        <v>2127</v>
      </c>
      <c r="H1860" s="15">
        <v>5081</v>
      </c>
      <c r="I1860" s="15">
        <v>693.81</v>
      </c>
    </row>
    <row r="1861" spans="1:9">
      <c r="A1861" s="13">
        <v>44928</v>
      </c>
      <c r="B1861" s="91">
        <f t="shared" si="31"/>
        <v>2023</v>
      </c>
      <c r="C1861" s="15" t="s">
        <v>2113</v>
      </c>
      <c r="D1861" s="15" t="s">
        <v>2148</v>
      </c>
      <c r="E1861" s="15" t="s">
        <v>2145</v>
      </c>
      <c r="F1861" s="15" t="s">
        <v>2120</v>
      </c>
      <c r="G1861" s="15" t="s">
        <v>2121</v>
      </c>
      <c r="H1861" s="15">
        <v>8080</v>
      </c>
      <c r="I1861" s="15">
        <v>2153.9699999999998</v>
      </c>
    </row>
    <row r="1862" spans="1:9">
      <c r="A1862" s="13">
        <v>45026</v>
      </c>
      <c r="B1862" s="91">
        <f t="shared" si="31"/>
        <v>2023</v>
      </c>
      <c r="C1862" s="15" t="s">
        <v>2141</v>
      </c>
      <c r="D1862" s="15" t="s">
        <v>2128</v>
      </c>
      <c r="E1862" s="15" t="s">
        <v>2119</v>
      </c>
      <c r="F1862" s="15" t="s">
        <v>2120</v>
      </c>
      <c r="G1862" s="15" t="s">
        <v>2121</v>
      </c>
      <c r="H1862" s="15">
        <v>7919</v>
      </c>
      <c r="I1862" s="15">
        <v>1633.55</v>
      </c>
    </row>
    <row r="1863" spans="1:9">
      <c r="A1863" s="13">
        <v>45518</v>
      </c>
      <c r="B1863" s="91">
        <f t="shared" si="31"/>
        <v>2024</v>
      </c>
      <c r="C1863" s="15" t="s">
        <v>104</v>
      </c>
      <c r="D1863" s="15" t="s">
        <v>2152</v>
      </c>
      <c r="E1863" s="15" t="s">
        <v>2151</v>
      </c>
      <c r="F1863" s="15" t="s">
        <v>2138</v>
      </c>
      <c r="G1863" s="15" t="s">
        <v>2139</v>
      </c>
      <c r="H1863" s="15">
        <v>5336</v>
      </c>
      <c r="I1863" s="15">
        <v>1520.39</v>
      </c>
    </row>
    <row r="1864" spans="1:9">
      <c r="A1864" s="13">
        <v>45342</v>
      </c>
      <c r="B1864" s="91">
        <f t="shared" si="31"/>
        <v>2024</v>
      </c>
      <c r="C1864" s="15" t="s">
        <v>107</v>
      </c>
      <c r="D1864" s="15" t="s">
        <v>2126</v>
      </c>
      <c r="E1864" s="15" t="s">
        <v>2136</v>
      </c>
      <c r="F1864" s="15" t="s">
        <v>2124</v>
      </c>
      <c r="G1864" s="15" t="s">
        <v>2140</v>
      </c>
      <c r="H1864" s="15">
        <v>8319</v>
      </c>
      <c r="I1864" s="15">
        <v>1070.5999999999999</v>
      </c>
    </row>
    <row r="1865" spans="1:9">
      <c r="A1865" s="13">
        <v>45075</v>
      </c>
      <c r="B1865" s="91">
        <f t="shared" si="31"/>
        <v>2023</v>
      </c>
      <c r="C1865" s="15" t="s">
        <v>107</v>
      </c>
      <c r="D1865" s="15" t="s">
        <v>2118</v>
      </c>
      <c r="E1865" s="15" t="s">
        <v>2136</v>
      </c>
      <c r="F1865" s="15" t="s">
        <v>2120</v>
      </c>
      <c r="G1865" s="15" t="s">
        <v>2133</v>
      </c>
      <c r="H1865" s="15">
        <v>4259</v>
      </c>
      <c r="I1865" s="15">
        <v>654.38</v>
      </c>
    </row>
    <row r="1866" spans="1:9">
      <c r="A1866" s="13">
        <v>45330</v>
      </c>
      <c r="B1866" s="91">
        <f t="shared" si="31"/>
        <v>2024</v>
      </c>
      <c r="C1866" s="15" t="s">
        <v>104</v>
      </c>
      <c r="D1866" s="15" t="s">
        <v>2153</v>
      </c>
      <c r="E1866" s="15" t="s">
        <v>2143</v>
      </c>
      <c r="F1866" s="15" t="s">
        <v>2120</v>
      </c>
      <c r="G1866" s="15" t="s">
        <v>2133</v>
      </c>
      <c r="H1866" s="15">
        <v>4272</v>
      </c>
      <c r="I1866" s="15">
        <v>1069.52</v>
      </c>
    </row>
    <row r="1867" spans="1:9">
      <c r="A1867" s="13">
        <v>45088</v>
      </c>
      <c r="B1867" s="91">
        <f t="shared" si="31"/>
        <v>2023</v>
      </c>
      <c r="C1867" s="15" t="s">
        <v>107</v>
      </c>
      <c r="D1867" s="15" t="s">
        <v>2142</v>
      </c>
      <c r="E1867" s="15" t="s">
        <v>2129</v>
      </c>
      <c r="F1867" s="15" t="s">
        <v>2120</v>
      </c>
      <c r="G1867" s="15" t="s">
        <v>2133</v>
      </c>
      <c r="H1867" s="15">
        <v>5014</v>
      </c>
      <c r="I1867" s="15">
        <v>1485.63</v>
      </c>
    </row>
    <row r="1868" spans="1:9">
      <c r="A1868" s="13">
        <v>45421</v>
      </c>
      <c r="B1868" s="91">
        <f t="shared" si="31"/>
        <v>2024</v>
      </c>
      <c r="C1868" s="15" t="s">
        <v>107</v>
      </c>
      <c r="D1868" s="15" t="s">
        <v>2126</v>
      </c>
      <c r="E1868" s="15" t="s">
        <v>2134</v>
      </c>
      <c r="F1868" s="15" t="s">
        <v>2116</v>
      </c>
      <c r="G1868" s="15" t="s">
        <v>2127</v>
      </c>
      <c r="H1868" s="15">
        <v>6069</v>
      </c>
      <c r="I1868" s="15">
        <v>927.86</v>
      </c>
    </row>
    <row r="1869" spans="1:9">
      <c r="A1869" s="13">
        <v>45221</v>
      </c>
      <c r="B1869" s="91">
        <f t="shared" si="31"/>
        <v>2023</v>
      </c>
      <c r="C1869" s="15" t="s">
        <v>104</v>
      </c>
      <c r="D1869" s="15" t="s">
        <v>2128</v>
      </c>
      <c r="E1869" s="15" t="s">
        <v>2144</v>
      </c>
      <c r="F1869" s="15" t="s">
        <v>2120</v>
      </c>
      <c r="G1869" s="15" t="s">
        <v>2121</v>
      </c>
      <c r="H1869" s="15">
        <v>1347</v>
      </c>
      <c r="I1869" s="15">
        <v>390.25</v>
      </c>
    </row>
    <row r="1870" spans="1:9">
      <c r="A1870" s="13">
        <v>45099</v>
      </c>
      <c r="B1870" s="91">
        <f t="shared" si="31"/>
        <v>2023</v>
      </c>
      <c r="C1870" s="15" t="s">
        <v>2141</v>
      </c>
      <c r="D1870" s="15" t="s">
        <v>2128</v>
      </c>
      <c r="E1870" s="15" t="s">
        <v>2119</v>
      </c>
      <c r="F1870" s="15" t="s">
        <v>2120</v>
      </c>
      <c r="G1870" s="15" t="s">
        <v>2132</v>
      </c>
      <c r="H1870" s="15">
        <v>3530</v>
      </c>
      <c r="I1870" s="15">
        <v>1011.75</v>
      </c>
    </row>
    <row r="1871" spans="1:9">
      <c r="A1871" s="13">
        <v>44638</v>
      </c>
      <c r="B1871" s="91">
        <f t="shared" si="31"/>
        <v>2022</v>
      </c>
      <c r="C1871" s="15" t="s">
        <v>2141</v>
      </c>
      <c r="D1871" s="15" t="s">
        <v>2153</v>
      </c>
      <c r="E1871" s="15" t="s">
        <v>2123</v>
      </c>
      <c r="F1871" s="15" t="s">
        <v>2124</v>
      </c>
      <c r="G1871" s="15" t="s">
        <v>2140</v>
      </c>
      <c r="H1871" s="15">
        <v>1643</v>
      </c>
      <c r="I1871" s="15">
        <v>366.78</v>
      </c>
    </row>
    <row r="1872" spans="1:9">
      <c r="A1872" s="13">
        <v>44948</v>
      </c>
      <c r="B1872" s="91">
        <f t="shared" si="31"/>
        <v>2023</v>
      </c>
      <c r="C1872" s="15" t="s">
        <v>107</v>
      </c>
      <c r="D1872" s="15" t="s">
        <v>2142</v>
      </c>
      <c r="E1872" s="15" t="s">
        <v>2136</v>
      </c>
      <c r="F1872" s="15" t="s">
        <v>2116</v>
      </c>
      <c r="G1872" s="15" t="s">
        <v>2117</v>
      </c>
      <c r="H1872" s="15">
        <v>3560</v>
      </c>
      <c r="I1872" s="15">
        <v>448.44</v>
      </c>
    </row>
    <row r="1873" spans="1:9">
      <c r="A1873" s="13">
        <v>44654</v>
      </c>
      <c r="B1873" s="91">
        <f t="shared" si="31"/>
        <v>2022</v>
      </c>
      <c r="C1873" s="15" t="s">
        <v>2113</v>
      </c>
      <c r="D1873" s="15" t="s">
        <v>2135</v>
      </c>
      <c r="E1873" s="15" t="s">
        <v>2119</v>
      </c>
      <c r="F1873" s="15" t="s">
        <v>2124</v>
      </c>
      <c r="G1873" s="15" t="s">
        <v>2130</v>
      </c>
      <c r="H1873" s="15">
        <v>4429</v>
      </c>
      <c r="I1873" s="15">
        <v>513.67999999999995</v>
      </c>
    </row>
    <row r="1874" spans="1:9">
      <c r="A1874" s="13">
        <v>45294</v>
      </c>
      <c r="B1874" s="91">
        <f t="shared" si="31"/>
        <v>2024</v>
      </c>
      <c r="C1874" s="15" t="s">
        <v>2141</v>
      </c>
      <c r="D1874" s="15" t="s">
        <v>2128</v>
      </c>
      <c r="E1874" s="15" t="s">
        <v>2145</v>
      </c>
      <c r="F1874" s="15" t="s">
        <v>2124</v>
      </c>
      <c r="G1874" s="15" t="s">
        <v>2140</v>
      </c>
      <c r="H1874" s="15">
        <v>3008</v>
      </c>
      <c r="I1874" s="15">
        <v>774.06</v>
      </c>
    </row>
    <row r="1875" spans="1:9">
      <c r="A1875" s="13">
        <v>45151</v>
      </c>
      <c r="B1875" s="91">
        <f t="shared" si="31"/>
        <v>2023</v>
      </c>
      <c r="C1875" s="15" t="s">
        <v>2141</v>
      </c>
      <c r="D1875" s="15" t="s">
        <v>2118</v>
      </c>
      <c r="E1875" s="15" t="s">
        <v>2129</v>
      </c>
      <c r="F1875" s="15" t="s">
        <v>2138</v>
      </c>
      <c r="G1875" s="15" t="s">
        <v>2146</v>
      </c>
      <c r="H1875" s="15">
        <v>9144</v>
      </c>
      <c r="I1875" s="15">
        <v>1402.06</v>
      </c>
    </row>
    <row r="1876" spans="1:9">
      <c r="A1876" s="13">
        <v>45028</v>
      </c>
      <c r="B1876" s="91">
        <f t="shared" si="31"/>
        <v>2023</v>
      </c>
      <c r="C1876" s="15" t="s">
        <v>107</v>
      </c>
      <c r="D1876" s="15" t="s">
        <v>2114</v>
      </c>
      <c r="E1876" s="15" t="s">
        <v>2145</v>
      </c>
      <c r="F1876" s="15" t="s">
        <v>2138</v>
      </c>
      <c r="G1876" s="15" t="s">
        <v>2149</v>
      </c>
      <c r="H1876" s="15">
        <v>7457</v>
      </c>
      <c r="I1876" s="15">
        <v>760.94</v>
      </c>
    </row>
    <row r="1877" spans="1:9">
      <c r="A1877" s="13">
        <v>45399</v>
      </c>
      <c r="B1877" s="91">
        <f t="shared" si="31"/>
        <v>2024</v>
      </c>
      <c r="C1877" s="15" t="s">
        <v>104</v>
      </c>
      <c r="D1877" s="15" t="s">
        <v>2142</v>
      </c>
      <c r="E1877" s="15" t="s">
        <v>2134</v>
      </c>
      <c r="F1877" s="15" t="s">
        <v>2138</v>
      </c>
      <c r="G1877" s="15" t="s">
        <v>2146</v>
      </c>
      <c r="H1877" s="15">
        <v>8898</v>
      </c>
      <c r="I1877" s="15">
        <v>2495.12</v>
      </c>
    </row>
    <row r="1878" spans="1:9">
      <c r="A1878" s="13">
        <v>44578</v>
      </c>
      <c r="B1878" s="91">
        <f t="shared" si="31"/>
        <v>2022</v>
      </c>
      <c r="C1878" s="15" t="s">
        <v>2113</v>
      </c>
      <c r="D1878" s="15" t="s">
        <v>2126</v>
      </c>
      <c r="E1878" s="15" t="s">
        <v>2134</v>
      </c>
      <c r="F1878" s="15" t="s">
        <v>2124</v>
      </c>
      <c r="G1878" s="15" t="s">
        <v>2140</v>
      </c>
      <c r="H1878" s="15">
        <v>4655</v>
      </c>
      <c r="I1878" s="15">
        <v>807.36</v>
      </c>
    </row>
    <row r="1879" spans="1:9">
      <c r="A1879" s="13">
        <v>44982</v>
      </c>
      <c r="B1879" s="91">
        <f t="shared" si="31"/>
        <v>2023</v>
      </c>
      <c r="C1879" s="15" t="s">
        <v>2141</v>
      </c>
      <c r="D1879" s="15" t="s">
        <v>2142</v>
      </c>
      <c r="E1879" s="15" t="s">
        <v>2145</v>
      </c>
      <c r="F1879" s="15" t="s">
        <v>2120</v>
      </c>
      <c r="G1879" s="15" t="s">
        <v>2121</v>
      </c>
      <c r="H1879" s="15">
        <v>7710</v>
      </c>
      <c r="I1879" s="15">
        <v>1999.25</v>
      </c>
    </row>
    <row r="1880" spans="1:9">
      <c r="A1880" s="13">
        <v>45008</v>
      </c>
      <c r="B1880" s="91">
        <f t="shared" si="31"/>
        <v>2023</v>
      </c>
      <c r="C1880" s="15" t="s">
        <v>104</v>
      </c>
      <c r="D1880" s="15" t="s">
        <v>2135</v>
      </c>
      <c r="E1880" s="15" t="s">
        <v>2145</v>
      </c>
      <c r="F1880" s="15" t="s">
        <v>2116</v>
      </c>
      <c r="G1880" s="15" t="s">
        <v>2117</v>
      </c>
      <c r="H1880" s="15">
        <v>7941</v>
      </c>
      <c r="I1880" s="15">
        <v>2110.66</v>
      </c>
    </row>
    <row r="1881" spans="1:9">
      <c r="A1881" s="13">
        <v>45154</v>
      </c>
      <c r="B1881" s="91">
        <f t="shared" si="31"/>
        <v>2023</v>
      </c>
      <c r="C1881" s="15" t="s">
        <v>2113</v>
      </c>
      <c r="D1881" s="15" t="s">
        <v>2142</v>
      </c>
      <c r="E1881" s="15" t="s">
        <v>2134</v>
      </c>
      <c r="F1881" s="15" t="s">
        <v>2124</v>
      </c>
      <c r="G1881" s="15" t="s">
        <v>2130</v>
      </c>
      <c r="H1881" s="15">
        <v>8826</v>
      </c>
      <c r="I1881" s="15">
        <v>1260.43</v>
      </c>
    </row>
    <row r="1882" spans="1:9">
      <c r="A1882" s="13">
        <v>45379</v>
      </c>
      <c r="B1882" s="91">
        <f t="shared" si="31"/>
        <v>2024</v>
      </c>
      <c r="C1882" s="15" t="s">
        <v>104</v>
      </c>
      <c r="D1882" s="15" t="s">
        <v>2148</v>
      </c>
      <c r="E1882" s="15" t="s">
        <v>2151</v>
      </c>
      <c r="F1882" s="15" t="s">
        <v>2124</v>
      </c>
      <c r="G1882" s="15" t="s">
        <v>2125</v>
      </c>
      <c r="H1882" s="15">
        <v>5006</v>
      </c>
      <c r="I1882" s="15">
        <v>741.86</v>
      </c>
    </row>
    <row r="1883" spans="1:9">
      <c r="A1883" s="13">
        <v>45594</v>
      </c>
      <c r="B1883" s="91">
        <f t="shared" si="31"/>
        <v>2024</v>
      </c>
      <c r="C1883" s="15" t="s">
        <v>2113</v>
      </c>
      <c r="D1883" s="15" t="s">
        <v>2131</v>
      </c>
      <c r="E1883" s="15" t="s">
        <v>2144</v>
      </c>
      <c r="F1883" s="15" t="s">
        <v>2124</v>
      </c>
      <c r="G1883" s="15" t="s">
        <v>2140</v>
      </c>
      <c r="H1883" s="15">
        <v>3482</v>
      </c>
      <c r="I1883" s="15">
        <v>843.92</v>
      </c>
    </row>
    <row r="1884" spans="1:9">
      <c r="A1884" s="13">
        <v>44867</v>
      </c>
      <c r="B1884" s="91">
        <f t="shared" si="31"/>
        <v>2022</v>
      </c>
      <c r="C1884" s="15" t="s">
        <v>2113</v>
      </c>
      <c r="D1884" s="15" t="s">
        <v>2118</v>
      </c>
      <c r="E1884" s="15" t="s">
        <v>2129</v>
      </c>
      <c r="F1884" s="15" t="s">
        <v>2124</v>
      </c>
      <c r="G1884" s="15" t="s">
        <v>2140</v>
      </c>
      <c r="H1884" s="15">
        <v>5718</v>
      </c>
      <c r="I1884" s="15">
        <v>1405</v>
      </c>
    </row>
    <row r="1885" spans="1:9">
      <c r="A1885" s="13">
        <v>45526</v>
      </c>
      <c r="B1885" s="91">
        <f t="shared" si="31"/>
        <v>2024</v>
      </c>
      <c r="C1885" s="15" t="s">
        <v>2113</v>
      </c>
      <c r="D1885" s="15" t="s">
        <v>2135</v>
      </c>
      <c r="E1885" s="15" t="s">
        <v>2129</v>
      </c>
      <c r="F1885" s="15" t="s">
        <v>2116</v>
      </c>
      <c r="G1885" s="15" t="s">
        <v>2117</v>
      </c>
      <c r="H1885" s="15">
        <v>3520</v>
      </c>
      <c r="I1885" s="15">
        <v>638.03</v>
      </c>
    </row>
    <row r="1886" spans="1:9">
      <c r="A1886" s="13">
        <v>45461</v>
      </c>
      <c r="B1886" s="91">
        <f t="shared" si="31"/>
        <v>2024</v>
      </c>
      <c r="C1886" s="15" t="s">
        <v>2113</v>
      </c>
      <c r="D1886" s="15" t="s">
        <v>2128</v>
      </c>
      <c r="E1886" s="15" t="s">
        <v>2115</v>
      </c>
      <c r="F1886" s="15" t="s">
        <v>2116</v>
      </c>
      <c r="G1886" s="15" t="s">
        <v>2154</v>
      </c>
      <c r="H1886" s="15">
        <v>1352</v>
      </c>
      <c r="I1886" s="15">
        <v>225.15</v>
      </c>
    </row>
    <row r="1887" spans="1:9">
      <c r="A1887" s="13">
        <v>44904</v>
      </c>
      <c r="B1887" s="91">
        <f t="shared" si="31"/>
        <v>2022</v>
      </c>
      <c r="C1887" s="15" t="s">
        <v>2113</v>
      </c>
      <c r="D1887" s="15" t="s">
        <v>2153</v>
      </c>
      <c r="E1887" s="15" t="s">
        <v>2145</v>
      </c>
      <c r="F1887" s="15" t="s">
        <v>2120</v>
      </c>
      <c r="G1887" s="15" t="s">
        <v>2132</v>
      </c>
      <c r="H1887" s="15">
        <v>4898</v>
      </c>
      <c r="I1887" s="15">
        <v>1448.15</v>
      </c>
    </row>
    <row r="1888" spans="1:9">
      <c r="A1888" s="13">
        <v>44993</v>
      </c>
      <c r="B1888" s="91">
        <f t="shared" si="31"/>
        <v>2023</v>
      </c>
      <c r="C1888" s="15" t="s">
        <v>107</v>
      </c>
      <c r="D1888" s="15" t="s">
        <v>2118</v>
      </c>
      <c r="E1888" s="15" t="s">
        <v>2151</v>
      </c>
      <c r="F1888" s="15" t="s">
        <v>2124</v>
      </c>
      <c r="G1888" s="15" t="s">
        <v>2140</v>
      </c>
      <c r="H1888" s="15">
        <v>6451</v>
      </c>
      <c r="I1888" s="15">
        <v>1203.19</v>
      </c>
    </row>
    <row r="1889" spans="1:9">
      <c r="A1889" s="13">
        <v>45147</v>
      </c>
      <c r="B1889" s="91">
        <f t="shared" si="31"/>
        <v>2023</v>
      </c>
      <c r="C1889" s="15" t="s">
        <v>2141</v>
      </c>
      <c r="D1889" s="15" t="s">
        <v>2126</v>
      </c>
      <c r="E1889" s="15" t="s">
        <v>2115</v>
      </c>
      <c r="F1889" s="15" t="s">
        <v>2116</v>
      </c>
      <c r="G1889" s="15" t="s">
        <v>2127</v>
      </c>
      <c r="H1889" s="15">
        <v>3233</v>
      </c>
      <c r="I1889" s="15">
        <v>393.18</v>
      </c>
    </row>
    <row r="1890" spans="1:9">
      <c r="A1890" s="13">
        <v>44683</v>
      </c>
      <c r="B1890" s="91">
        <f t="shared" si="31"/>
        <v>2022</v>
      </c>
      <c r="C1890" s="15" t="s">
        <v>104</v>
      </c>
      <c r="D1890" s="15" t="s">
        <v>2142</v>
      </c>
      <c r="E1890" s="15" t="s">
        <v>2145</v>
      </c>
      <c r="F1890" s="15" t="s">
        <v>2138</v>
      </c>
      <c r="G1890" s="15" t="s">
        <v>2149</v>
      </c>
      <c r="H1890" s="15">
        <v>1834</v>
      </c>
      <c r="I1890" s="15">
        <v>366.02</v>
      </c>
    </row>
    <row r="1891" spans="1:9">
      <c r="A1891" s="13">
        <v>45326</v>
      </c>
      <c r="B1891" s="91">
        <f t="shared" si="31"/>
        <v>2024</v>
      </c>
      <c r="C1891" s="15" t="s">
        <v>2113</v>
      </c>
      <c r="D1891" s="15" t="s">
        <v>2148</v>
      </c>
      <c r="E1891" s="15" t="s">
        <v>2119</v>
      </c>
      <c r="F1891" s="15" t="s">
        <v>2124</v>
      </c>
      <c r="G1891" s="15" t="s">
        <v>2140</v>
      </c>
      <c r="H1891" s="15">
        <v>5005</v>
      </c>
      <c r="I1891" s="15">
        <v>1475.37</v>
      </c>
    </row>
    <row r="1892" spans="1:9">
      <c r="A1892" s="13">
        <v>45494</v>
      </c>
      <c r="B1892" s="91">
        <f t="shared" si="31"/>
        <v>2024</v>
      </c>
      <c r="C1892" s="15" t="s">
        <v>2113</v>
      </c>
      <c r="D1892" s="15" t="s">
        <v>2114</v>
      </c>
      <c r="E1892" s="15" t="s">
        <v>2119</v>
      </c>
      <c r="F1892" s="15" t="s">
        <v>2116</v>
      </c>
      <c r="G1892" s="15" t="s">
        <v>2127</v>
      </c>
      <c r="H1892" s="15">
        <v>7702</v>
      </c>
      <c r="I1892" s="15">
        <v>1676.07</v>
      </c>
    </row>
    <row r="1893" spans="1:9">
      <c r="A1893" s="13">
        <v>45037</v>
      </c>
      <c r="B1893" s="91">
        <f t="shared" si="31"/>
        <v>2023</v>
      </c>
      <c r="C1893" s="15" t="s">
        <v>2141</v>
      </c>
      <c r="D1893" s="15" t="s">
        <v>2118</v>
      </c>
      <c r="E1893" s="15" t="s">
        <v>2129</v>
      </c>
      <c r="F1893" s="15" t="s">
        <v>2124</v>
      </c>
      <c r="G1893" s="15" t="s">
        <v>2140</v>
      </c>
      <c r="H1893" s="15">
        <v>9248</v>
      </c>
      <c r="I1893" s="15">
        <v>2303.7600000000002</v>
      </c>
    </row>
    <row r="1894" spans="1:9">
      <c r="A1894" s="13">
        <v>44957</v>
      </c>
      <c r="B1894" s="91">
        <f t="shared" si="31"/>
        <v>2023</v>
      </c>
      <c r="C1894" s="15" t="s">
        <v>104</v>
      </c>
      <c r="D1894" s="15" t="s">
        <v>2118</v>
      </c>
      <c r="E1894" s="15" t="s">
        <v>2136</v>
      </c>
      <c r="F1894" s="15" t="s">
        <v>2120</v>
      </c>
      <c r="G1894" s="15" t="s">
        <v>2121</v>
      </c>
      <c r="H1894" s="15">
        <v>2268</v>
      </c>
      <c r="I1894" s="15">
        <v>295.95999999999998</v>
      </c>
    </row>
    <row r="1895" spans="1:9">
      <c r="A1895" s="13">
        <v>44933</v>
      </c>
      <c r="B1895" s="91">
        <f t="shared" si="31"/>
        <v>2023</v>
      </c>
      <c r="C1895" s="15" t="s">
        <v>104</v>
      </c>
      <c r="D1895" s="15" t="s">
        <v>2142</v>
      </c>
      <c r="E1895" s="15" t="s">
        <v>2145</v>
      </c>
      <c r="F1895" s="15" t="s">
        <v>2120</v>
      </c>
      <c r="G1895" s="15" t="s">
        <v>2133</v>
      </c>
      <c r="H1895" s="15">
        <v>7719</v>
      </c>
      <c r="I1895" s="15">
        <v>1825.23</v>
      </c>
    </row>
    <row r="1896" spans="1:9">
      <c r="A1896" s="13">
        <v>45410</v>
      </c>
      <c r="B1896" s="91">
        <f t="shared" si="31"/>
        <v>2024</v>
      </c>
      <c r="C1896" s="15" t="s">
        <v>2141</v>
      </c>
      <c r="D1896" s="15" t="s">
        <v>2126</v>
      </c>
      <c r="E1896" s="15" t="s">
        <v>2144</v>
      </c>
      <c r="F1896" s="15" t="s">
        <v>2124</v>
      </c>
      <c r="G1896" s="15" t="s">
        <v>2125</v>
      </c>
      <c r="H1896" s="15">
        <v>5485</v>
      </c>
      <c r="I1896" s="15">
        <v>1267.28</v>
      </c>
    </row>
    <row r="1897" spans="1:9">
      <c r="A1897" s="13">
        <v>45609</v>
      </c>
      <c r="B1897" s="91">
        <f t="shared" si="31"/>
        <v>2024</v>
      </c>
      <c r="C1897" s="15" t="s">
        <v>104</v>
      </c>
      <c r="D1897" s="15" t="s">
        <v>2135</v>
      </c>
      <c r="E1897" s="15" t="s">
        <v>2115</v>
      </c>
      <c r="F1897" s="15" t="s">
        <v>2120</v>
      </c>
      <c r="G1897" s="15" t="s">
        <v>2132</v>
      </c>
      <c r="H1897" s="15">
        <v>3607</v>
      </c>
      <c r="I1897" s="15">
        <v>977.19</v>
      </c>
    </row>
    <row r="1898" spans="1:9">
      <c r="A1898" s="13">
        <v>45010</v>
      </c>
      <c r="B1898" s="91">
        <f t="shared" si="31"/>
        <v>2023</v>
      </c>
      <c r="C1898" s="15" t="s">
        <v>2141</v>
      </c>
      <c r="D1898" s="15" t="s">
        <v>2153</v>
      </c>
      <c r="E1898" s="15" t="s">
        <v>2134</v>
      </c>
      <c r="F1898" s="15" t="s">
        <v>2116</v>
      </c>
      <c r="G1898" s="15" t="s">
        <v>2154</v>
      </c>
      <c r="H1898" s="15">
        <v>2465</v>
      </c>
      <c r="I1898" s="15">
        <v>304.93</v>
      </c>
    </row>
    <row r="1899" spans="1:9">
      <c r="A1899" s="13">
        <v>44570</v>
      </c>
      <c r="B1899" s="91">
        <f t="shared" si="31"/>
        <v>2022</v>
      </c>
      <c r="C1899" s="15" t="s">
        <v>2141</v>
      </c>
      <c r="D1899" s="15" t="s">
        <v>2152</v>
      </c>
      <c r="E1899" s="15" t="s">
        <v>2129</v>
      </c>
      <c r="F1899" s="15" t="s">
        <v>2120</v>
      </c>
      <c r="G1899" s="15" t="s">
        <v>2121</v>
      </c>
      <c r="H1899" s="15">
        <v>1984</v>
      </c>
      <c r="I1899" s="15">
        <v>253.87</v>
      </c>
    </row>
    <row r="1900" spans="1:9">
      <c r="A1900" s="13">
        <v>45011</v>
      </c>
      <c r="B1900" s="91">
        <f t="shared" si="31"/>
        <v>2023</v>
      </c>
      <c r="C1900" s="15" t="s">
        <v>2113</v>
      </c>
      <c r="D1900" s="15" t="s">
        <v>2118</v>
      </c>
      <c r="E1900" s="15" t="s">
        <v>2144</v>
      </c>
      <c r="F1900" s="15" t="s">
        <v>2138</v>
      </c>
      <c r="G1900" s="15" t="s">
        <v>2146</v>
      </c>
      <c r="H1900" s="15">
        <v>9304</v>
      </c>
      <c r="I1900" s="15">
        <v>2238.0300000000002</v>
      </c>
    </row>
    <row r="1901" spans="1:9">
      <c r="A1901" s="13">
        <v>45311</v>
      </c>
      <c r="B1901" s="91">
        <f t="shared" si="31"/>
        <v>2024</v>
      </c>
      <c r="C1901" s="15" t="s">
        <v>107</v>
      </c>
      <c r="D1901" s="15" t="s">
        <v>2142</v>
      </c>
      <c r="E1901" s="15" t="s">
        <v>2129</v>
      </c>
      <c r="F1901" s="15" t="s">
        <v>2124</v>
      </c>
      <c r="G1901" s="15" t="s">
        <v>2130</v>
      </c>
      <c r="H1901" s="15">
        <v>7638</v>
      </c>
      <c r="I1901" s="15">
        <v>1039.99</v>
      </c>
    </row>
    <row r="1902" spans="1:9">
      <c r="A1902" s="13">
        <v>45451</v>
      </c>
      <c r="B1902" s="91">
        <f t="shared" si="31"/>
        <v>2024</v>
      </c>
      <c r="C1902" s="15" t="s">
        <v>107</v>
      </c>
      <c r="D1902" s="15" t="s">
        <v>2126</v>
      </c>
      <c r="E1902" s="15" t="s">
        <v>2136</v>
      </c>
      <c r="F1902" s="15" t="s">
        <v>2124</v>
      </c>
      <c r="G1902" s="15" t="s">
        <v>2140</v>
      </c>
      <c r="H1902" s="15">
        <v>7660</v>
      </c>
      <c r="I1902" s="15">
        <v>1344.19</v>
      </c>
    </row>
    <row r="1903" spans="1:9">
      <c r="A1903" s="13">
        <v>45009</v>
      </c>
      <c r="B1903" s="91">
        <f t="shared" si="31"/>
        <v>2023</v>
      </c>
      <c r="C1903" s="15" t="s">
        <v>107</v>
      </c>
      <c r="D1903" s="15" t="s">
        <v>2153</v>
      </c>
      <c r="E1903" s="15" t="s">
        <v>2143</v>
      </c>
      <c r="F1903" s="15" t="s">
        <v>2124</v>
      </c>
      <c r="G1903" s="15" t="s">
        <v>2125</v>
      </c>
      <c r="H1903" s="15">
        <v>4858</v>
      </c>
      <c r="I1903" s="15">
        <v>1059.8599999999999</v>
      </c>
    </row>
    <row r="1904" spans="1:9">
      <c r="A1904" s="13">
        <v>44781</v>
      </c>
      <c r="B1904" s="91">
        <f t="shared" si="31"/>
        <v>2022</v>
      </c>
      <c r="C1904" s="15" t="s">
        <v>104</v>
      </c>
      <c r="D1904" s="15" t="s">
        <v>2152</v>
      </c>
      <c r="E1904" s="15" t="s">
        <v>2123</v>
      </c>
      <c r="F1904" s="15" t="s">
        <v>2138</v>
      </c>
      <c r="G1904" s="15" t="s">
        <v>2146</v>
      </c>
      <c r="H1904" s="15">
        <v>9282</v>
      </c>
      <c r="I1904" s="15">
        <v>1917.21</v>
      </c>
    </row>
    <row r="1905" spans="1:9">
      <c r="A1905" s="13">
        <v>45459</v>
      </c>
      <c r="B1905" s="91">
        <f t="shared" si="31"/>
        <v>2024</v>
      </c>
      <c r="C1905" s="15" t="s">
        <v>2113</v>
      </c>
      <c r="D1905" s="15" t="s">
        <v>2135</v>
      </c>
      <c r="E1905" s="15" t="s">
        <v>2145</v>
      </c>
      <c r="F1905" s="15" t="s">
        <v>2116</v>
      </c>
      <c r="G1905" s="15" t="s">
        <v>2117</v>
      </c>
      <c r="H1905" s="15">
        <v>2874</v>
      </c>
      <c r="I1905" s="15">
        <v>354.84</v>
      </c>
    </row>
    <row r="1906" spans="1:9">
      <c r="A1906" s="13">
        <v>45316</v>
      </c>
      <c r="B1906" s="91">
        <f t="shared" si="31"/>
        <v>2024</v>
      </c>
      <c r="C1906" s="15" t="s">
        <v>107</v>
      </c>
      <c r="D1906" s="15" t="s">
        <v>2131</v>
      </c>
      <c r="E1906" s="15" t="s">
        <v>2151</v>
      </c>
      <c r="F1906" s="15" t="s">
        <v>2124</v>
      </c>
      <c r="G1906" s="15" t="s">
        <v>2130</v>
      </c>
      <c r="H1906" s="15">
        <v>9358</v>
      </c>
      <c r="I1906" s="15">
        <v>1549.07</v>
      </c>
    </row>
    <row r="1907" spans="1:9">
      <c r="A1907" s="13">
        <v>44880</v>
      </c>
      <c r="B1907" s="91">
        <f t="shared" si="31"/>
        <v>2022</v>
      </c>
      <c r="C1907" s="15" t="s">
        <v>2113</v>
      </c>
      <c r="D1907" s="15" t="s">
        <v>2128</v>
      </c>
      <c r="E1907" s="15" t="s">
        <v>2119</v>
      </c>
      <c r="F1907" s="15" t="s">
        <v>2116</v>
      </c>
      <c r="G1907" s="15" t="s">
        <v>2154</v>
      </c>
      <c r="H1907" s="15">
        <v>5924</v>
      </c>
      <c r="I1907" s="15">
        <v>1440.03</v>
      </c>
    </row>
    <row r="1908" spans="1:9">
      <c r="A1908" s="13">
        <v>44775</v>
      </c>
      <c r="B1908" s="91">
        <f t="shared" si="31"/>
        <v>2022</v>
      </c>
      <c r="C1908" s="15" t="s">
        <v>107</v>
      </c>
      <c r="D1908" s="15" t="s">
        <v>2142</v>
      </c>
      <c r="E1908" s="15" t="s">
        <v>2136</v>
      </c>
      <c r="F1908" s="15" t="s">
        <v>2116</v>
      </c>
      <c r="G1908" s="15" t="s">
        <v>2127</v>
      </c>
      <c r="H1908" s="15">
        <v>8389</v>
      </c>
      <c r="I1908" s="15">
        <v>1139.6600000000001</v>
      </c>
    </row>
    <row r="1909" spans="1:9">
      <c r="A1909" s="13">
        <v>45113</v>
      </c>
      <c r="B1909" s="91">
        <f t="shared" si="31"/>
        <v>2023</v>
      </c>
      <c r="C1909" s="15" t="s">
        <v>104</v>
      </c>
      <c r="D1909" s="15" t="s">
        <v>2135</v>
      </c>
      <c r="E1909" s="15" t="s">
        <v>2136</v>
      </c>
      <c r="F1909" s="15" t="s">
        <v>2116</v>
      </c>
      <c r="G1909" s="15" t="s">
        <v>2127</v>
      </c>
      <c r="H1909" s="15">
        <v>1314</v>
      </c>
      <c r="I1909" s="15">
        <v>311.5</v>
      </c>
    </row>
    <row r="1910" spans="1:9">
      <c r="A1910" s="13">
        <v>44655</v>
      </c>
      <c r="B1910" s="91">
        <f t="shared" si="31"/>
        <v>2022</v>
      </c>
      <c r="C1910" s="15" t="s">
        <v>2141</v>
      </c>
      <c r="D1910" s="15" t="s">
        <v>2128</v>
      </c>
      <c r="E1910" s="15" t="s">
        <v>2136</v>
      </c>
      <c r="F1910" s="15" t="s">
        <v>2138</v>
      </c>
      <c r="G1910" s="15" t="s">
        <v>2146</v>
      </c>
      <c r="H1910" s="15">
        <v>4363</v>
      </c>
      <c r="I1910" s="15">
        <v>934.4</v>
      </c>
    </row>
    <row r="1911" spans="1:9">
      <c r="A1911" s="13">
        <v>45018</v>
      </c>
      <c r="B1911" s="91">
        <f t="shared" si="31"/>
        <v>2023</v>
      </c>
      <c r="C1911" s="15" t="s">
        <v>107</v>
      </c>
      <c r="D1911" s="15" t="s">
        <v>2152</v>
      </c>
      <c r="E1911" s="15" t="s">
        <v>2134</v>
      </c>
      <c r="F1911" s="15" t="s">
        <v>2124</v>
      </c>
      <c r="G1911" s="15" t="s">
        <v>2140</v>
      </c>
      <c r="H1911" s="15">
        <v>5507</v>
      </c>
      <c r="I1911" s="15">
        <v>1138.8800000000001</v>
      </c>
    </row>
    <row r="1912" spans="1:9">
      <c r="A1912" s="13">
        <v>44955</v>
      </c>
      <c r="B1912" s="91">
        <f t="shared" si="31"/>
        <v>2023</v>
      </c>
      <c r="C1912" s="15" t="s">
        <v>2141</v>
      </c>
      <c r="D1912" s="15" t="s">
        <v>2114</v>
      </c>
      <c r="E1912" s="15" t="s">
        <v>2136</v>
      </c>
      <c r="F1912" s="15" t="s">
        <v>2124</v>
      </c>
      <c r="G1912" s="15" t="s">
        <v>2140</v>
      </c>
      <c r="H1912" s="15">
        <v>6944</v>
      </c>
      <c r="I1912" s="15">
        <v>903.06</v>
      </c>
    </row>
    <row r="1913" spans="1:9">
      <c r="A1913" s="13">
        <v>45593</v>
      </c>
      <c r="B1913" s="91">
        <f t="shared" si="31"/>
        <v>2024</v>
      </c>
      <c r="C1913" s="15" t="s">
        <v>107</v>
      </c>
      <c r="D1913" s="15" t="s">
        <v>2128</v>
      </c>
      <c r="E1913" s="15" t="s">
        <v>2145</v>
      </c>
      <c r="F1913" s="15" t="s">
        <v>2116</v>
      </c>
      <c r="G1913" s="15" t="s">
        <v>2127</v>
      </c>
      <c r="H1913" s="15">
        <v>7850</v>
      </c>
      <c r="I1913" s="15">
        <v>1477.05</v>
      </c>
    </row>
    <row r="1914" spans="1:9">
      <c r="A1914" s="13">
        <v>44834</v>
      </c>
      <c r="B1914" s="91">
        <f t="shared" si="31"/>
        <v>2022</v>
      </c>
      <c r="C1914" s="15" t="s">
        <v>104</v>
      </c>
      <c r="D1914" s="15" t="s">
        <v>2152</v>
      </c>
      <c r="E1914" s="15" t="s">
        <v>2145</v>
      </c>
      <c r="F1914" s="15" t="s">
        <v>2120</v>
      </c>
      <c r="G1914" s="15" t="s">
        <v>2121</v>
      </c>
      <c r="H1914" s="15">
        <v>8597</v>
      </c>
      <c r="I1914" s="15">
        <v>1418.85</v>
      </c>
    </row>
    <row r="1915" spans="1:9">
      <c r="A1915" s="13">
        <v>44867</v>
      </c>
      <c r="B1915" s="91">
        <f t="shared" si="31"/>
        <v>2022</v>
      </c>
      <c r="C1915" s="15" t="s">
        <v>2113</v>
      </c>
      <c r="D1915" s="15" t="s">
        <v>2114</v>
      </c>
      <c r="E1915" s="15" t="s">
        <v>2143</v>
      </c>
      <c r="F1915" s="15" t="s">
        <v>2124</v>
      </c>
      <c r="G1915" s="15" t="s">
        <v>2130</v>
      </c>
      <c r="H1915" s="15">
        <v>2556</v>
      </c>
      <c r="I1915" s="15">
        <v>676.73</v>
      </c>
    </row>
    <row r="1916" spans="1:9">
      <c r="A1916" s="13">
        <v>44907</v>
      </c>
      <c r="B1916" s="91">
        <f t="shared" si="31"/>
        <v>2022</v>
      </c>
      <c r="C1916" s="15" t="s">
        <v>104</v>
      </c>
      <c r="D1916" s="15" t="s">
        <v>2135</v>
      </c>
      <c r="E1916" s="15" t="s">
        <v>2119</v>
      </c>
      <c r="F1916" s="15" t="s">
        <v>2116</v>
      </c>
      <c r="G1916" s="15" t="s">
        <v>2154</v>
      </c>
      <c r="H1916" s="15">
        <v>8085</v>
      </c>
      <c r="I1916" s="15">
        <v>2068.3000000000002</v>
      </c>
    </row>
    <row r="1917" spans="1:9">
      <c r="A1917" s="13">
        <v>45022</v>
      </c>
      <c r="B1917" s="91">
        <f t="shared" si="31"/>
        <v>2023</v>
      </c>
      <c r="C1917" s="15" t="s">
        <v>2113</v>
      </c>
      <c r="D1917" s="15" t="s">
        <v>2152</v>
      </c>
      <c r="E1917" s="15" t="s">
        <v>2143</v>
      </c>
      <c r="F1917" s="15" t="s">
        <v>2116</v>
      </c>
      <c r="G1917" s="15" t="s">
        <v>2117</v>
      </c>
      <c r="H1917" s="15">
        <v>4676</v>
      </c>
      <c r="I1917" s="15">
        <v>761.71</v>
      </c>
    </row>
    <row r="1918" spans="1:9">
      <c r="A1918" s="13">
        <v>44823</v>
      </c>
      <c r="B1918" s="91">
        <f t="shared" si="31"/>
        <v>2022</v>
      </c>
      <c r="C1918" s="15" t="s">
        <v>104</v>
      </c>
      <c r="D1918" s="15" t="s">
        <v>2153</v>
      </c>
      <c r="E1918" s="15" t="s">
        <v>2136</v>
      </c>
      <c r="F1918" s="15" t="s">
        <v>2124</v>
      </c>
      <c r="G1918" s="15" t="s">
        <v>2130</v>
      </c>
      <c r="H1918" s="15">
        <v>6242</v>
      </c>
      <c r="I1918" s="15">
        <v>1196.1500000000001</v>
      </c>
    </row>
    <row r="1919" spans="1:9">
      <c r="A1919" s="13">
        <v>44746</v>
      </c>
      <c r="B1919" s="91">
        <f t="shared" si="31"/>
        <v>2022</v>
      </c>
      <c r="C1919" s="15" t="s">
        <v>2113</v>
      </c>
      <c r="D1919" s="15" t="s">
        <v>2126</v>
      </c>
      <c r="E1919" s="15" t="s">
        <v>2123</v>
      </c>
      <c r="F1919" s="15" t="s">
        <v>2124</v>
      </c>
      <c r="G1919" s="15" t="s">
        <v>2130</v>
      </c>
      <c r="H1919" s="15">
        <v>2896</v>
      </c>
      <c r="I1919" s="15">
        <v>484.17</v>
      </c>
    </row>
    <row r="1920" spans="1:9">
      <c r="A1920" s="13">
        <v>45117</v>
      </c>
      <c r="B1920" s="91">
        <f t="shared" si="31"/>
        <v>2023</v>
      </c>
      <c r="C1920" s="15" t="s">
        <v>104</v>
      </c>
      <c r="D1920" s="15" t="s">
        <v>2148</v>
      </c>
      <c r="E1920" s="15" t="s">
        <v>2119</v>
      </c>
      <c r="F1920" s="15" t="s">
        <v>2116</v>
      </c>
      <c r="G1920" s="15" t="s">
        <v>2127</v>
      </c>
      <c r="H1920" s="15">
        <v>2071</v>
      </c>
      <c r="I1920" s="15">
        <v>524.88</v>
      </c>
    </row>
    <row r="1921" spans="1:9">
      <c r="A1921" s="13">
        <v>44906</v>
      </c>
      <c r="B1921" s="91">
        <f t="shared" si="31"/>
        <v>2022</v>
      </c>
      <c r="C1921" s="15" t="s">
        <v>2141</v>
      </c>
      <c r="D1921" s="15" t="s">
        <v>2153</v>
      </c>
      <c r="E1921" s="15" t="s">
        <v>2129</v>
      </c>
      <c r="F1921" s="15" t="s">
        <v>2138</v>
      </c>
      <c r="G1921" s="15" t="s">
        <v>2149</v>
      </c>
      <c r="H1921" s="15">
        <v>7550</v>
      </c>
      <c r="I1921" s="15">
        <v>1271.92</v>
      </c>
    </row>
    <row r="1922" spans="1:9">
      <c r="A1922" s="13">
        <v>44982</v>
      </c>
      <c r="B1922" s="91">
        <f t="shared" si="31"/>
        <v>2023</v>
      </c>
      <c r="C1922" s="15" t="s">
        <v>104</v>
      </c>
      <c r="D1922" s="15" t="s">
        <v>2142</v>
      </c>
      <c r="E1922" s="15" t="s">
        <v>2151</v>
      </c>
      <c r="F1922" s="15" t="s">
        <v>2116</v>
      </c>
      <c r="G1922" s="15" t="s">
        <v>2154</v>
      </c>
      <c r="H1922" s="15">
        <v>5565</v>
      </c>
      <c r="I1922" s="15">
        <v>737.76</v>
      </c>
    </row>
    <row r="1923" spans="1:9">
      <c r="A1923" s="13">
        <v>45221</v>
      </c>
      <c r="B1923" s="91">
        <f t="shared" ref="B1923:B1986" si="32">YEAR(A1923)</f>
        <v>2023</v>
      </c>
      <c r="C1923" s="15" t="s">
        <v>2141</v>
      </c>
      <c r="D1923" s="15" t="s">
        <v>2152</v>
      </c>
      <c r="E1923" s="15" t="s">
        <v>2136</v>
      </c>
      <c r="F1923" s="15" t="s">
        <v>2138</v>
      </c>
      <c r="G1923" s="15" t="s">
        <v>2139</v>
      </c>
      <c r="H1923" s="15">
        <v>6576</v>
      </c>
      <c r="I1923" s="15">
        <v>916.64</v>
      </c>
    </row>
    <row r="1924" spans="1:9">
      <c r="A1924" s="13">
        <v>45260</v>
      </c>
      <c r="B1924" s="91">
        <f t="shared" si="32"/>
        <v>2023</v>
      </c>
      <c r="C1924" s="15" t="s">
        <v>104</v>
      </c>
      <c r="D1924" s="15" t="s">
        <v>2126</v>
      </c>
      <c r="E1924" s="15" t="s">
        <v>2151</v>
      </c>
      <c r="F1924" s="15" t="s">
        <v>2124</v>
      </c>
      <c r="G1924" s="15" t="s">
        <v>2125</v>
      </c>
      <c r="H1924" s="15">
        <v>1747</v>
      </c>
      <c r="I1924" s="15">
        <v>222.64</v>
      </c>
    </row>
    <row r="1925" spans="1:9">
      <c r="A1925" s="13">
        <v>45596</v>
      </c>
      <c r="B1925" s="91">
        <f t="shared" si="32"/>
        <v>2024</v>
      </c>
      <c r="C1925" s="15" t="s">
        <v>107</v>
      </c>
      <c r="D1925" s="15" t="s">
        <v>2131</v>
      </c>
      <c r="E1925" s="15" t="s">
        <v>2136</v>
      </c>
      <c r="F1925" s="15" t="s">
        <v>2138</v>
      </c>
      <c r="G1925" s="15" t="s">
        <v>2149</v>
      </c>
      <c r="H1925" s="15">
        <v>4653</v>
      </c>
      <c r="I1925" s="15">
        <v>1032.98</v>
      </c>
    </row>
    <row r="1926" spans="1:9">
      <c r="A1926" s="13">
        <v>44929</v>
      </c>
      <c r="B1926" s="91">
        <f t="shared" si="32"/>
        <v>2023</v>
      </c>
      <c r="C1926" s="15" t="s">
        <v>2113</v>
      </c>
      <c r="D1926" s="15" t="s">
        <v>2152</v>
      </c>
      <c r="E1926" s="15" t="s">
        <v>2123</v>
      </c>
      <c r="F1926" s="15" t="s">
        <v>2138</v>
      </c>
      <c r="G1926" s="15" t="s">
        <v>2149</v>
      </c>
      <c r="H1926" s="15">
        <v>1467</v>
      </c>
      <c r="I1926" s="15">
        <v>312.20999999999998</v>
      </c>
    </row>
    <row r="1927" spans="1:9">
      <c r="A1927" s="13">
        <v>45106</v>
      </c>
      <c r="B1927" s="91">
        <f t="shared" si="32"/>
        <v>2023</v>
      </c>
      <c r="C1927" s="15" t="s">
        <v>2141</v>
      </c>
      <c r="D1927" s="15" t="s">
        <v>2131</v>
      </c>
      <c r="E1927" s="15" t="s">
        <v>2143</v>
      </c>
      <c r="F1927" s="15" t="s">
        <v>2120</v>
      </c>
      <c r="G1927" s="15" t="s">
        <v>2121</v>
      </c>
      <c r="H1927" s="15">
        <v>7928</v>
      </c>
      <c r="I1927" s="15">
        <v>2071.88</v>
      </c>
    </row>
    <row r="1928" spans="1:9">
      <c r="A1928" s="13">
        <v>44786</v>
      </c>
      <c r="B1928" s="91">
        <f t="shared" si="32"/>
        <v>2022</v>
      </c>
      <c r="C1928" s="15" t="s">
        <v>107</v>
      </c>
      <c r="D1928" s="15" t="s">
        <v>2142</v>
      </c>
      <c r="E1928" s="15" t="s">
        <v>2151</v>
      </c>
      <c r="F1928" s="15" t="s">
        <v>2116</v>
      </c>
      <c r="G1928" s="15" t="s">
        <v>2127</v>
      </c>
      <c r="H1928" s="15">
        <v>5164</v>
      </c>
      <c r="I1928" s="15">
        <v>1242.47</v>
      </c>
    </row>
    <row r="1929" spans="1:9">
      <c r="A1929" s="13">
        <v>45073</v>
      </c>
      <c r="B1929" s="91">
        <f t="shared" si="32"/>
        <v>2023</v>
      </c>
      <c r="C1929" s="15" t="s">
        <v>107</v>
      </c>
      <c r="D1929" s="15" t="s">
        <v>2148</v>
      </c>
      <c r="E1929" s="15" t="s">
        <v>2115</v>
      </c>
      <c r="F1929" s="15" t="s">
        <v>2116</v>
      </c>
      <c r="G1929" s="15" t="s">
        <v>2154</v>
      </c>
      <c r="H1929" s="15">
        <v>4305</v>
      </c>
      <c r="I1929" s="15">
        <v>1232.06</v>
      </c>
    </row>
    <row r="1930" spans="1:9">
      <c r="A1930" s="13">
        <v>45552</v>
      </c>
      <c r="B1930" s="91">
        <f t="shared" si="32"/>
        <v>2024</v>
      </c>
      <c r="C1930" s="15" t="s">
        <v>2141</v>
      </c>
      <c r="D1930" s="15" t="s">
        <v>2114</v>
      </c>
      <c r="E1930" s="15" t="s">
        <v>2151</v>
      </c>
      <c r="F1930" s="15" t="s">
        <v>2124</v>
      </c>
      <c r="G1930" s="15" t="s">
        <v>2125</v>
      </c>
      <c r="H1930" s="15">
        <v>7256</v>
      </c>
      <c r="I1930" s="15">
        <v>1845.32</v>
      </c>
    </row>
    <row r="1931" spans="1:9">
      <c r="A1931" s="13">
        <v>45584</v>
      </c>
      <c r="B1931" s="91">
        <f t="shared" si="32"/>
        <v>2024</v>
      </c>
      <c r="C1931" s="15" t="s">
        <v>104</v>
      </c>
      <c r="D1931" s="15" t="s">
        <v>2153</v>
      </c>
      <c r="E1931" s="15" t="s">
        <v>2119</v>
      </c>
      <c r="F1931" s="15" t="s">
        <v>2120</v>
      </c>
      <c r="G1931" s="15" t="s">
        <v>2133</v>
      </c>
      <c r="H1931" s="15">
        <v>2184</v>
      </c>
      <c r="I1931" s="15">
        <v>647.92999999999995</v>
      </c>
    </row>
    <row r="1932" spans="1:9">
      <c r="A1932" s="13">
        <v>45571</v>
      </c>
      <c r="B1932" s="91">
        <f t="shared" si="32"/>
        <v>2024</v>
      </c>
      <c r="C1932" s="15" t="s">
        <v>104</v>
      </c>
      <c r="D1932" s="15" t="s">
        <v>2118</v>
      </c>
      <c r="E1932" s="15" t="s">
        <v>2134</v>
      </c>
      <c r="F1932" s="15" t="s">
        <v>2138</v>
      </c>
      <c r="G1932" s="15" t="s">
        <v>2149</v>
      </c>
      <c r="H1932" s="15">
        <v>2569</v>
      </c>
      <c r="I1932" s="15">
        <v>683.93</v>
      </c>
    </row>
    <row r="1933" spans="1:9">
      <c r="A1933" s="13">
        <v>44654</v>
      </c>
      <c r="B1933" s="91">
        <f t="shared" si="32"/>
        <v>2022</v>
      </c>
      <c r="C1933" s="15" t="s">
        <v>107</v>
      </c>
      <c r="D1933" s="15" t="s">
        <v>2114</v>
      </c>
      <c r="E1933" s="15" t="s">
        <v>2136</v>
      </c>
      <c r="F1933" s="15" t="s">
        <v>2138</v>
      </c>
      <c r="G1933" s="15" t="s">
        <v>2146</v>
      </c>
      <c r="H1933" s="15">
        <v>6701</v>
      </c>
      <c r="I1933" s="15">
        <v>933.11</v>
      </c>
    </row>
    <row r="1934" spans="1:9">
      <c r="A1934" s="13">
        <v>44655</v>
      </c>
      <c r="B1934" s="91">
        <f t="shared" si="32"/>
        <v>2022</v>
      </c>
      <c r="C1934" s="15" t="s">
        <v>2113</v>
      </c>
      <c r="D1934" s="15" t="s">
        <v>2142</v>
      </c>
      <c r="E1934" s="15" t="s">
        <v>2136</v>
      </c>
      <c r="F1934" s="15" t="s">
        <v>2120</v>
      </c>
      <c r="G1934" s="15" t="s">
        <v>2121</v>
      </c>
      <c r="H1934" s="15">
        <v>4438</v>
      </c>
      <c r="I1934" s="15">
        <v>614.41</v>
      </c>
    </row>
    <row r="1935" spans="1:9">
      <c r="A1935" s="13">
        <v>45058</v>
      </c>
      <c r="B1935" s="91">
        <f t="shared" si="32"/>
        <v>2023</v>
      </c>
      <c r="C1935" s="15" t="s">
        <v>104</v>
      </c>
      <c r="D1935" s="15" t="s">
        <v>2128</v>
      </c>
      <c r="E1935" s="15" t="s">
        <v>2123</v>
      </c>
      <c r="F1935" s="15" t="s">
        <v>2124</v>
      </c>
      <c r="G1935" s="15" t="s">
        <v>2140</v>
      </c>
      <c r="H1935" s="15">
        <v>7752</v>
      </c>
      <c r="I1935" s="15">
        <v>1218.28</v>
      </c>
    </row>
    <row r="1936" spans="1:9">
      <c r="A1936" s="13">
        <v>45305</v>
      </c>
      <c r="B1936" s="91">
        <f t="shared" si="32"/>
        <v>2024</v>
      </c>
      <c r="C1936" s="15" t="s">
        <v>2113</v>
      </c>
      <c r="D1936" s="15" t="s">
        <v>2114</v>
      </c>
      <c r="E1936" s="15" t="s">
        <v>2143</v>
      </c>
      <c r="F1936" s="15" t="s">
        <v>2138</v>
      </c>
      <c r="G1936" s="15" t="s">
        <v>2149</v>
      </c>
      <c r="H1936" s="15">
        <v>3590</v>
      </c>
      <c r="I1936" s="15">
        <v>1061.6300000000001</v>
      </c>
    </row>
    <row r="1937" spans="1:9">
      <c r="A1937" s="13">
        <v>45285</v>
      </c>
      <c r="B1937" s="91">
        <f t="shared" si="32"/>
        <v>2023</v>
      </c>
      <c r="C1937" s="15" t="s">
        <v>107</v>
      </c>
      <c r="D1937" s="15" t="s">
        <v>2128</v>
      </c>
      <c r="E1937" s="15" t="s">
        <v>2129</v>
      </c>
      <c r="F1937" s="15" t="s">
        <v>2138</v>
      </c>
      <c r="G1937" s="15" t="s">
        <v>2139</v>
      </c>
      <c r="H1937" s="15">
        <v>9171</v>
      </c>
      <c r="I1937" s="15">
        <v>1497.56</v>
      </c>
    </row>
    <row r="1938" spans="1:9">
      <c r="A1938" s="13">
        <v>45392</v>
      </c>
      <c r="B1938" s="91">
        <f t="shared" si="32"/>
        <v>2024</v>
      </c>
      <c r="C1938" s="15" t="s">
        <v>2141</v>
      </c>
      <c r="D1938" s="15" t="s">
        <v>2135</v>
      </c>
      <c r="E1938" s="15" t="s">
        <v>2143</v>
      </c>
      <c r="F1938" s="15" t="s">
        <v>2124</v>
      </c>
      <c r="G1938" s="15" t="s">
        <v>2130</v>
      </c>
      <c r="H1938" s="15">
        <v>9743</v>
      </c>
      <c r="I1938" s="15">
        <v>1570.34</v>
      </c>
    </row>
    <row r="1939" spans="1:9">
      <c r="A1939" s="13">
        <v>45476</v>
      </c>
      <c r="B1939" s="91">
        <f t="shared" si="32"/>
        <v>2024</v>
      </c>
      <c r="C1939" s="15" t="s">
        <v>104</v>
      </c>
      <c r="D1939" s="15" t="s">
        <v>2153</v>
      </c>
      <c r="E1939" s="15" t="s">
        <v>2123</v>
      </c>
      <c r="F1939" s="15" t="s">
        <v>2124</v>
      </c>
      <c r="G1939" s="15" t="s">
        <v>2130</v>
      </c>
      <c r="H1939" s="15">
        <v>8785</v>
      </c>
      <c r="I1939" s="15">
        <v>1115.22</v>
      </c>
    </row>
    <row r="1940" spans="1:9">
      <c r="A1940" s="13">
        <v>45498</v>
      </c>
      <c r="B1940" s="91">
        <f t="shared" si="32"/>
        <v>2024</v>
      </c>
      <c r="C1940" s="15" t="s">
        <v>104</v>
      </c>
      <c r="D1940" s="15" t="s">
        <v>2152</v>
      </c>
      <c r="E1940" s="15" t="s">
        <v>2145</v>
      </c>
      <c r="F1940" s="15" t="s">
        <v>2120</v>
      </c>
      <c r="G1940" s="15" t="s">
        <v>2133</v>
      </c>
      <c r="H1940" s="15">
        <v>5998</v>
      </c>
      <c r="I1940" s="15">
        <v>1574.74</v>
      </c>
    </row>
    <row r="1941" spans="1:9">
      <c r="A1941" s="13">
        <v>45584</v>
      </c>
      <c r="B1941" s="91">
        <f t="shared" si="32"/>
        <v>2024</v>
      </c>
      <c r="C1941" s="15" t="s">
        <v>104</v>
      </c>
      <c r="D1941" s="15" t="s">
        <v>2118</v>
      </c>
      <c r="E1941" s="15" t="s">
        <v>2145</v>
      </c>
      <c r="F1941" s="15" t="s">
        <v>2116</v>
      </c>
      <c r="G1941" s="15" t="s">
        <v>2117</v>
      </c>
      <c r="H1941" s="15">
        <v>5464</v>
      </c>
      <c r="I1941" s="15">
        <v>892.76</v>
      </c>
    </row>
    <row r="1942" spans="1:9">
      <c r="A1942" s="13">
        <v>45070</v>
      </c>
      <c r="B1942" s="91">
        <f t="shared" si="32"/>
        <v>2023</v>
      </c>
      <c r="C1942" s="15" t="s">
        <v>2141</v>
      </c>
      <c r="D1942" s="15" t="s">
        <v>2131</v>
      </c>
      <c r="E1942" s="15" t="s">
        <v>2123</v>
      </c>
      <c r="F1942" s="15" t="s">
        <v>2120</v>
      </c>
      <c r="G1942" s="15" t="s">
        <v>2132</v>
      </c>
      <c r="H1942" s="15">
        <v>2088</v>
      </c>
      <c r="I1942" s="15">
        <v>235.96</v>
      </c>
    </row>
    <row r="1943" spans="1:9">
      <c r="A1943" s="13">
        <v>45520</v>
      </c>
      <c r="B1943" s="91">
        <f t="shared" si="32"/>
        <v>2024</v>
      </c>
      <c r="C1943" s="15" t="s">
        <v>104</v>
      </c>
      <c r="D1943" s="15" t="s">
        <v>2128</v>
      </c>
      <c r="E1943" s="15" t="s">
        <v>2143</v>
      </c>
      <c r="F1943" s="15" t="s">
        <v>2138</v>
      </c>
      <c r="G1943" s="15" t="s">
        <v>2139</v>
      </c>
      <c r="H1943" s="15">
        <v>6320</v>
      </c>
      <c r="I1943" s="15">
        <v>1102.3399999999999</v>
      </c>
    </row>
    <row r="1944" spans="1:9">
      <c r="A1944" s="13">
        <v>44883</v>
      </c>
      <c r="B1944" s="91">
        <f t="shared" si="32"/>
        <v>2022</v>
      </c>
      <c r="C1944" s="15" t="s">
        <v>2141</v>
      </c>
      <c r="D1944" s="15" t="s">
        <v>2153</v>
      </c>
      <c r="E1944" s="15" t="s">
        <v>2144</v>
      </c>
      <c r="F1944" s="15" t="s">
        <v>2116</v>
      </c>
      <c r="G1944" s="15" t="s">
        <v>2154</v>
      </c>
      <c r="H1944" s="15">
        <v>5016</v>
      </c>
      <c r="I1944" s="15">
        <v>1282.3900000000001</v>
      </c>
    </row>
    <row r="1945" spans="1:9">
      <c r="A1945" s="13">
        <v>44760</v>
      </c>
      <c r="B1945" s="91">
        <f t="shared" si="32"/>
        <v>2022</v>
      </c>
      <c r="C1945" s="15" t="s">
        <v>2113</v>
      </c>
      <c r="D1945" s="15" t="s">
        <v>2114</v>
      </c>
      <c r="E1945" s="15" t="s">
        <v>2143</v>
      </c>
      <c r="F1945" s="15" t="s">
        <v>2116</v>
      </c>
      <c r="G1945" s="15" t="s">
        <v>2117</v>
      </c>
      <c r="H1945" s="15">
        <v>4946</v>
      </c>
      <c r="I1945" s="15">
        <v>980.25</v>
      </c>
    </row>
    <row r="1946" spans="1:9">
      <c r="A1946" s="13">
        <v>45312</v>
      </c>
      <c r="B1946" s="91">
        <f t="shared" si="32"/>
        <v>2024</v>
      </c>
      <c r="C1946" s="15" t="s">
        <v>2113</v>
      </c>
      <c r="D1946" s="15" t="s">
        <v>2148</v>
      </c>
      <c r="E1946" s="15" t="s">
        <v>2115</v>
      </c>
      <c r="F1946" s="15" t="s">
        <v>2138</v>
      </c>
      <c r="G1946" s="15" t="s">
        <v>2149</v>
      </c>
      <c r="H1946" s="15">
        <v>4561</v>
      </c>
      <c r="I1946" s="15">
        <v>909.2</v>
      </c>
    </row>
    <row r="1947" spans="1:9">
      <c r="A1947" s="13">
        <v>45098</v>
      </c>
      <c r="B1947" s="91">
        <f t="shared" si="32"/>
        <v>2023</v>
      </c>
      <c r="C1947" s="15" t="s">
        <v>2113</v>
      </c>
      <c r="D1947" s="15" t="s">
        <v>2128</v>
      </c>
      <c r="E1947" s="15" t="s">
        <v>2129</v>
      </c>
      <c r="F1947" s="15" t="s">
        <v>2124</v>
      </c>
      <c r="G1947" s="15" t="s">
        <v>2125</v>
      </c>
      <c r="H1947" s="15">
        <v>6657</v>
      </c>
      <c r="I1947" s="15">
        <v>1591.81</v>
      </c>
    </row>
    <row r="1948" spans="1:9">
      <c r="A1948" s="13">
        <v>45607</v>
      </c>
      <c r="B1948" s="91">
        <f t="shared" si="32"/>
        <v>2024</v>
      </c>
      <c r="C1948" s="15" t="s">
        <v>107</v>
      </c>
      <c r="D1948" s="15" t="s">
        <v>2142</v>
      </c>
      <c r="E1948" s="15" t="s">
        <v>2144</v>
      </c>
      <c r="F1948" s="15" t="s">
        <v>2120</v>
      </c>
      <c r="G1948" s="15" t="s">
        <v>2132</v>
      </c>
      <c r="H1948" s="15">
        <v>7353</v>
      </c>
      <c r="I1948" s="15">
        <v>2118.83</v>
      </c>
    </row>
    <row r="1949" spans="1:9">
      <c r="A1949" s="13">
        <v>44675</v>
      </c>
      <c r="B1949" s="91">
        <f t="shared" si="32"/>
        <v>2022</v>
      </c>
      <c r="C1949" s="15" t="s">
        <v>104</v>
      </c>
      <c r="D1949" s="15" t="s">
        <v>2131</v>
      </c>
      <c r="E1949" s="15" t="s">
        <v>2123</v>
      </c>
      <c r="F1949" s="15" t="s">
        <v>2124</v>
      </c>
      <c r="G1949" s="15" t="s">
        <v>2125</v>
      </c>
      <c r="H1949" s="15">
        <v>6648</v>
      </c>
      <c r="I1949" s="15">
        <v>709.85</v>
      </c>
    </row>
    <row r="1950" spans="1:9">
      <c r="A1950" s="13">
        <v>45484</v>
      </c>
      <c r="B1950" s="91">
        <f t="shared" si="32"/>
        <v>2024</v>
      </c>
      <c r="C1950" s="15" t="s">
        <v>2113</v>
      </c>
      <c r="D1950" s="15" t="s">
        <v>2152</v>
      </c>
      <c r="E1950" s="15" t="s">
        <v>2145</v>
      </c>
      <c r="F1950" s="15" t="s">
        <v>2138</v>
      </c>
      <c r="G1950" s="15" t="s">
        <v>2149</v>
      </c>
      <c r="H1950" s="15">
        <v>2755</v>
      </c>
      <c r="I1950" s="15">
        <v>682.69</v>
      </c>
    </row>
    <row r="1951" spans="1:9">
      <c r="A1951" s="13">
        <v>45300</v>
      </c>
      <c r="B1951" s="91">
        <f t="shared" si="32"/>
        <v>2024</v>
      </c>
      <c r="C1951" s="15" t="s">
        <v>104</v>
      </c>
      <c r="D1951" s="15" t="s">
        <v>2126</v>
      </c>
      <c r="E1951" s="15" t="s">
        <v>2129</v>
      </c>
      <c r="F1951" s="15" t="s">
        <v>2124</v>
      </c>
      <c r="G1951" s="15" t="s">
        <v>2125</v>
      </c>
      <c r="H1951" s="15">
        <v>9688</v>
      </c>
      <c r="I1951" s="15">
        <v>2469.19</v>
      </c>
    </row>
    <row r="1952" spans="1:9">
      <c r="A1952" s="13">
        <v>45531</v>
      </c>
      <c r="B1952" s="91">
        <f t="shared" si="32"/>
        <v>2024</v>
      </c>
      <c r="C1952" s="15" t="s">
        <v>104</v>
      </c>
      <c r="D1952" s="15" t="s">
        <v>2135</v>
      </c>
      <c r="E1952" s="15" t="s">
        <v>2136</v>
      </c>
      <c r="F1952" s="15" t="s">
        <v>2116</v>
      </c>
      <c r="G1952" s="15" t="s">
        <v>2117</v>
      </c>
      <c r="H1952" s="15">
        <v>1522</v>
      </c>
      <c r="I1952" s="15">
        <v>441.95</v>
      </c>
    </row>
    <row r="1953" spans="1:9">
      <c r="A1953" s="13">
        <v>45398</v>
      </c>
      <c r="B1953" s="91">
        <f t="shared" si="32"/>
        <v>2024</v>
      </c>
      <c r="C1953" s="15" t="s">
        <v>107</v>
      </c>
      <c r="D1953" s="15" t="s">
        <v>2142</v>
      </c>
      <c r="E1953" s="15" t="s">
        <v>2136</v>
      </c>
      <c r="F1953" s="15" t="s">
        <v>2124</v>
      </c>
      <c r="G1953" s="15" t="s">
        <v>2125</v>
      </c>
      <c r="H1953" s="15">
        <v>6064</v>
      </c>
      <c r="I1953" s="15">
        <v>1495.8</v>
      </c>
    </row>
    <row r="1954" spans="1:9">
      <c r="A1954" s="13">
        <v>45437</v>
      </c>
      <c r="B1954" s="91">
        <f t="shared" si="32"/>
        <v>2024</v>
      </c>
      <c r="C1954" s="15" t="s">
        <v>2113</v>
      </c>
      <c r="D1954" s="15" t="s">
        <v>2126</v>
      </c>
      <c r="E1954" s="15" t="s">
        <v>2119</v>
      </c>
      <c r="F1954" s="15" t="s">
        <v>2124</v>
      </c>
      <c r="G1954" s="15" t="s">
        <v>2140</v>
      </c>
      <c r="H1954" s="15">
        <v>7612</v>
      </c>
      <c r="I1954" s="15">
        <v>1628.99</v>
      </c>
    </row>
    <row r="1955" spans="1:9">
      <c r="A1955" s="13">
        <v>45575</v>
      </c>
      <c r="B1955" s="91">
        <f t="shared" si="32"/>
        <v>2024</v>
      </c>
      <c r="C1955" s="15" t="s">
        <v>104</v>
      </c>
      <c r="D1955" s="15" t="s">
        <v>2135</v>
      </c>
      <c r="E1955" s="15" t="s">
        <v>2151</v>
      </c>
      <c r="F1955" s="15" t="s">
        <v>2116</v>
      </c>
      <c r="G1955" s="15" t="s">
        <v>2127</v>
      </c>
      <c r="H1955" s="15">
        <v>6160</v>
      </c>
      <c r="I1955" s="15">
        <v>1042.6199999999999</v>
      </c>
    </row>
    <row r="1956" spans="1:9">
      <c r="A1956" s="13">
        <v>45155</v>
      </c>
      <c r="B1956" s="91">
        <f t="shared" si="32"/>
        <v>2023</v>
      </c>
      <c r="C1956" s="15" t="s">
        <v>104</v>
      </c>
      <c r="D1956" s="15" t="s">
        <v>2153</v>
      </c>
      <c r="E1956" s="15" t="s">
        <v>2115</v>
      </c>
      <c r="F1956" s="15" t="s">
        <v>2116</v>
      </c>
      <c r="G1956" s="15" t="s">
        <v>2127</v>
      </c>
      <c r="H1956" s="15">
        <v>6414</v>
      </c>
      <c r="I1956" s="15">
        <v>1530.29</v>
      </c>
    </row>
    <row r="1957" spans="1:9">
      <c r="A1957" s="13">
        <v>44695</v>
      </c>
      <c r="B1957" s="91">
        <f t="shared" si="32"/>
        <v>2022</v>
      </c>
      <c r="C1957" s="15" t="s">
        <v>104</v>
      </c>
      <c r="D1957" s="15" t="s">
        <v>2118</v>
      </c>
      <c r="E1957" s="15" t="s">
        <v>2145</v>
      </c>
      <c r="F1957" s="15" t="s">
        <v>2116</v>
      </c>
      <c r="G1957" s="15" t="s">
        <v>2154</v>
      </c>
      <c r="H1957" s="15">
        <v>4160</v>
      </c>
      <c r="I1957" s="15">
        <v>478.45</v>
      </c>
    </row>
    <row r="1958" spans="1:9">
      <c r="A1958" s="13">
        <v>44638</v>
      </c>
      <c r="B1958" s="91">
        <f t="shared" si="32"/>
        <v>2022</v>
      </c>
      <c r="C1958" s="15" t="s">
        <v>2113</v>
      </c>
      <c r="D1958" s="15" t="s">
        <v>2148</v>
      </c>
      <c r="E1958" s="15" t="s">
        <v>2123</v>
      </c>
      <c r="F1958" s="15" t="s">
        <v>2116</v>
      </c>
      <c r="G1958" s="15" t="s">
        <v>2117</v>
      </c>
      <c r="H1958" s="15">
        <v>3503</v>
      </c>
      <c r="I1958" s="15">
        <v>963.72</v>
      </c>
    </row>
    <row r="1959" spans="1:9">
      <c r="A1959" s="13">
        <v>45653</v>
      </c>
      <c r="B1959" s="91">
        <f t="shared" si="32"/>
        <v>2024</v>
      </c>
      <c r="C1959" s="15" t="s">
        <v>104</v>
      </c>
      <c r="D1959" s="15" t="s">
        <v>2153</v>
      </c>
      <c r="E1959" s="15" t="s">
        <v>2136</v>
      </c>
      <c r="F1959" s="15" t="s">
        <v>2116</v>
      </c>
      <c r="G1959" s="15" t="s">
        <v>2117</v>
      </c>
      <c r="H1959" s="15">
        <v>3052</v>
      </c>
      <c r="I1959" s="15">
        <v>867.47</v>
      </c>
    </row>
    <row r="1960" spans="1:9">
      <c r="A1960" s="13">
        <v>44906</v>
      </c>
      <c r="B1960" s="91">
        <f t="shared" si="32"/>
        <v>2022</v>
      </c>
      <c r="C1960" s="15" t="s">
        <v>107</v>
      </c>
      <c r="D1960" s="15" t="s">
        <v>2142</v>
      </c>
      <c r="E1960" s="15" t="s">
        <v>2123</v>
      </c>
      <c r="F1960" s="15" t="s">
        <v>2124</v>
      </c>
      <c r="G1960" s="15" t="s">
        <v>2140</v>
      </c>
      <c r="H1960" s="15">
        <v>8784</v>
      </c>
      <c r="I1960" s="15">
        <v>1116.8499999999999</v>
      </c>
    </row>
    <row r="1961" spans="1:9">
      <c r="A1961" s="13">
        <v>45374</v>
      </c>
      <c r="B1961" s="91">
        <f t="shared" si="32"/>
        <v>2024</v>
      </c>
      <c r="C1961" s="15" t="s">
        <v>107</v>
      </c>
      <c r="D1961" s="15" t="s">
        <v>2152</v>
      </c>
      <c r="E1961" s="15" t="s">
        <v>2115</v>
      </c>
      <c r="F1961" s="15" t="s">
        <v>2138</v>
      </c>
      <c r="G1961" s="15" t="s">
        <v>2139</v>
      </c>
      <c r="H1961" s="15">
        <v>4786</v>
      </c>
      <c r="I1961" s="15">
        <v>1400.56</v>
      </c>
    </row>
    <row r="1962" spans="1:9">
      <c r="A1962" s="13">
        <v>45279</v>
      </c>
      <c r="B1962" s="91">
        <f t="shared" si="32"/>
        <v>2023</v>
      </c>
      <c r="C1962" s="15" t="s">
        <v>107</v>
      </c>
      <c r="D1962" s="15" t="s">
        <v>2148</v>
      </c>
      <c r="E1962" s="15" t="s">
        <v>2145</v>
      </c>
      <c r="F1962" s="15" t="s">
        <v>2138</v>
      </c>
      <c r="G1962" s="15" t="s">
        <v>2149</v>
      </c>
      <c r="H1962" s="15">
        <v>4024</v>
      </c>
      <c r="I1962" s="15">
        <v>954.95</v>
      </c>
    </row>
    <row r="1963" spans="1:9">
      <c r="A1963" s="13">
        <v>45546</v>
      </c>
      <c r="B1963" s="91">
        <f t="shared" si="32"/>
        <v>2024</v>
      </c>
      <c r="C1963" s="15" t="s">
        <v>2141</v>
      </c>
      <c r="D1963" s="15" t="s">
        <v>2153</v>
      </c>
      <c r="E1963" s="15" t="s">
        <v>2119</v>
      </c>
      <c r="F1963" s="15" t="s">
        <v>2124</v>
      </c>
      <c r="G1963" s="15" t="s">
        <v>2130</v>
      </c>
      <c r="H1963" s="15">
        <v>2353</v>
      </c>
      <c r="I1963" s="15">
        <v>399.41</v>
      </c>
    </row>
    <row r="1964" spans="1:9">
      <c r="A1964" s="13">
        <v>44986</v>
      </c>
      <c r="B1964" s="91">
        <f t="shared" si="32"/>
        <v>2023</v>
      </c>
      <c r="C1964" s="15" t="s">
        <v>2141</v>
      </c>
      <c r="D1964" s="15" t="s">
        <v>2135</v>
      </c>
      <c r="E1964" s="15" t="s">
        <v>2143</v>
      </c>
      <c r="F1964" s="15" t="s">
        <v>2138</v>
      </c>
      <c r="G1964" s="15" t="s">
        <v>2146</v>
      </c>
      <c r="H1964" s="15">
        <v>9788</v>
      </c>
      <c r="I1964" s="15">
        <v>1359.71</v>
      </c>
    </row>
    <row r="1965" spans="1:9">
      <c r="A1965" s="13">
        <v>45643</v>
      </c>
      <c r="B1965" s="91">
        <f t="shared" si="32"/>
        <v>2024</v>
      </c>
      <c r="C1965" s="15" t="s">
        <v>104</v>
      </c>
      <c r="D1965" s="15" t="s">
        <v>2153</v>
      </c>
      <c r="E1965" s="15" t="s">
        <v>2151</v>
      </c>
      <c r="F1965" s="15" t="s">
        <v>2120</v>
      </c>
      <c r="G1965" s="15" t="s">
        <v>2121</v>
      </c>
      <c r="H1965" s="15">
        <v>2297</v>
      </c>
      <c r="I1965" s="15">
        <v>606.17999999999995</v>
      </c>
    </row>
    <row r="1966" spans="1:9">
      <c r="A1966" s="13">
        <v>45101</v>
      </c>
      <c r="B1966" s="91">
        <f t="shared" si="32"/>
        <v>2023</v>
      </c>
      <c r="C1966" s="15" t="s">
        <v>107</v>
      </c>
      <c r="D1966" s="15" t="s">
        <v>2153</v>
      </c>
      <c r="E1966" s="15" t="s">
        <v>2134</v>
      </c>
      <c r="F1966" s="15" t="s">
        <v>2138</v>
      </c>
      <c r="G1966" s="15" t="s">
        <v>2149</v>
      </c>
      <c r="H1966" s="15">
        <v>3632</v>
      </c>
      <c r="I1966" s="15">
        <v>850.04</v>
      </c>
    </row>
    <row r="1967" spans="1:9">
      <c r="A1967" s="13">
        <v>44890</v>
      </c>
      <c r="B1967" s="91">
        <f t="shared" si="32"/>
        <v>2022</v>
      </c>
      <c r="C1967" s="15" t="s">
        <v>104</v>
      </c>
      <c r="D1967" s="15" t="s">
        <v>2152</v>
      </c>
      <c r="E1967" s="15" t="s">
        <v>2136</v>
      </c>
      <c r="F1967" s="15" t="s">
        <v>2120</v>
      </c>
      <c r="G1967" s="15" t="s">
        <v>2132</v>
      </c>
      <c r="H1967" s="15">
        <v>5302</v>
      </c>
      <c r="I1967" s="15">
        <v>841.97</v>
      </c>
    </row>
    <row r="1968" spans="1:9">
      <c r="A1968" s="13">
        <v>45033</v>
      </c>
      <c r="B1968" s="91">
        <f t="shared" si="32"/>
        <v>2023</v>
      </c>
      <c r="C1968" s="15" t="s">
        <v>2113</v>
      </c>
      <c r="D1968" s="15" t="s">
        <v>2153</v>
      </c>
      <c r="E1968" s="15" t="s">
        <v>2143</v>
      </c>
      <c r="F1968" s="15" t="s">
        <v>2124</v>
      </c>
      <c r="G1968" s="15" t="s">
        <v>2130</v>
      </c>
      <c r="H1968" s="15">
        <v>7878</v>
      </c>
      <c r="I1968" s="15">
        <v>906.57</v>
      </c>
    </row>
    <row r="1969" spans="1:9">
      <c r="A1969" s="13">
        <v>44916</v>
      </c>
      <c r="B1969" s="91">
        <f t="shared" si="32"/>
        <v>2022</v>
      </c>
      <c r="C1969" s="15" t="s">
        <v>2113</v>
      </c>
      <c r="D1969" s="15" t="s">
        <v>2142</v>
      </c>
      <c r="E1969" s="15" t="s">
        <v>2115</v>
      </c>
      <c r="F1969" s="15" t="s">
        <v>2124</v>
      </c>
      <c r="G1969" s="15" t="s">
        <v>2130</v>
      </c>
      <c r="H1969" s="15">
        <v>8597</v>
      </c>
      <c r="I1969" s="15">
        <v>1381.33</v>
      </c>
    </row>
    <row r="1970" spans="1:9">
      <c r="A1970" s="13">
        <v>44591</v>
      </c>
      <c r="B1970" s="91">
        <f t="shared" si="32"/>
        <v>2022</v>
      </c>
      <c r="C1970" s="15" t="s">
        <v>2141</v>
      </c>
      <c r="D1970" s="15" t="s">
        <v>2128</v>
      </c>
      <c r="E1970" s="15" t="s">
        <v>2143</v>
      </c>
      <c r="F1970" s="15" t="s">
        <v>2138</v>
      </c>
      <c r="G1970" s="15" t="s">
        <v>2139</v>
      </c>
      <c r="H1970" s="15">
        <v>9427</v>
      </c>
      <c r="I1970" s="15">
        <v>2402.39</v>
      </c>
    </row>
    <row r="1971" spans="1:9">
      <c r="A1971" s="13">
        <v>44696</v>
      </c>
      <c r="B1971" s="91">
        <f t="shared" si="32"/>
        <v>2022</v>
      </c>
      <c r="C1971" s="15" t="s">
        <v>107</v>
      </c>
      <c r="D1971" s="15" t="s">
        <v>2131</v>
      </c>
      <c r="E1971" s="15" t="s">
        <v>2144</v>
      </c>
      <c r="F1971" s="15" t="s">
        <v>2124</v>
      </c>
      <c r="G1971" s="15" t="s">
        <v>2125</v>
      </c>
      <c r="H1971" s="15">
        <v>7775</v>
      </c>
      <c r="I1971" s="15">
        <v>2121.35</v>
      </c>
    </row>
    <row r="1972" spans="1:9">
      <c r="A1972" s="13">
        <v>45539</v>
      </c>
      <c r="B1972" s="91">
        <f t="shared" si="32"/>
        <v>2024</v>
      </c>
      <c r="C1972" s="15" t="s">
        <v>104</v>
      </c>
      <c r="D1972" s="15" t="s">
        <v>2126</v>
      </c>
      <c r="E1972" s="15" t="s">
        <v>2115</v>
      </c>
      <c r="F1972" s="15" t="s">
        <v>2120</v>
      </c>
      <c r="G1972" s="15" t="s">
        <v>2132</v>
      </c>
      <c r="H1972" s="15">
        <v>1851</v>
      </c>
      <c r="I1972" s="15">
        <v>424.38</v>
      </c>
    </row>
    <row r="1973" spans="1:9">
      <c r="A1973" s="13">
        <v>44891</v>
      </c>
      <c r="B1973" s="91">
        <f t="shared" si="32"/>
        <v>2022</v>
      </c>
      <c r="C1973" s="15" t="s">
        <v>2141</v>
      </c>
      <c r="D1973" s="15" t="s">
        <v>2153</v>
      </c>
      <c r="E1973" s="15" t="s">
        <v>2143</v>
      </c>
      <c r="F1973" s="15" t="s">
        <v>2124</v>
      </c>
      <c r="G1973" s="15" t="s">
        <v>2125</v>
      </c>
      <c r="H1973" s="15">
        <v>3335</v>
      </c>
      <c r="I1973" s="15">
        <v>366.39</v>
      </c>
    </row>
    <row r="1974" spans="1:9">
      <c r="A1974" s="13">
        <v>45007</v>
      </c>
      <c r="B1974" s="91">
        <f t="shared" si="32"/>
        <v>2023</v>
      </c>
      <c r="C1974" s="15" t="s">
        <v>104</v>
      </c>
      <c r="D1974" s="15" t="s">
        <v>2148</v>
      </c>
      <c r="E1974" s="15" t="s">
        <v>2123</v>
      </c>
      <c r="F1974" s="15" t="s">
        <v>2138</v>
      </c>
      <c r="G1974" s="15" t="s">
        <v>2146</v>
      </c>
      <c r="H1974" s="15">
        <v>7010</v>
      </c>
      <c r="I1974" s="15">
        <v>1909.39</v>
      </c>
    </row>
    <row r="1975" spans="1:9">
      <c r="A1975" s="13">
        <v>45604</v>
      </c>
      <c r="B1975" s="91">
        <f t="shared" si="32"/>
        <v>2024</v>
      </c>
      <c r="C1975" s="15" t="s">
        <v>107</v>
      </c>
      <c r="D1975" s="15" t="s">
        <v>2131</v>
      </c>
      <c r="E1975" s="15" t="s">
        <v>2145</v>
      </c>
      <c r="F1975" s="15" t="s">
        <v>2138</v>
      </c>
      <c r="G1975" s="15" t="s">
        <v>2149</v>
      </c>
      <c r="H1975" s="15">
        <v>3402</v>
      </c>
      <c r="I1975" s="15">
        <v>706.12</v>
      </c>
    </row>
    <row r="1976" spans="1:9">
      <c r="A1976" s="13">
        <v>44744</v>
      </c>
      <c r="B1976" s="91">
        <f t="shared" si="32"/>
        <v>2022</v>
      </c>
      <c r="C1976" s="15" t="s">
        <v>107</v>
      </c>
      <c r="D1976" s="15" t="s">
        <v>2118</v>
      </c>
      <c r="E1976" s="15" t="s">
        <v>2151</v>
      </c>
      <c r="F1976" s="15" t="s">
        <v>2120</v>
      </c>
      <c r="G1976" s="15" t="s">
        <v>2121</v>
      </c>
      <c r="H1976" s="15">
        <v>4350</v>
      </c>
      <c r="I1976" s="15">
        <v>966.45</v>
      </c>
    </row>
    <row r="1977" spans="1:9">
      <c r="A1977" s="13">
        <v>45586</v>
      </c>
      <c r="B1977" s="91">
        <f t="shared" si="32"/>
        <v>2024</v>
      </c>
      <c r="C1977" s="15" t="s">
        <v>2113</v>
      </c>
      <c r="D1977" s="15" t="s">
        <v>2153</v>
      </c>
      <c r="E1977" s="15" t="s">
        <v>2144</v>
      </c>
      <c r="F1977" s="15" t="s">
        <v>2124</v>
      </c>
      <c r="G1977" s="15" t="s">
        <v>2125</v>
      </c>
      <c r="H1977" s="15">
        <v>2768</v>
      </c>
      <c r="I1977" s="15">
        <v>300.83</v>
      </c>
    </row>
    <row r="1978" spans="1:9">
      <c r="A1978" s="13">
        <v>45324</v>
      </c>
      <c r="B1978" s="91">
        <f t="shared" si="32"/>
        <v>2024</v>
      </c>
      <c r="C1978" s="15" t="s">
        <v>107</v>
      </c>
      <c r="D1978" s="15" t="s">
        <v>2128</v>
      </c>
      <c r="E1978" s="15" t="s">
        <v>2143</v>
      </c>
      <c r="F1978" s="15" t="s">
        <v>2116</v>
      </c>
      <c r="G1978" s="15" t="s">
        <v>2117</v>
      </c>
      <c r="H1978" s="15">
        <v>2271</v>
      </c>
      <c r="I1978" s="15">
        <v>307</v>
      </c>
    </row>
    <row r="1979" spans="1:9">
      <c r="A1979" s="13">
        <v>44885</v>
      </c>
      <c r="B1979" s="91">
        <f t="shared" si="32"/>
        <v>2022</v>
      </c>
      <c r="C1979" s="15" t="s">
        <v>107</v>
      </c>
      <c r="D1979" s="15" t="s">
        <v>2128</v>
      </c>
      <c r="E1979" s="15" t="s">
        <v>2134</v>
      </c>
      <c r="F1979" s="15" t="s">
        <v>2116</v>
      </c>
      <c r="G1979" s="15" t="s">
        <v>2154</v>
      </c>
      <c r="H1979" s="15">
        <v>7067</v>
      </c>
      <c r="I1979" s="15">
        <v>1384.13</v>
      </c>
    </row>
    <row r="1980" spans="1:9">
      <c r="A1980" s="13">
        <v>44975</v>
      </c>
      <c r="B1980" s="91">
        <f t="shared" si="32"/>
        <v>2023</v>
      </c>
      <c r="C1980" s="15" t="s">
        <v>2113</v>
      </c>
      <c r="D1980" s="15" t="s">
        <v>2142</v>
      </c>
      <c r="E1980" s="15" t="s">
        <v>2151</v>
      </c>
      <c r="F1980" s="15" t="s">
        <v>2124</v>
      </c>
      <c r="G1980" s="15" t="s">
        <v>2140</v>
      </c>
      <c r="H1980" s="15">
        <v>6291</v>
      </c>
      <c r="I1980" s="15">
        <v>1400.38</v>
      </c>
    </row>
    <row r="1981" spans="1:9">
      <c r="A1981" s="13">
        <v>45650</v>
      </c>
      <c r="B1981" s="91">
        <f t="shared" si="32"/>
        <v>2024</v>
      </c>
      <c r="C1981" s="15" t="s">
        <v>104</v>
      </c>
      <c r="D1981" s="15" t="s">
        <v>2152</v>
      </c>
      <c r="E1981" s="15" t="s">
        <v>2136</v>
      </c>
      <c r="F1981" s="15" t="s">
        <v>2138</v>
      </c>
      <c r="G1981" s="15" t="s">
        <v>2146</v>
      </c>
      <c r="H1981" s="15">
        <v>1461</v>
      </c>
      <c r="I1981" s="15">
        <v>320.63</v>
      </c>
    </row>
    <row r="1982" spans="1:9">
      <c r="A1982" s="13">
        <v>44774</v>
      </c>
      <c r="B1982" s="91">
        <f t="shared" si="32"/>
        <v>2022</v>
      </c>
      <c r="C1982" s="15" t="s">
        <v>2113</v>
      </c>
      <c r="D1982" s="15" t="s">
        <v>2135</v>
      </c>
      <c r="E1982" s="15" t="s">
        <v>2115</v>
      </c>
      <c r="F1982" s="15" t="s">
        <v>2124</v>
      </c>
      <c r="G1982" s="15" t="s">
        <v>2130</v>
      </c>
      <c r="H1982" s="15">
        <v>1720</v>
      </c>
      <c r="I1982" s="15">
        <v>230.31</v>
      </c>
    </row>
    <row r="1983" spans="1:9">
      <c r="A1983" s="13">
        <v>45169</v>
      </c>
      <c r="B1983" s="91">
        <f t="shared" si="32"/>
        <v>2023</v>
      </c>
      <c r="C1983" s="15" t="s">
        <v>107</v>
      </c>
      <c r="D1983" s="15" t="s">
        <v>2131</v>
      </c>
      <c r="E1983" s="15" t="s">
        <v>2134</v>
      </c>
      <c r="F1983" s="15" t="s">
        <v>2124</v>
      </c>
      <c r="G1983" s="15" t="s">
        <v>2140</v>
      </c>
      <c r="H1983" s="15">
        <v>8020</v>
      </c>
      <c r="I1983" s="15">
        <v>1151.03</v>
      </c>
    </row>
    <row r="1984" spans="1:9">
      <c r="A1984" s="13">
        <v>45530</v>
      </c>
      <c r="B1984" s="91">
        <f t="shared" si="32"/>
        <v>2024</v>
      </c>
      <c r="C1984" s="15" t="s">
        <v>107</v>
      </c>
      <c r="D1984" s="15" t="s">
        <v>2135</v>
      </c>
      <c r="E1984" s="15" t="s">
        <v>2123</v>
      </c>
      <c r="F1984" s="15" t="s">
        <v>2138</v>
      </c>
      <c r="G1984" s="15" t="s">
        <v>2146</v>
      </c>
      <c r="H1984" s="15">
        <v>3743</v>
      </c>
      <c r="I1984" s="15">
        <v>594.95000000000005</v>
      </c>
    </row>
    <row r="1985" spans="1:9">
      <c r="A1985" s="13">
        <v>45083</v>
      </c>
      <c r="B1985" s="91">
        <f t="shared" si="32"/>
        <v>2023</v>
      </c>
      <c r="C1985" s="15" t="s">
        <v>2141</v>
      </c>
      <c r="D1985" s="15" t="s">
        <v>2114</v>
      </c>
      <c r="E1985" s="15" t="s">
        <v>2145</v>
      </c>
      <c r="F1985" s="15" t="s">
        <v>2124</v>
      </c>
      <c r="G1985" s="15" t="s">
        <v>2125</v>
      </c>
      <c r="H1985" s="15">
        <v>7429</v>
      </c>
      <c r="I1985" s="15">
        <v>1818.76</v>
      </c>
    </row>
    <row r="1986" spans="1:9">
      <c r="A1986" s="13">
        <v>45122</v>
      </c>
      <c r="B1986" s="91">
        <f t="shared" si="32"/>
        <v>2023</v>
      </c>
      <c r="C1986" s="15" t="s">
        <v>107</v>
      </c>
      <c r="D1986" s="15" t="s">
        <v>2128</v>
      </c>
      <c r="E1986" s="15" t="s">
        <v>2119</v>
      </c>
      <c r="F1986" s="15" t="s">
        <v>2116</v>
      </c>
      <c r="G1986" s="15" t="s">
        <v>2127</v>
      </c>
      <c r="H1986" s="15">
        <v>3557</v>
      </c>
      <c r="I1986" s="15">
        <v>1049.24</v>
      </c>
    </row>
    <row r="1987" spans="1:9">
      <c r="A1987" s="13">
        <v>44860</v>
      </c>
      <c r="B1987" s="91">
        <f t="shared" ref="B1987:B2050" si="33">YEAR(A1987)</f>
        <v>2022</v>
      </c>
      <c r="C1987" s="15" t="s">
        <v>107</v>
      </c>
      <c r="D1987" s="15" t="s">
        <v>2148</v>
      </c>
      <c r="E1987" s="15" t="s">
        <v>2143</v>
      </c>
      <c r="F1987" s="15" t="s">
        <v>2124</v>
      </c>
      <c r="G1987" s="15" t="s">
        <v>2130</v>
      </c>
      <c r="H1987" s="15">
        <v>9598</v>
      </c>
      <c r="I1987" s="15">
        <v>2380.98</v>
      </c>
    </row>
    <row r="1988" spans="1:9">
      <c r="A1988" s="13">
        <v>44976</v>
      </c>
      <c r="B1988" s="91">
        <f t="shared" si="33"/>
        <v>2023</v>
      </c>
      <c r="C1988" s="15" t="s">
        <v>107</v>
      </c>
      <c r="D1988" s="15" t="s">
        <v>2135</v>
      </c>
      <c r="E1988" s="15" t="s">
        <v>2119</v>
      </c>
      <c r="F1988" s="15" t="s">
        <v>2124</v>
      </c>
      <c r="G1988" s="15" t="s">
        <v>2130</v>
      </c>
      <c r="H1988" s="15">
        <v>5731</v>
      </c>
      <c r="I1988" s="15">
        <v>1226.45</v>
      </c>
    </row>
    <row r="1989" spans="1:9">
      <c r="A1989" s="13">
        <v>45029</v>
      </c>
      <c r="B1989" s="91">
        <f t="shared" si="33"/>
        <v>2023</v>
      </c>
      <c r="C1989" s="15" t="s">
        <v>104</v>
      </c>
      <c r="D1989" s="15" t="s">
        <v>2128</v>
      </c>
      <c r="E1989" s="15" t="s">
        <v>2115</v>
      </c>
      <c r="F1989" s="15" t="s">
        <v>2120</v>
      </c>
      <c r="G1989" s="15" t="s">
        <v>2121</v>
      </c>
      <c r="H1989" s="15">
        <v>6446</v>
      </c>
      <c r="I1989" s="15">
        <v>1927.86</v>
      </c>
    </row>
    <row r="1990" spans="1:9">
      <c r="A1990" s="13">
        <v>45085</v>
      </c>
      <c r="B1990" s="91">
        <f t="shared" si="33"/>
        <v>2023</v>
      </c>
      <c r="C1990" s="15" t="s">
        <v>2113</v>
      </c>
      <c r="D1990" s="15" t="s">
        <v>2131</v>
      </c>
      <c r="E1990" s="15" t="s">
        <v>2151</v>
      </c>
      <c r="F1990" s="15" t="s">
        <v>2124</v>
      </c>
      <c r="G1990" s="15" t="s">
        <v>2125</v>
      </c>
      <c r="H1990" s="15">
        <v>4657</v>
      </c>
      <c r="I1990" s="15">
        <v>940.4</v>
      </c>
    </row>
    <row r="1991" spans="1:9">
      <c r="A1991" s="13">
        <v>44602</v>
      </c>
      <c r="B1991" s="91">
        <f t="shared" si="33"/>
        <v>2022</v>
      </c>
      <c r="C1991" s="15" t="s">
        <v>2141</v>
      </c>
      <c r="D1991" s="15" t="s">
        <v>2114</v>
      </c>
      <c r="E1991" s="15" t="s">
        <v>2119</v>
      </c>
      <c r="F1991" s="15" t="s">
        <v>2124</v>
      </c>
      <c r="G1991" s="15" t="s">
        <v>2140</v>
      </c>
      <c r="H1991" s="15">
        <v>2717</v>
      </c>
      <c r="I1991" s="15">
        <v>336.7</v>
      </c>
    </row>
    <row r="1992" spans="1:9">
      <c r="A1992" s="13">
        <v>45097</v>
      </c>
      <c r="B1992" s="91">
        <f t="shared" si="33"/>
        <v>2023</v>
      </c>
      <c r="C1992" s="15" t="s">
        <v>107</v>
      </c>
      <c r="D1992" s="15" t="s">
        <v>2128</v>
      </c>
      <c r="E1992" s="15" t="s">
        <v>2134</v>
      </c>
      <c r="F1992" s="15" t="s">
        <v>2120</v>
      </c>
      <c r="G1992" s="15" t="s">
        <v>2121</v>
      </c>
      <c r="H1992" s="15">
        <v>1231</v>
      </c>
      <c r="I1992" s="15">
        <v>202.99</v>
      </c>
    </row>
    <row r="1993" spans="1:9">
      <c r="A1993" s="13">
        <v>45143</v>
      </c>
      <c r="B1993" s="91">
        <f t="shared" si="33"/>
        <v>2023</v>
      </c>
      <c r="C1993" s="15" t="s">
        <v>2113</v>
      </c>
      <c r="D1993" s="15" t="s">
        <v>2153</v>
      </c>
      <c r="E1993" s="15" t="s">
        <v>2144</v>
      </c>
      <c r="F1993" s="15" t="s">
        <v>2124</v>
      </c>
      <c r="G1993" s="15" t="s">
        <v>2125</v>
      </c>
      <c r="H1993" s="15">
        <v>4467</v>
      </c>
      <c r="I1993" s="15">
        <v>958.94</v>
      </c>
    </row>
    <row r="1994" spans="1:9">
      <c r="A1994" s="13">
        <v>45297</v>
      </c>
      <c r="B1994" s="91">
        <f t="shared" si="33"/>
        <v>2024</v>
      </c>
      <c r="C1994" s="15" t="s">
        <v>104</v>
      </c>
      <c r="D1994" s="15" t="s">
        <v>2114</v>
      </c>
      <c r="E1994" s="15" t="s">
        <v>2145</v>
      </c>
      <c r="F1994" s="15" t="s">
        <v>2124</v>
      </c>
      <c r="G1994" s="15" t="s">
        <v>2125</v>
      </c>
      <c r="H1994" s="15">
        <v>7518</v>
      </c>
      <c r="I1994" s="15">
        <v>1802.49</v>
      </c>
    </row>
    <row r="1995" spans="1:9">
      <c r="A1995" s="13">
        <v>45652</v>
      </c>
      <c r="B1995" s="91">
        <f t="shared" si="33"/>
        <v>2024</v>
      </c>
      <c r="C1995" s="15" t="s">
        <v>2141</v>
      </c>
      <c r="D1995" s="15" t="s">
        <v>2152</v>
      </c>
      <c r="E1995" s="15" t="s">
        <v>2123</v>
      </c>
      <c r="F1995" s="15" t="s">
        <v>2116</v>
      </c>
      <c r="G1995" s="15" t="s">
        <v>2117</v>
      </c>
      <c r="H1995" s="15">
        <v>2192</v>
      </c>
      <c r="I1995" s="15">
        <v>317.61</v>
      </c>
    </row>
    <row r="1996" spans="1:9">
      <c r="A1996" s="13">
        <v>44978</v>
      </c>
      <c r="B1996" s="91">
        <f t="shared" si="33"/>
        <v>2023</v>
      </c>
      <c r="C1996" s="15" t="s">
        <v>104</v>
      </c>
      <c r="D1996" s="15" t="s">
        <v>2142</v>
      </c>
      <c r="E1996" s="15" t="s">
        <v>2134</v>
      </c>
      <c r="F1996" s="15" t="s">
        <v>2138</v>
      </c>
      <c r="G1996" s="15" t="s">
        <v>2139</v>
      </c>
      <c r="H1996" s="15">
        <v>3099</v>
      </c>
      <c r="I1996" s="15">
        <v>690.01</v>
      </c>
    </row>
    <row r="1997" spans="1:9">
      <c r="A1997" s="13">
        <v>44912</v>
      </c>
      <c r="B1997" s="91">
        <f t="shared" si="33"/>
        <v>2022</v>
      </c>
      <c r="C1997" s="15" t="s">
        <v>2113</v>
      </c>
      <c r="D1997" s="15" t="s">
        <v>2114</v>
      </c>
      <c r="E1997" s="15" t="s">
        <v>2123</v>
      </c>
      <c r="F1997" s="15" t="s">
        <v>2138</v>
      </c>
      <c r="G1997" s="15" t="s">
        <v>2139</v>
      </c>
      <c r="H1997" s="15">
        <v>3389</v>
      </c>
      <c r="I1997" s="15">
        <v>955.62</v>
      </c>
    </row>
    <row r="1998" spans="1:9">
      <c r="A1998" s="13">
        <v>45178</v>
      </c>
      <c r="B1998" s="91">
        <f t="shared" si="33"/>
        <v>2023</v>
      </c>
      <c r="C1998" s="15" t="s">
        <v>107</v>
      </c>
      <c r="D1998" s="15" t="s">
        <v>2114</v>
      </c>
      <c r="E1998" s="15" t="s">
        <v>2144</v>
      </c>
      <c r="F1998" s="15" t="s">
        <v>2124</v>
      </c>
      <c r="G1998" s="15" t="s">
        <v>2140</v>
      </c>
      <c r="H1998" s="15">
        <v>4215</v>
      </c>
      <c r="I1998" s="15">
        <v>667.38</v>
      </c>
    </row>
    <row r="1999" spans="1:9">
      <c r="A1999" s="13">
        <v>44910</v>
      </c>
      <c r="B1999" s="91">
        <f t="shared" si="33"/>
        <v>2022</v>
      </c>
      <c r="C1999" s="15" t="s">
        <v>104</v>
      </c>
      <c r="D1999" s="15" t="s">
        <v>2114</v>
      </c>
      <c r="E1999" s="15" t="s">
        <v>2123</v>
      </c>
      <c r="F1999" s="15" t="s">
        <v>2116</v>
      </c>
      <c r="G1999" s="15" t="s">
        <v>2117</v>
      </c>
      <c r="H1999" s="15">
        <v>4776</v>
      </c>
      <c r="I1999" s="15">
        <v>1424.36</v>
      </c>
    </row>
    <row r="2000" spans="1:9">
      <c r="A2000" s="13">
        <v>45039</v>
      </c>
      <c r="B2000" s="91">
        <f t="shared" si="33"/>
        <v>2023</v>
      </c>
      <c r="C2000" s="15" t="s">
        <v>107</v>
      </c>
      <c r="D2000" s="15" t="s">
        <v>2148</v>
      </c>
      <c r="E2000" s="15" t="s">
        <v>2143</v>
      </c>
      <c r="F2000" s="15" t="s">
        <v>2120</v>
      </c>
      <c r="G2000" s="15" t="s">
        <v>2121</v>
      </c>
      <c r="H2000" s="15">
        <v>6214</v>
      </c>
      <c r="I2000" s="15">
        <v>1569.89</v>
      </c>
    </row>
    <row r="2001" spans="1:9">
      <c r="A2001" s="13">
        <v>45408</v>
      </c>
      <c r="B2001" s="91">
        <f t="shared" si="33"/>
        <v>2024</v>
      </c>
      <c r="C2001" s="15" t="s">
        <v>2141</v>
      </c>
      <c r="D2001" s="15" t="s">
        <v>2135</v>
      </c>
      <c r="E2001" s="15" t="s">
        <v>2123</v>
      </c>
      <c r="F2001" s="15" t="s">
        <v>2120</v>
      </c>
      <c r="G2001" s="15" t="s">
        <v>2133</v>
      </c>
      <c r="H2001" s="15">
        <v>3068</v>
      </c>
      <c r="I2001" s="15">
        <v>780.4</v>
      </c>
    </row>
    <row r="2002" spans="1:9">
      <c r="A2002" s="13">
        <v>45461</v>
      </c>
      <c r="B2002" s="91">
        <f t="shared" si="33"/>
        <v>2024</v>
      </c>
      <c r="C2002" s="15" t="s">
        <v>104</v>
      </c>
      <c r="D2002" s="15" t="s">
        <v>2148</v>
      </c>
      <c r="E2002" s="15" t="s">
        <v>2134</v>
      </c>
      <c r="F2002" s="15" t="s">
        <v>2116</v>
      </c>
      <c r="G2002" s="15" t="s">
        <v>2117</v>
      </c>
      <c r="H2002" s="15">
        <v>5483</v>
      </c>
      <c r="I2002" s="15">
        <v>1020.56</v>
      </c>
    </row>
    <row r="2003" spans="1:9">
      <c r="A2003" s="13">
        <v>45373</v>
      </c>
      <c r="B2003" s="91">
        <f t="shared" si="33"/>
        <v>2024</v>
      </c>
      <c r="C2003" s="15" t="s">
        <v>104</v>
      </c>
      <c r="D2003" s="15" t="s">
        <v>2126</v>
      </c>
      <c r="E2003" s="15" t="s">
        <v>2143</v>
      </c>
      <c r="F2003" s="15" t="s">
        <v>2124</v>
      </c>
      <c r="G2003" s="15" t="s">
        <v>2130</v>
      </c>
      <c r="H2003" s="15">
        <v>5689</v>
      </c>
      <c r="I2003" s="15">
        <v>601.29</v>
      </c>
    </row>
    <row r="2004" spans="1:9">
      <c r="A2004" s="13">
        <v>45119</v>
      </c>
      <c r="B2004" s="91">
        <f t="shared" si="33"/>
        <v>2023</v>
      </c>
      <c r="C2004" s="15" t="s">
        <v>107</v>
      </c>
      <c r="D2004" s="15" t="s">
        <v>2153</v>
      </c>
      <c r="E2004" s="15" t="s">
        <v>2136</v>
      </c>
      <c r="F2004" s="15" t="s">
        <v>2138</v>
      </c>
      <c r="G2004" s="15" t="s">
        <v>2149</v>
      </c>
      <c r="H2004" s="15">
        <v>1535</v>
      </c>
      <c r="I2004" s="15">
        <v>211.15</v>
      </c>
    </row>
    <row r="2005" spans="1:9">
      <c r="A2005" s="13">
        <v>45436</v>
      </c>
      <c r="B2005" s="91">
        <f t="shared" si="33"/>
        <v>2024</v>
      </c>
      <c r="C2005" s="15" t="s">
        <v>2113</v>
      </c>
      <c r="D2005" s="15" t="s">
        <v>2128</v>
      </c>
      <c r="E2005" s="15" t="s">
        <v>2144</v>
      </c>
      <c r="F2005" s="15" t="s">
        <v>2138</v>
      </c>
      <c r="G2005" s="15" t="s">
        <v>2139</v>
      </c>
      <c r="H2005" s="15">
        <v>7880</v>
      </c>
      <c r="I2005" s="15">
        <v>805.49</v>
      </c>
    </row>
    <row r="2006" spans="1:9">
      <c r="A2006" s="13">
        <v>44656</v>
      </c>
      <c r="B2006" s="91">
        <f t="shared" si="33"/>
        <v>2022</v>
      </c>
      <c r="C2006" s="15" t="s">
        <v>2141</v>
      </c>
      <c r="D2006" s="15" t="s">
        <v>2148</v>
      </c>
      <c r="E2006" s="15" t="s">
        <v>2151</v>
      </c>
      <c r="F2006" s="15" t="s">
        <v>2116</v>
      </c>
      <c r="G2006" s="15" t="s">
        <v>2154</v>
      </c>
      <c r="H2006" s="15">
        <v>2397</v>
      </c>
      <c r="I2006" s="15">
        <v>369.34</v>
      </c>
    </row>
    <row r="2007" spans="1:9">
      <c r="A2007" s="13">
        <v>45167</v>
      </c>
      <c r="B2007" s="91">
        <f t="shared" si="33"/>
        <v>2023</v>
      </c>
      <c r="C2007" s="15" t="s">
        <v>2113</v>
      </c>
      <c r="D2007" s="15" t="s">
        <v>2148</v>
      </c>
      <c r="E2007" s="15" t="s">
        <v>2136</v>
      </c>
      <c r="F2007" s="15" t="s">
        <v>2116</v>
      </c>
      <c r="G2007" s="15" t="s">
        <v>2154</v>
      </c>
      <c r="H2007" s="15">
        <v>7502</v>
      </c>
      <c r="I2007" s="15">
        <v>2242.04</v>
      </c>
    </row>
    <row r="2008" spans="1:9">
      <c r="A2008" s="13">
        <v>45623</v>
      </c>
      <c r="B2008" s="91">
        <f t="shared" si="33"/>
        <v>2024</v>
      </c>
      <c r="C2008" s="15" t="s">
        <v>104</v>
      </c>
      <c r="D2008" s="15" t="s">
        <v>2148</v>
      </c>
      <c r="E2008" s="15" t="s">
        <v>2119</v>
      </c>
      <c r="F2008" s="15" t="s">
        <v>2124</v>
      </c>
      <c r="G2008" s="15" t="s">
        <v>2125</v>
      </c>
      <c r="H2008" s="15">
        <v>9415</v>
      </c>
      <c r="I2008" s="15">
        <v>1572.84</v>
      </c>
    </row>
    <row r="2009" spans="1:9">
      <c r="A2009" s="13">
        <v>44931</v>
      </c>
      <c r="B2009" s="91">
        <f t="shared" si="33"/>
        <v>2023</v>
      </c>
      <c r="C2009" s="15" t="s">
        <v>104</v>
      </c>
      <c r="D2009" s="15" t="s">
        <v>2152</v>
      </c>
      <c r="E2009" s="15" t="s">
        <v>2144</v>
      </c>
      <c r="F2009" s="15" t="s">
        <v>2116</v>
      </c>
      <c r="G2009" s="15" t="s">
        <v>2117</v>
      </c>
      <c r="H2009" s="15">
        <v>6628</v>
      </c>
      <c r="I2009" s="15">
        <v>1011.11</v>
      </c>
    </row>
    <row r="2010" spans="1:9">
      <c r="A2010" s="13">
        <v>45093</v>
      </c>
      <c r="B2010" s="91">
        <f t="shared" si="33"/>
        <v>2023</v>
      </c>
      <c r="C2010" s="15" t="s">
        <v>2113</v>
      </c>
      <c r="D2010" s="15" t="s">
        <v>2148</v>
      </c>
      <c r="E2010" s="15" t="s">
        <v>2144</v>
      </c>
      <c r="F2010" s="15" t="s">
        <v>2124</v>
      </c>
      <c r="G2010" s="15" t="s">
        <v>2125</v>
      </c>
      <c r="H2010" s="15">
        <v>7485</v>
      </c>
      <c r="I2010" s="15">
        <v>1585.7</v>
      </c>
    </row>
    <row r="2011" spans="1:9">
      <c r="A2011" s="13">
        <v>45365</v>
      </c>
      <c r="B2011" s="91">
        <f t="shared" si="33"/>
        <v>2024</v>
      </c>
      <c r="C2011" s="15" t="s">
        <v>2113</v>
      </c>
      <c r="D2011" s="15" t="s">
        <v>2128</v>
      </c>
      <c r="E2011" s="15" t="s">
        <v>2119</v>
      </c>
      <c r="F2011" s="15" t="s">
        <v>2124</v>
      </c>
      <c r="G2011" s="15" t="s">
        <v>2130</v>
      </c>
      <c r="H2011" s="15">
        <v>7611</v>
      </c>
      <c r="I2011" s="15">
        <v>1901.72</v>
      </c>
    </row>
    <row r="2012" spans="1:9">
      <c r="A2012" s="13">
        <v>44709</v>
      </c>
      <c r="B2012" s="91">
        <f t="shared" si="33"/>
        <v>2022</v>
      </c>
      <c r="C2012" s="15" t="s">
        <v>2141</v>
      </c>
      <c r="D2012" s="15" t="s">
        <v>2153</v>
      </c>
      <c r="E2012" s="15" t="s">
        <v>2144</v>
      </c>
      <c r="F2012" s="15" t="s">
        <v>2124</v>
      </c>
      <c r="G2012" s="15" t="s">
        <v>2140</v>
      </c>
      <c r="H2012" s="15">
        <v>8781</v>
      </c>
      <c r="I2012" s="15">
        <v>1319.38</v>
      </c>
    </row>
    <row r="2013" spans="1:9">
      <c r="A2013" s="13">
        <v>44779</v>
      </c>
      <c r="B2013" s="91">
        <f t="shared" si="33"/>
        <v>2022</v>
      </c>
      <c r="C2013" s="15" t="s">
        <v>104</v>
      </c>
      <c r="D2013" s="15" t="s">
        <v>2118</v>
      </c>
      <c r="E2013" s="15" t="s">
        <v>2115</v>
      </c>
      <c r="F2013" s="15" t="s">
        <v>2124</v>
      </c>
      <c r="G2013" s="15" t="s">
        <v>2125</v>
      </c>
      <c r="H2013" s="15">
        <v>5979</v>
      </c>
      <c r="I2013" s="15">
        <v>1669.52</v>
      </c>
    </row>
    <row r="2014" spans="1:9">
      <c r="A2014" s="13">
        <v>45627</v>
      </c>
      <c r="B2014" s="91">
        <f t="shared" si="33"/>
        <v>2024</v>
      </c>
      <c r="C2014" s="15" t="s">
        <v>107</v>
      </c>
      <c r="D2014" s="15" t="s">
        <v>2126</v>
      </c>
      <c r="E2014" s="15" t="s">
        <v>2123</v>
      </c>
      <c r="F2014" s="15" t="s">
        <v>2138</v>
      </c>
      <c r="G2014" s="15" t="s">
        <v>2149</v>
      </c>
      <c r="H2014" s="15">
        <v>8779</v>
      </c>
      <c r="I2014" s="15">
        <v>1071.78</v>
      </c>
    </row>
    <row r="2015" spans="1:9">
      <c r="A2015" s="13">
        <v>44609</v>
      </c>
      <c r="B2015" s="91">
        <f t="shared" si="33"/>
        <v>2022</v>
      </c>
      <c r="C2015" s="15" t="s">
        <v>2113</v>
      </c>
      <c r="D2015" s="15" t="s">
        <v>2153</v>
      </c>
      <c r="E2015" s="15" t="s">
        <v>2129</v>
      </c>
      <c r="F2015" s="15" t="s">
        <v>2120</v>
      </c>
      <c r="G2015" s="15" t="s">
        <v>2133</v>
      </c>
      <c r="H2015" s="15">
        <v>4971</v>
      </c>
      <c r="I2015" s="15">
        <v>1381.01</v>
      </c>
    </row>
    <row r="2016" spans="1:9">
      <c r="A2016" s="13">
        <v>45099</v>
      </c>
      <c r="B2016" s="91">
        <f t="shared" si="33"/>
        <v>2023</v>
      </c>
      <c r="C2016" s="15" t="s">
        <v>2113</v>
      </c>
      <c r="D2016" s="15" t="s">
        <v>2118</v>
      </c>
      <c r="E2016" s="15" t="s">
        <v>2123</v>
      </c>
      <c r="F2016" s="15" t="s">
        <v>2124</v>
      </c>
      <c r="G2016" s="15" t="s">
        <v>2125</v>
      </c>
      <c r="H2016" s="15">
        <v>2241</v>
      </c>
      <c r="I2016" s="15">
        <v>322.57</v>
      </c>
    </row>
    <row r="2017" spans="1:9">
      <c r="A2017" s="13">
        <v>44581</v>
      </c>
      <c r="B2017" s="91">
        <f t="shared" si="33"/>
        <v>2022</v>
      </c>
      <c r="C2017" s="15" t="s">
        <v>104</v>
      </c>
      <c r="D2017" s="15" t="s">
        <v>2135</v>
      </c>
      <c r="E2017" s="15" t="s">
        <v>2136</v>
      </c>
      <c r="F2017" s="15" t="s">
        <v>2120</v>
      </c>
      <c r="G2017" s="15" t="s">
        <v>2133</v>
      </c>
      <c r="H2017" s="15">
        <v>3638</v>
      </c>
      <c r="I2017" s="15">
        <v>379.32</v>
      </c>
    </row>
    <row r="2018" spans="1:9">
      <c r="A2018" s="13">
        <v>45034</v>
      </c>
      <c r="B2018" s="91">
        <f t="shared" si="33"/>
        <v>2023</v>
      </c>
      <c r="C2018" s="15" t="s">
        <v>2141</v>
      </c>
      <c r="D2018" s="15" t="s">
        <v>2118</v>
      </c>
      <c r="E2018" s="15" t="s">
        <v>2119</v>
      </c>
      <c r="F2018" s="15" t="s">
        <v>2116</v>
      </c>
      <c r="G2018" s="15" t="s">
        <v>2127</v>
      </c>
      <c r="H2018" s="15">
        <v>9989</v>
      </c>
      <c r="I2018" s="15">
        <v>2595.9299999999998</v>
      </c>
    </row>
    <row r="2019" spans="1:9">
      <c r="A2019" s="13">
        <v>45509</v>
      </c>
      <c r="B2019" s="91">
        <f t="shared" si="33"/>
        <v>2024</v>
      </c>
      <c r="C2019" s="15" t="s">
        <v>2141</v>
      </c>
      <c r="D2019" s="15" t="s">
        <v>2114</v>
      </c>
      <c r="E2019" s="15" t="s">
        <v>2129</v>
      </c>
      <c r="F2019" s="15" t="s">
        <v>2116</v>
      </c>
      <c r="G2019" s="15" t="s">
        <v>2154</v>
      </c>
      <c r="H2019" s="15">
        <v>6522</v>
      </c>
      <c r="I2019" s="15">
        <v>1301.0899999999999</v>
      </c>
    </row>
    <row r="2020" spans="1:9">
      <c r="A2020" s="13">
        <v>45557</v>
      </c>
      <c r="B2020" s="91">
        <f t="shared" si="33"/>
        <v>2024</v>
      </c>
      <c r="C2020" s="15" t="s">
        <v>107</v>
      </c>
      <c r="D2020" s="15" t="s">
        <v>2153</v>
      </c>
      <c r="E2020" s="15" t="s">
        <v>2136</v>
      </c>
      <c r="F2020" s="15" t="s">
        <v>2120</v>
      </c>
      <c r="G2020" s="15" t="s">
        <v>2121</v>
      </c>
      <c r="H2020" s="15">
        <v>3095</v>
      </c>
      <c r="I2020" s="15">
        <v>841.15</v>
      </c>
    </row>
    <row r="2021" spans="1:9">
      <c r="A2021" s="13">
        <v>45054</v>
      </c>
      <c r="B2021" s="91">
        <f t="shared" si="33"/>
        <v>2023</v>
      </c>
      <c r="C2021" s="15" t="s">
        <v>2141</v>
      </c>
      <c r="D2021" s="15" t="s">
        <v>2148</v>
      </c>
      <c r="E2021" s="15" t="s">
        <v>2129</v>
      </c>
      <c r="F2021" s="15" t="s">
        <v>2120</v>
      </c>
      <c r="G2021" s="15" t="s">
        <v>2121</v>
      </c>
      <c r="H2021" s="15">
        <v>2891</v>
      </c>
      <c r="I2021" s="15">
        <v>829.83</v>
      </c>
    </row>
    <row r="2022" spans="1:9">
      <c r="A2022" s="13">
        <v>45190</v>
      </c>
      <c r="B2022" s="91">
        <f t="shared" si="33"/>
        <v>2023</v>
      </c>
      <c r="C2022" s="15" t="s">
        <v>2113</v>
      </c>
      <c r="D2022" s="15" t="s">
        <v>2118</v>
      </c>
      <c r="E2022" s="15" t="s">
        <v>2134</v>
      </c>
      <c r="F2022" s="15" t="s">
        <v>2120</v>
      </c>
      <c r="G2022" s="15" t="s">
        <v>2121</v>
      </c>
      <c r="H2022" s="15">
        <v>9741</v>
      </c>
      <c r="I2022" s="15">
        <v>1714.23</v>
      </c>
    </row>
    <row r="2023" spans="1:9">
      <c r="A2023" s="13">
        <v>44888</v>
      </c>
      <c r="B2023" s="91">
        <f t="shared" si="33"/>
        <v>2022</v>
      </c>
      <c r="C2023" s="15" t="s">
        <v>104</v>
      </c>
      <c r="D2023" s="15" t="s">
        <v>2148</v>
      </c>
      <c r="E2023" s="15" t="s">
        <v>2145</v>
      </c>
      <c r="F2023" s="15" t="s">
        <v>2138</v>
      </c>
      <c r="G2023" s="15" t="s">
        <v>2149</v>
      </c>
      <c r="H2023" s="15">
        <v>2573</v>
      </c>
      <c r="I2023" s="15">
        <v>726.84</v>
      </c>
    </row>
    <row r="2024" spans="1:9">
      <c r="A2024" s="13">
        <v>45043</v>
      </c>
      <c r="B2024" s="91">
        <f t="shared" si="33"/>
        <v>2023</v>
      </c>
      <c r="C2024" s="15" t="s">
        <v>2113</v>
      </c>
      <c r="D2024" s="15" t="s">
        <v>2126</v>
      </c>
      <c r="E2024" s="15" t="s">
        <v>2129</v>
      </c>
      <c r="F2024" s="15" t="s">
        <v>2120</v>
      </c>
      <c r="G2024" s="15" t="s">
        <v>2133</v>
      </c>
      <c r="H2024" s="15">
        <v>7969</v>
      </c>
      <c r="I2024" s="15">
        <v>1764.49</v>
      </c>
    </row>
    <row r="2025" spans="1:9">
      <c r="A2025" s="13">
        <v>45314</v>
      </c>
      <c r="B2025" s="91">
        <f t="shared" si="33"/>
        <v>2024</v>
      </c>
      <c r="C2025" s="15" t="s">
        <v>104</v>
      </c>
      <c r="D2025" s="15" t="s">
        <v>2126</v>
      </c>
      <c r="E2025" s="15" t="s">
        <v>2119</v>
      </c>
      <c r="F2025" s="15" t="s">
        <v>2138</v>
      </c>
      <c r="G2025" s="15" t="s">
        <v>2139</v>
      </c>
      <c r="H2025" s="15">
        <v>7570</v>
      </c>
      <c r="I2025" s="15">
        <v>1425.33</v>
      </c>
    </row>
    <row r="2026" spans="1:9">
      <c r="A2026" s="13">
        <v>45374</v>
      </c>
      <c r="B2026" s="91">
        <f t="shared" si="33"/>
        <v>2024</v>
      </c>
      <c r="C2026" s="15" t="s">
        <v>104</v>
      </c>
      <c r="D2026" s="15" t="s">
        <v>2142</v>
      </c>
      <c r="E2026" s="15" t="s">
        <v>2129</v>
      </c>
      <c r="F2026" s="15" t="s">
        <v>2120</v>
      </c>
      <c r="G2026" s="15" t="s">
        <v>2133</v>
      </c>
      <c r="H2026" s="15">
        <v>1446</v>
      </c>
      <c r="I2026" s="15">
        <v>426.06</v>
      </c>
    </row>
    <row r="2027" spans="1:9">
      <c r="A2027" s="13">
        <v>45321</v>
      </c>
      <c r="B2027" s="91">
        <f t="shared" si="33"/>
        <v>2024</v>
      </c>
      <c r="C2027" s="15" t="s">
        <v>2113</v>
      </c>
      <c r="D2027" s="15" t="s">
        <v>2135</v>
      </c>
      <c r="E2027" s="15" t="s">
        <v>2143</v>
      </c>
      <c r="F2027" s="15" t="s">
        <v>2124</v>
      </c>
      <c r="G2027" s="15" t="s">
        <v>2125</v>
      </c>
      <c r="H2027" s="15">
        <v>1023</v>
      </c>
      <c r="I2027" s="15">
        <v>280.35000000000002</v>
      </c>
    </row>
    <row r="2028" spans="1:9">
      <c r="A2028" s="13">
        <v>44700</v>
      </c>
      <c r="B2028" s="91">
        <f t="shared" si="33"/>
        <v>2022</v>
      </c>
      <c r="C2028" s="15" t="s">
        <v>107</v>
      </c>
      <c r="D2028" s="15" t="s">
        <v>2142</v>
      </c>
      <c r="E2028" s="15" t="s">
        <v>2129</v>
      </c>
      <c r="F2028" s="15" t="s">
        <v>2120</v>
      </c>
      <c r="G2028" s="15" t="s">
        <v>2121</v>
      </c>
      <c r="H2028" s="15">
        <v>7864</v>
      </c>
      <c r="I2028" s="15">
        <v>1114.26</v>
      </c>
    </row>
    <row r="2029" spans="1:9">
      <c r="A2029" s="13">
        <v>45277</v>
      </c>
      <c r="B2029" s="91">
        <f t="shared" si="33"/>
        <v>2023</v>
      </c>
      <c r="C2029" s="15" t="s">
        <v>107</v>
      </c>
      <c r="D2029" s="15" t="s">
        <v>2131</v>
      </c>
      <c r="E2029" s="15" t="s">
        <v>2129</v>
      </c>
      <c r="F2029" s="15" t="s">
        <v>2120</v>
      </c>
      <c r="G2029" s="15" t="s">
        <v>2121</v>
      </c>
      <c r="H2029" s="15">
        <v>3095</v>
      </c>
      <c r="I2029" s="15">
        <v>866.89</v>
      </c>
    </row>
    <row r="2030" spans="1:9">
      <c r="A2030" s="13">
        <v>45243</v>
      </c>
      <c r="B2030" s="91">
        <f t="shared" si="33"/>
        <v>2023</v>
      </c>
      <c r="C2030" s="15" t="s">
        <v>104</v>
      </c>
      <c r="D2030" s="15" t="s">
        <v>2114</v>
      </c>
      <c r="E2030" s="15" t="s">
        <v>2119</v>
      </c>
      <c r="F2030" s="15" t="s">
        <v>2138</v>
      </c>
      <c r="G2030" s="15" t="s">
        <v>2139</v>
      </c>
      <c r="H2030" s="15">
        <v>6510</v>
      </c>
      <c r="I2030" s="15">
        <v>1153.3900000000001</v>
      </c>
    </row>
    <row r="2031" spans="1:9">
      <c r="A2031" s="13">
        <v>45569</v>
      </c>
      <c r="B2031" s="91">
        <f t="shared" si="33"/>
        <v>2024</v>
      </c>
      <c r="C2031" s="15" t="s">
        <v>2141</v>
      </c>
      <c r="D2031" s="15" t="s">
        <v>2152</v>
      </c>
      <c r="E2031" s="15" t="s">
        <v>2143</v>
      </c>
      <c r="F2031" s="15" t="s">
        <v>2120</v>
      </c>
      <c r="G2031" s="15" t="s">
        <v>2133</v>
      </c>
      <c r="H2031" s="15">
        <v>8645</v>
      </c>
      <c r="I2031" s="15">
        <v>1308.53</v>
      </c>
    </row>
    <row r="2032" spans="1:9">
      <c r="A2032" s="13">
        <v>44959</v>
      </c>
      <c r="B2032" s="91">
        <f t="shared" si="33"/>
        <v>2023</v>
      </c>
      <c r="C2032" s="15" t="s">
        <v>2141</v>
      </c>
      <c r="D2032" s="15" t="s">
        <v>2128</v>
      </c>
      <c r="E2032" s="15" t="s">
        <v>2119</v>
      </c>
      <c r="F2032" s="15" t="s">
        <v>2138</v>
      </c>
      <c r="G2032" s="15" t="s">
        <v>2149</v>
      </c>
      <c r="H2032" s="15">
        <v>7110</v>
      </c>
      <c r="I2032" s="15">
        <v>2014.4</v>
      </c>
    </row>
    <row r="2033" spans="1:9">
      <c r="A2033" s="13">
        <v>44964</v>
      </c>
      <c r="B2033" s="91">
        <f t="shared" si="33"/>
        <v>2023</v>
      </c>
      <c r="C2033" s="15" t="s">
        <v>2141</v>
      </c>
      <c r="D2033" s="15" t="s">
        <v>2153</v>
      </c>
      <c r="E2033" s="15" t="s">
        <v>2136</v>
      </c>
      <c r="F2033" s="15" t="s">
        <v>2120</v>
      </c>
      <c r="G2033" s="15" t="s">
        <v>2121</v>
      </c>
      <c r="H2033" s="15">
        <v>5541</v>
      </c>
      <c r="I2033" s="15">
        <v>1373.16</v>
      </c>
    </row>
    <row r="2034" spans="1:9">
      <c r="A2034" s="13">
        <v>45129</v>
      </c>
      <c r="B2034" s="91">
        <f t="shared" si="33"/>
        <v>2023</v>
      </c>
      <c r="C2034" s="15" t="s">
        <v>104</v>
      </c>
      <c r="D2034" s="15" t="s">
        <v>2148</v>
      </c>
      <c r="E2034" s="15" t="s">
        <v>2136</v>
      </c>
      <c r="F2034" s="15" t="s">
        <v>2124</v>
      </c>
      <c r="G2034" s="15" t="s">
        <v>2140</v>
      </c>
      <c r="H2034" s="15">
        <v>2989</v>
      </c>
      <c r="I2034" s="15">
        <v>559.05999999999995</v>
      </c>
    </row>
    <row r="2035" spans="1:9">
      <c r="A2035" s="13">
        <v>44785</v>
      </c>
      <c r="B2035" s="91">
        <f t="shared" si="33"/>
        <v>2022</v>
      </c>
      <c r="C2035" s="15" t="s">
        <v>2113</v>
      </c>
      <c r="D2035" s="15" t="s">
        <v>2128</v>
      </c>
      <c r="E2035" s="15" t="s">
        <v>2123</v>
      </c>
      <c r="F2035" s="15" t="s">
        <v>2120</v>
      </c>
      <c r="G2035" s="15" t="s">
        <v>2133</v>
      </c>
      <c r="H2035" s="15">
        <v>4981</v>
      </c>
      <c r="I2035" s="15">
        <v>1021.17</v>
      </c>
    </row>
    <row r="2036" spans="1:9">
      <c r="A2036" s="13">
        <v>45617</v>
      </c>
      <c r="B2036" s="91">
        <f t="shared" si="33"/>
        <v>2024</v>
      </c>
      <c r="C2036" s="15" t="s">
        <v>2141</v>
      </c>
      <c r="D2036" s="15" t="s">
        <v>2128</v>
      </c>
      <c r="E2036" s="15" t="s">
        <v>2144</v>
      </c>
      <c r="F2036" s="15" t="s">
        <v>2124</v>
      </c>
      <c r="G2036" s="15" t="s">
        <v>2125</v>
      </c>
      <c r="H2036" s="15">
        <v>1084</v>
      </c>
      <c r="I2036" s="15">
        <v>161.71</v>
      </c>
    </row>
    <row r="2037" spans="1:9">
      <c r="A2037" s="13">
        <v>44707</v>
      </c>
      <c r="B2037" s="91">
        <f t="shared" si="33"/>
        <v>2022</v>
      </c>
      <c r="C2037" s="15" t="s">
        <v>107</v>
      </c>
      <c r="D2037" s="15" t="s">
        <v>2126</v>
      </c>
      <c r="E2037" s="15" t="s">
        <v>2119</v>
      </c>
      <c r="F2037" s="15" t="s">
        <v>2116</v>
      </c>
      <c r="G2037" s="15" t="s">
        <v>2127</v>
      </c>
      <c r="H2037" s="15">
        <v>7657</v>
      </c>
      <c r="I2037" s="15">
        <v>905.2</v>
      </c>
    </row>
    <row r="2038" spans="1:9">
      <c r="A2038" s="13">
        <v>45640</v>
      </c>
      <c r="B2038" s="91">
        <f t="shared" si="33"/>
        <v>2024</v>
      </c>
      <c r="C2038" s="15" t="s">
        <v>107</v>
      </c>
      <c r="D2038" s="15" t="s">
        <v>2126</v>
      </c>
      <c r="E2038" s="15" t="s">
        <v>2136</v>
      </c>
      <c r="F2038" s="15" t="s">
        <v>2138</v>
      </c>
      <c r="G2038" s="15" t="s">
        <v>2139</v>
      </c>
      <c r="H2038" s="15">
        <v>3800</v>
      </c>
      <c r="I2038" s="15">
        <v>1050.6400000000001</v>
      </c>
    </row>
    <row r="2039" spans="1:9">
      <c r="A2039" s="13">
        <v>44584</v>
      </c>
      <c r="B2039" s="91">
        <f t="shared" si="33"/>
        <v>2022</v>
      </c>
      <c r="C2039" s="15" t="s">
        <v>2113</v>
      </c>
      <c r="D2039" s="15" t="s">
        <v>2118</v>
      </c>
      <c r="E2039" s="15" t="s">
        <v>2151</v>
      </c>
      <c r="F2039" s="15" t="s">
        <v>2120</v>
      </c>
      <c r="G2039" s="15" t="s">
        <v>2132</v>
      </c>
      <c r="H2039" s="15">
        <v>4130</v>
      </c>
      <c r="I2039" s="15">
        <v>1085.6600000000001</v>
      </c>
    </row>
    <row r="2040" spans="1:9">
      <c r="A2040" s="13">
        <v>45412</v>
      </c>
      <c r="B2040" s="91">
        <f t="shared" si="33"/>
        <v>2024</v>
      </c>
      <c r="C2040" s="15" t="s">
        <v>2113</v>
      </c>
      <c r="D2040" s="15" t="s">
        <v>2153</v>
      </c>
      <c r="E2040" s="15" t="s">
        <v>2123</v>
      </c>
      <c r="F2040" s="15" t="s">
        <v>2138</v>
      </c>
      <c r="G2040" s="15" t="s">
        <v>2149</v>
      </c>
      <c r="H2040" s="15">
        <v>9462</v>
      </c>
      <c r="I2040" s="15">
        <v>2828.51</v>
      </c>
    </row>
    <row r="2041" spans="1:9">
      <c r="A2041" s="13">
        <v>45227</v>
      </c>
      <c r="B2041" s="91">
        <f t="shared" si="33"/>
        <v>2023</v>
      </c>
      <c r="C2041" s="15" t="s">
        <v>2113</v>
      </c>
      <c r="D2041" s="15" t="s">
        <v>2142</v>
      </c>
      <c r="E2041" s="15" t="s">
        <v>2115</v>
      </c>
      <c r="F2041" s="15" t="s">
        <v>2120</v>
      </c>
      <c r="G2041" s="15" t="s">
        <v>2132</v>
      </c>
      <c r="H2041" s="15">
        <v>6080</v>
      </c>
      <c r="I2041" s="15">
        <v>1748.41</v>
      </c>
    </row>
    <row r="2042" spans="1:9">
      <c r="A2042" s="13">
        <v>45640</v>
      </c>
      <c r="B2042" s="91">
        <f t="shared" si="33"/>
        <v>2024</v>
      </c>
      <c r="C2042" s="15" t="s">
        <v>107</v>
      </c>
      <c r="D2042" s="15" t="s">
        <v>2142</v>
      </c>
      <c r="E2042" s="15" t="s">
        <v>2136</v>
      </c>
      <c r="F2042" s="15" t="s">
        <v>2120</v>
      </c>
      <c r="G2042" s="15" t="s">
        <v>2132</v>
      </c>
      <c r="H2042" s="15">
        <v>1745</v>
      </c>
      <c r="I2042" s="15">
        <v>449.36</v>
      </c>
    </row>
    <row r="2043" spans="1:9">
      <c r="A2043" s="13">
        <v>44882</v>
      </c>
      <c r="B2043" s="91">
        <f t="shared" si="33"/>
        <v>2022</v>
      </c>
      <c r="C2043" s="15" t="s">
        <v>2141</v>
      </c>
      <c r="D2043" s="15" t="s">
        <v>2128</v>
      </c>
      <c r="E2043" s="15" t="s">
        <v>2136</v>
      </c>
      <c r="F2043" s="15" t="s">
        <v>2120</v>
      </c>
      <c r="G2043" s="15" t="s">
        <v>2133</v>
      </c>
      <c r="H2043" s="15">
        <v>2771</v>
      </c>
      <c r="I2043" s="15">
        <v>597.33000000000004</v>
      </c>
    </row>
    <row r="2044" spans="1:9">
      <c r="A2044" s="13">
        <v>45111</v>
      </c>
      <c r="B2044" s="91">
        <f t="shared" si="33"/>
        <v>2023</v>
      </c>
      <c r="C2044" s="15" t="s">
        <v>107</v>
      </c>
      <c r="D2044" s="15" t="s">
        <v>2148</v>
      </c>
      <c r="E2044" s="15" t="s">
        <v>2115</v>
      </c>
      <c r="F2044" s="15" t="s">
        <v>2116</v>
      </c>
      <c r="G2044" s="15" t="s">
        <v>2127</v>
      </c>
      <c r="H2044" s="15">
        <v>3366</v>
      </c>
      <c r="I2044" s="15">
        <v>719.01</v>
      </c>
    </row>
    <row r="2045" spans="1:9">
      <c r="A2045" s="13">
        <v>44626</v>
      </c>
      <c r="B2045" s="91">
        <f t="shared" si="33"/>
        <v>2022</v>
      </c>
      <c r="C2045" s="15" t="s">
        <v>2113</v>
      </c>
      <c r="D2045" s="15" t="s">
        <v>2114</v>
      </c>
      <c r="E2045" s="15" t="s">
        <v>2129</v>
      </c>
      <c r="F2045" s="15" t="s">
        <v>2116</v>
      </c>
      <c r="G2045" s="15" t="s">
        <v>2154</v>
      </c>
      <c r="H2045" s="15">
        <v>6508</v>
      </c>
      <c r="I2045" s="15">
        <v>1033.7</v>
      </c>
    </row>
    <row r="2046" spans="1:9">
      <c r="A2046" s="13">
        <v>45360</v>
      </c>
      <c r="B2046" s="91">
        <f t="shared" si="33"/>
        <v>2024</v>
      </c>
      <c r="C2046" s="15" t="s">
        <v>2141</v>
      </c>
      <c r="D2046" s="15" t="s">
        <v>2118</v>
      </c>
      <c r="E2046" s="15" t="s">
        <v>2144</v>
      </c>
      <c r="F2046" s="15" t="s">
        <v>2124</v>
      </c>
      <c r="G2046" s="15" t="s">
        <v>2125</v>
      </c>
      <c r="H2046" s="15">
        <v>3169</v>
      </c>
      <c r="I2046" s="15">
        <v>911.25</v>
      </c>
    </row>
    <row r="2047" spans="1:9">
      <c r="A2047" s="13">
        <v>45592</v>
      </c>
      <c r="B2047" s="91">
        <f t="shared" si="33"/>
        <v>2024</v>
      </c>
      <c r="C2047" s="15" t="s">
        <v>107</v>
      </c>
      <c r="D2047" s="15" t="s">
        <v>2118</v>
      </c>
      <c r="E2047" s="15" t="s">
        <v>2151</v>
      </c>
      <c r="F2047" s="15" t="s">
        <v>2116</v>
      </c>
      <c r="G2047" s="15" t="s">
        <v>2154</v>
      </c>
      <c r="H2047" s="15">
        <v>5935</v>
      </c>
      <c r="I2047" s="15">
        <v>1142.51</v>
      </c>
    </row>
    <row r="2048" spans="1:9">
      <c r="A2048" s="13">
        <v>45025</v>
      </c>
      <c r="B2048" s="91">
        <f t="shared" si="33"/>
        <v>2023</v>
      </c>
      <c r="C2048" s="15" t="s">
        <v>107</v>
      </c>
      <c r="D2048" s="15" t="s">
        <v>2152</v>
      </c>
      <c r="E2048" s="15" t="s">
        <v>2115</v>
      </c>
      <c r="F2048" s="15" t="s">
        <v>2116</v>
      </c>
      <c r="G2048" s="15" t="s">
        <v>2154</v>
      </c>
      <c r="H2048" s="15">
        <v>3502</v>
      </c>
      <c r="I2048" s="15">
        <v>523.16999999999996</v>
      </c>
    </row>
    <row r="2049" spans="1:9">
      <c r="A2049" s="13">
        <v>45571</v>
      </c>
      <c r="B2049" s="91">
        <f t="shared" si="33"/>
        <v>2024</v>
      </c>
      <c r="C2049" s="15" t="s">
        <v>104</v>
      </c>
      <c r="D2049" s="15" t="s">
        <v>2126</v>
      </c>
      <c r="E2049" s="15" t="s">
        <v>2143</v>
      </c>
      <c r="F2049" s="15" t="s">
        <v>2116</v>
      </c>
      <c r="G2049" s="15" t="s">
        <v>2117</v>
      </c>
      <c r="H2049" s="15">
        <v>3246</v>
      </c>
      <c r="I2049" s="15">
        <v>963.5</v>
      </c>
    </row>
    <row r="2050" spans="1:9">
      <c r="A2050" s="13">
        <v>45080</v>
      </c>
      <c r="B2050" s="91">
        <f t="shared" si="33"/>
        <v>2023</v>
      </c>
      <c r="C2050" s="15" t="s">
        <v>2141</v>
      </c>
      <c r="D2050" s="15" t="s">
        <v>2118</v>
      </c>
      <c r="E2050" s="15" t="s">
        <v>2134</v>
      </c>
      <c r="F2050" s="15" t="s">
        <v>2138</v>
      </c>
      <c r="G2050" s="15" t="s">
        <v>2139</v>
      </c>
      <c r="H2050" s="15">
        <v>6898</v>
      </c>
      <c r="I2050" s="15">
        <v>839.86</v>
      </c>
    </row>
    <row r="2051" spans="1:9">
      <c r="A2051" s="13">
        <v>44838</v>
      </c>
      <c r="B2051" s="91">
        <f t="shared" ref="B2051:B2114" si="34">YEAR(A2051)</f>
        <v>2022</v>
      </c>
      <c r="C2051" s="15" t="s">
        <v>2141</v>
      </c>
      <c r="D2051" s="15" t="s">
        <v>2118</v>
      </c>
      <c r="E2051" s="15" t="s">
        <v>2136</v>
      </c>
      <c r="F2051" s="15" t="s">
        <v>2120</v>
      </c>
      <c r="G2051" s="15" t="s">
        <v>2121</v>
      </c>
      <c r="H2051" s="15">
        <v>1944</v>
      </c>
      <c r="I2051" s="15">
        <v>347.77</v>
      </c>
    </row>
    <row r="2052" spans="1:9">
      <c r="A2052" s="13">
        <v>44721</v>
      </c>
      <c r="B2052" s="91">
        <f t="shared" si="34"/>
        <v>2022</v>
      </c>
      <c r="C2052" s="15" t="s">
        <v>104</v>
      </c>
      <c r="D2052" s="15" t="s">
        <v>2153</v>
      </c>
      <c r="E2052" s="15" t="s">
        <v>2151</v>
      </c>
      <c r="F2052" s="15" t="s">
        <v>2124</v>
      </c>
      <c r="G2052" s="15" t="s">
        <v>2130</v>
      </c>
      <c r="H2052" s="15">
        <v>1225</v>
      </c>
      <c r="I2052" s="15">
        <v>275.48</v>
      </c>
    </row>
    <row r="2053" spans="1:9">
      <c r="A2053" s="13">
        <v>45298</v>
      </c>
      <c r="B2053" s="91">
        <f t="shared" si="34"/>
        <v>2024</v>
      </c>
      <c r="C2053" s="15" t="s">
        <v>2141</v>
      </c>
      <c r="D2053" s="15" t="s">
        <v>2135</v>
      </c>
      <c r="E2053" s="15" t="s">
        <v>2144</v>
      </c>
      <c r="F2053" s="15" t="s">
        <v>2138</v>
      </c>
      <c r="G2053" s="15" t="s">
        <v>2139</v>
      </c>
      <c r="H2053" s="15">
        <v>8161</v>
      </c>
      <c r="I2053" s="15">
        <v>1778.01</v>
      </c>
    </row>
    <row r="2054" spans="1:9">
      <c r="A2054" s="13">
        <v>44835</v>
      </c>
      <c r="B2054" s="91">
        <f t="shared" si="34"/>
        <v>2022</v>
      </c>
      <c r="C2054" s="15" t="s">
        <v>107</v>
      </c>
      <c r="D2054" s="15" t="s">
        <v>2152</v>
      </c>
      <c r="E2054" s="15" t="s">
        <v>2129</v>
      </c>
      <c r="F2054" s="15" t="s">
        <v>2116</v>
      </c>
      <c r="G2054" s="15" t="s">
        <v>2154</v>
      </c>
      <c r="H2054" s="15">
        <v>9541</v>
      </c>
      <c r="I2054" s="15">
        <v>1939.82</v>
      </c>
    </row>
    <row r="2055" spans="1:9">
      <c r="A2055" s="13">
        <v>45569</v>
      </c>
      <c r="B2055" s="91">
        <f t="shared" si="34"/>
        <v>2024</v>
      </c>
      <c r="C2055" s="15" t="s">
        <v>2113</v>
      </c>
      <c r="D2055" s="15" t="s">
        <v>2148</v>
      </c>
      <c r="E2055" s="15" t="s">
        <v>2115</v>
      </c>
      <c r="F2055" s="15" t="s">
        <v>2124</v>
      </c>
      <c r="G2055" s="15" t="s">
        <v>2130</v>
      </c>
      <c r="H2055" s="15">
        <v>9261</v>
      </c>
      <c r="I2055" s="15">
        <v>2568.0500000000002</v>
      </c>
    </row>
    <row r="2056" spans="1:9">
      <c r="A2056" s="13">
        <v>45447</v>
      </c>
      <c r="B2056" s="91">
        <f t="shared" si="34"/>
        <v>2024</v>
      </c>
      <c r="C2056" s="15" t="s">
        <v>107</v>
      </c>
      <c r="D2056" s="15" t="s">
        <v>2126</v>
      </c>
      <c r="E2056" s="15" t="s">
        <v>2151</v>
      </c>
      <c r="F2056" s="15" t="s">
        <v>2124</v>
      </c>
      <c r="G2056" s="15" t="s">
        <v>2140</v>
      </c>
      <c r="H2056" s="15">
        <v>1541</v>
      </c>
      <c r="I2056" s="15">
        <v>440.45</v>
      </c>
    </row>
    <row r="2057" spans="1:9">
      <c r="A2057" s="13">
        <v>44628</v>
      </c>
      <c r="B2057" s="91">
        <f t="shared" si="34"/>
        <v>2022</v>
      </c>
      <c r="C2057" s="15" t="s">
        <v>104</v>
      </c>
      <c r="D2057" s="15" t="s">
        <v>2131</v>
      </c>
      <c r="E2057" s="15" t="s">
        <v>2129</v>
      </c>
      <c r="F2057" s="15" t="s">
        <v>2124</v>
      </c>
      <c r="G2057" s="15" t="s">
        <v>2125</v>
      </c>
      <c r="H2057" s="15">
        <v>4047</v>
      </c>
      <c r="I2057" s="15">
        <v>931.98</v>
      </c>
    </row>
    <row r="2058" spans="1:9">
      <c r="A2058" s="13">
        <v>45376</v>
      </c>
      <c r="B2058" s="91">
        <f t="shared" si="34"/>
        <v>2024</v>
      </c>
      <c r="C2058" s="15" t="s">
        <v>2141</v>
      </c>
      <c r="D2058" s="15" t="s">
        <v>2131</v>
      </c>
      <c r="E2058" s="15" t="s">
        <v>2123</v>
      </c>
      <c r="F2058" s="15" t="s">
        <v>2116</v>
      </c>
      <c r="G2058" s="15" t="s">
        <v>2154</v>
      </c>
      <c r="H2058" s="15">
        <v>2752</v>
      </c>
      <c r="I2058" s="15">
        <v>758.11</v>
      </c>
    </row>
    <row r="2059" spans="1:9">
      <c r="A2059" s="13">
        <v>45503</v>
      </c>
      <c r="B2059" s="91">
        <f t="shared" si="34"/>
        <v>2024</v>
      </c>
      <c r="C2059" s="15" t="s">
        <v>2141</v>
      </c>
      <c r="D2059" s="15" t="s">
        <v>2135</v>
      </c>
      <c r="E2059" s="15" t="s">
        <v>2119</v>
      </c>
      <c r="F2059" s="15" t="s">
        <v>2138</v>
      </c>
      <c r="G2059" s="15" t="s">
        <v>2139</v>
      </c>
      <c r="H2059" s="15">
        <v>8356</v>
      </c>
      <c r="I2059" s="15">
        <v>2178.15</v>
      </c>
    </row>
    <row r="2060" spans="1:9">
      <c r="A2060" s="13">
        <v>44866</v>
      </c>
      <c r="B2060" s="91">
        <f t="shared" si="34"/>
        <v>2022</v>
      </c>
      <c r="C2060" s="15" t="s">
        <v>107</v>
      </c>
      <c r="D2060" s="15" t="s">
        <v>2152</v>
      </c>
      <c r="E2060" s="15" t="s">
        <v>2144</v>
      </c>
      <c r="F2060" s="15" t="s">
        <v>2138</v>
      </c>
      <c r="G2060" s="15" t="s">
        <v>2139</v>
      </c>
      <c r="H2060" s="15">
        <v>3677</v>
      </c>
      <c r="I2060" s="15">
        <v>1085.75</v>
      </c>
    </row>
    <row r="2061" spans="1:9">
      <c r="A2061" s="13">
        <v>45140</v>
      </c>
      <c r="B2061" s="91">
        <f t="shared" si="34"/>
        <v>2023</v>
      </c>
      <c r="C2061" s="15" t="s">
        <v>104</v>
      </c>
      <c r="D2061" s="15" t="s">
        <v>2148</v>
      </c>
      <c r="E2061" s="15" t="s">
        <v>2136</v>
      </c>
      <c r="F2061" s="15" t="s">
        <v>2138</v>
      </c>
      <c r="G2061" s="15" t="s">
        <v>2146</v>
      </c>
      <c r="H2061" s="15">
        <v>1997</v>
      </c>
      <c r="I2061" s="15">
        <v>493.83</v>
      </c>
    </row>
    <row r="2062" spans="1:9">
      <c r="A2062" s="13">
        <v>44582</v>
      </c>
      <c r="B2062" s="91">
        <f t="shared" si="34"/>
        <v>2022</v>
      </c>
      <c r="C2062" s="15" t="s">
        <v>2113</v>
      </c>
      <c r="D2062" s="15" t="s">
        <v>2142</v>
      </c>
      <c r="E2062" s="15" t="s">
        <v>2123</v>
      </c>
      <c r="F2062" s="15" t="s">
        <v>2120</v>
      </c>
      <c r="G2062" s="15" t="s">
        <v>2133</v>
      </c>
      <c r="H2062" s="15">
        <v>8867</v>
      </c>
      <c r="I2062" s="15">
        <v>1563.84</v>
      </c>
    </row>
    <row r="2063" spans="1:9">
      <c r="A2063" s="13">
        <v>45126</v>
      </c>
      <c r="B2063" s="91">
        <f t="shared" si="34"/>
        <v>2023</v>
      </c>
      <c r="C2063" s="15" t="s">
        <v>2113</v>
      </c>
      <c r="D2063" s="15" t="s">
        <v>2152</v>
      </c>
      <c r="E2063" s="15" t="s">
        <v>2119</v>
      </c>
      <c r="F2063" s="15" t="s">
        <v>2124</v>
      </c>
      <c r="G2063" s="15" t="s">
        <v>2140</v>
      </c>
      <c r="H2063" s="15">
        <v>4409</v>
      </c>
      <c r="I2063" s="15">
        <v>458.15</v>
      </c>
    </row>
    <row r="2064" spans="1:9">
      <c r="A2064" s="13">
        <v>45477</v>
      </c>
      <c r="B2064" s="91">
        <f t="shared" si="34"/>
        <v>2024</v>
      </c>
      <c r="C2064" s="15" t="s">
        <v>107</v>
      </c>
      <c r="D2064" s="15" t="s">
        <v>2142</v>
      </c>
      <c r="E2064" s="15" t="s">
        <v>2119</v>
      </c>
      <c r="F2064" s="15" t="s">
        <v>2120</v>
      </c>
      <c r="G2064" s="15" t="s">
        <v>2132</v>
      </c>
      <c r="H2064" s="15">
        <v>6846</v>
      </c>
      <c r="I2064" s="15">
        <v>1907.74</v>
      </c>
    </row>
    <row r="2065" spans="1:9">
      <c r="A2065" s="13">
        <v>45432</v>
      </c>
      <c r="B2065" s="91">
        <f t="shared" si="34"/>
        <v>2024</v>
      </c>
      <c r="C2065" s="15" t="s">
        <v>104</v>
      </c>
      <c r="D2065" s="15" t="s">
        <v>2142</v>
      </c>
      <c r="E2065" s="15" t="s">
        <v>2115</v>
      </c>
      <c r="F2065" s="15" t="s">
        <v>2124</v>
      </c>
      <c r="G2065" s="15" t="s">
        <v>2125</v>
      </c>
      <c r="H2065" s="15">
        <v>5644</v>
      </c>
      <c r="I2065" s="15">
        <v>973.44</v>
      </c>
    </row>
    <row r="2066" spans="1:9">
      <c r="A2066" s="13">
        <v>45437</v>
      </c>
      <c r="B2066" s="91">
        <f t="shared" si="34"/>
        <v>2024</v>
      </c>
      <c r="C2066" s="15" t="s">
        <v>2141</v>
      </c>
      <c r="D2066" s="15" t="s">
        <v>2126</v>
      </c>
      <c r="E2066" s="15" t="s">
        <v>2144</v>
      </c>
      <c r="F2066" s="15" t="s">
        <v>2138</v>
      </c>
      <c r="G2066" s="15" t="s">
        <v>2149</v>
      </c>
      <c r="H2066" s="15">
        <v>2925</v>
      </c>
      <c r="I2066" s="15">
        <v>357.96</v>
      </c>
    </row>
    <row r="2067" spans="1:9">
      <c r="A2067" s="13">
        <v>45176</v>
      </c>
      <c r="B2067" s="91">
        <f t="shared" si="34"/>
        <v>2023</v>
      </c>
      <c r="C2067" s="15" t="s">
        <v>104</v>
      </c>
      <c r="D2067" s="15" t="s">
        <v>2118</v>
      </c>
      <c r="E2067" s="15" t="s">
        <v>2151</v>
      </c>
      <c r="F2067" s="15" t="s">
        <v>2120</v>
      </c>
      <c r="G2067" s="15" t="s">
        <v>2132</v>
      </c>
      <c r="H2067" s="15">
        <v>7668</v>
      </c>
      <c r="I2067" s="15">
        <v>2168.2399999999998</v>
      </c>
    </row>
    <row r="2068" spans="1:9">
      <c r="A2068" s="13">
        <v>44805</v>
      </c>
      <c r="B2068" s="91">
        <f t="shared" si="34"/>
        <v>2022</v>
      </c>
      <c r="C2068" s="15" t="s">
        <v>2141</v>
      </c>
      <c r="D2068" s="15" t="s">
        <v>2118</v>
      </c>
      <c r="E2068" s="15" t="s">
        <v>2119</v>
      </c>
      <c r="F2068" s="15" t="s">
        <v>2138</v>
      </c>
      <c r="G2068" s="15" t="s">
        <v>2149</v>
      </c>
      <c r="H2068" s="15">
        <v>9248</v>
      </c>
      <c r="I2068" s="15">
        <v>2753.03</v>
      </c>
    </row>
    <row r="2069" spans="1:9">
      <c r="A2069" s="13">
        <v>44670</v>
      </c>
      <c r="B2069" s="91">
        <f t="shared" si="34"/>
        <v>2022</v>
      </c>
      <c r="C2069" s="15" t="s">
        <v>107</v>
      </c>
      <c r="D2069" s="15" t="s">
        <v>2152</v>
      </c>
      <c r="E2069" s="15" t="s">
        <v>2115</v>
      </c>
      <c r="F2069" s="15" t="s">
        <v>2120</v>
      </c>
      <c r="G2069" s="15" t="s">
        <v>2133</v>
      </c>
      <c r="H2069" s="15">
        <v>7868</v>
      </c>
      <c r="I2069" s="15">
        <v>839.16</v>
      </c>
    </row>
    <row r="2070" spans="1:9">
      <c r="A2070" s="13">
        <v>44622</v>
      </c>
      <c r="B2070" s="91">
        <f t="shared" si="34"/>
        <v>2022</v>
      </c>
      <c r="C2070" s="15" t="s">
        <v>2141</v>
      </c>
      <c r="D2070" s="15" t="s">
        <v>2131</v>
      </c>
      <c r="E2070" s="15" t="s">
        <v>2129</v>
      </c>
      <c r="F2070" s="15" t="s">
        <v>2120</v>
      </c>
      <c r="G2070" s="15" t="s">
        <v>2121</v>
      </c>
      <c r="H2070" s="15">
        <v>2235</v>
      </c>
      <c r="I2070" s="15">
        <v>525.54999999999995</v>
      </c>
    </row>
    <row r="2071" spans="1:9">
      <c r="A2071" s="13">
        <v>44708</v>
      </c>
      <c r="B2071" s="91">
        <f t="shared" si="34"/>
        <v>2022</v>
      </c>
      <c r="C2071" s="15" t="s">
        <v>2141</v>
      </c>
      <c r="D2071" s="15" t="s">
        <v>2153</v>
      </c>
      <c r="E2071" s="15" t="s">
        <v>2129</v>
      </c>
      <c r="F2071" s="15" t="s">
        <v>2120</v>
      </c>
      <c r="G2071" s="15" t="s">
        <v>2121</v>
      </c>
      <c r="H2071" s="15">
        <v>2386</v>
      </c>
      <c r="I2071" s="15">
        <v>356.04</v>
      </c>
    </row>
    <row r="2072" spans="1:9">
      <c r="A2072" s="13">
        <v>45357</v>
      </c>
      <c r="B2072" s="91">
        <f t="shared" si="34"/>
        <v>2024</v>
      </c>
      <c r="C2072" s="15" t="s">
        <v>107</v>
      </c>
      <c r="D2072" s="15" t="s">
        <v>2131</v>
      </c>
      <c r="E2072" s="15" t="s">
        <v>2143</v>
      </c>
      <c r="F2072" s="15" t="s">
        <v>2120</v>
      </c>
      <c r="G2072" s="15" t="s">
        <v>2132</v>
      </c>
      <c r="H2072" s="15">
        <v>7192</v>
      </c>
      <c r="I2072" s="15">
        <v>1410.91</v>
      </c>
    </row>
    <row r="2073" spans="1:9">
      <c r="A2073" s="13">
        <v>45511</v>
      </c>
      <c r="B2073" s="91">
        <f t="shared" si="34"/>
        <v>2024</v>
      </c>
      <c r="C2073" s="15" t="s">
        <v>104</v>
      </c>
      <c r="D2073" s="15" t="s">
        <v>2135</v>
      </c>
      <c r="E2073" s="15" t="s">
        <v>2129</v>
      </c>
      <c r="F2073" s="15" t="s">
        <v>2138</v>
      </c>
      <c r="G2073" s="15" t="s">
        <v>2149</v>
      </c>
      <c r="H2073" s="15">
        <v>9433</v>
      </c>
      <c r="I2073" s="15">
        <v>1116.43</v>
      </c>
    </row>
    <row r="2074" spans="1:9">
      <c r="A2074" s="13">
        <v>45551</v>
      </c>
      <c r="B2074" s="91">
        <f t="shared" si="34"/>
        <v>2024</v>
      </c>
      <c r="C2074" s="15" t="s">
        <v>107</v>
      </c>
      <c r="D2074" s="15" t="s">
        <v>2148</v>
      </c>
      <c r="E2074" s="15" t="s">
        <v>2123</v>
      </c>
      <c r="F2074" s="15" t="s">
        <v>2138</v>
      </c>
      <c r="G2074" s="15" t="s">
        <v>2149</v>
      </c>
      <c r="H2074" s="15">
        <v>4904</v>
      </c>
      <c r="I2074" s="15">
        <v>1130.56</v>
      </c>
    </row>
    <row r="2075" spans="1:9">
      <c r="A2075" s="13">
        <v>44683</v>
      </c>
      <c r="B2075" s="91">
        <f t="shared" si="34"/>
        <v>2022</v>
      </c>
      <c r="C2075" s="15" t="s">
        <v>104</v>
      </c>
      <c r="D2075" s="15" t="s">
        <v>2152</v>
      </c>
      <c r="E2075" s="15" t="s">
        <v>2134</v>
      </c>
      <c r="F2075" s="15" t="s">
        <v>2120</v>
      </c>
      <c r="G2075" s="15" t="s">
        <v>2121</v>
      </c>
      <c r="H2075" s="15">
        <v>8027</v>
      </c>
      <c r="I2075" s="15">
        <v>1170.8499999999999</v>
      </c>
    </row>
    <row r="2076" spans="1:9">
      <c r="A2076" s="13">
        <v>45599</v>
      </c>
      <c r="B2076" s="91">
        <f t="shared" si="34"/>
        <v>2024</v>
      </c>
      <c r="C2076" s="15" t="s">
        <v>2113</v>
      </c>
      <c r="D2076" s="15" t="s">
        <v>2142</v>
      </c>
      <c r="E2076" s="15" t="s">
        <v>2123</v>
      </c>
      <c r="F2076" s="15" t="s">
        <v>2120</v>
      </c>
      <c r="G2076" s="15" t="s">
        <v>2133</v>
      </c>
      <c r="H2076" s="15">
        <v>7919</v>
      </c>
      <c r="I2076" s="15">
        <v>1082.25</v>
      </c>
    </row>
    <row r="2077" spans="1:9">
      <c r="A2077" s="13">
        <v>44828</v>
      </c>
      <c r="B2077" s="91">
        <f t="shared" si="34"/>
        <v>2022</v>
      </c>
      <c r="C2077" s="15" t="s">
        <v>107</v>
      </c>
      <c r="D2077" s="15" t="s">
        <v>2118</v>
      </c>
      <c r="E2077" s="15" t="s">
        <v>2123</v>
      </c>
      <c r="F2077" s="15" t="s">
        <v>2120</v>
      </c>
      <c r="G2077" s="15" t="s">
        <v>2133</v>
      </c>
      <c r="H2077" s="15">
        <v>5915</v>
      </c>
      <c r="I2077" s="15">
        <v>1562.97</v>
      </c>
    </row>
    <row r="2078" spans="1:9">
      <c r="A2078" s="13">
        <v>45341</v>
      </c>
      <c r="B2078" s="91">
        <f t="shared" si="34"/>
        <v>2024</v>
      </c>
      <c r="C2078" s="15" t="s">
        <v>2113</v>
      </c>
      <c r="D2078" s="15" t="s">
        <v>2114</v>
      </c>
      <c r="E2078" s="15" t="s">
        <v>2151</v>
      </c>
      <c r="F2078" s="15" t="s">
        <v>2138</v>
      </c>
      <c r="G2078" s="15" t="s">
        <v>2149</v>
      </c>
      <c r="H2078" s="15">
        <v>9642</v>
      </c>
      <c r="I2078" s="15">
        <v>1841.57</v>
      </c>
    </row>
    <row r="2079" spans="1:9">
      <c r="A2079" s="13">
        <v>45580</v>
      </c>
      <c r="B2079" s="91">
        <f t="shared" si="34"/>
        <v>2024</v>
      </c>
      <c r="C2079" s="15" t="s">
        <v>2141</v>
      </c>
      <c r="D2079" s="15" t="s">
        <v>2152</v>
      </c>
      <c r="E2079" s="15" t="s">
        <v>2119</v>
      </c>
      <c r="F2079" s="15" t="s">
        <v>2138</v>
      </c>
      <c r="G2079" s="15" t="s">
        <v>2149</v>
      </c>
      <c r="H2079" s="15">
        <v>2375</v>
      </c>
      <c r="I2079" s="15">
        <v>501.23</v>
      </c>
    </row>
    <row r="2080" spans="1:9">
      <c r="A2080" s="13">
        <v>45045</v>
      </c>
      <c r="B2080" s="91">
        <f t="shared" si="34"/>
        <v>2023</v>
      </c>
      <c r="C2080" s="15" t="s">
        <v>107</v>
      </c>
      <c r="D2080" s="15" t="s">
        <v>2152</v>
      </c>
      <c r="E2080" s="15" t="s">
        <v>2144</v>
      </c>
      <c r="F2080" s="15" t="s">
        <v>2138</v>
      </c>
      <c r="G2080" s="15" t="s">
        <v>2139</v>
      </c>
      <c r="H2080" s="15">
        <v>2662</v>
      </c>
      <c r="I2080" s="15">
        <v>523.17999999999995</v>
      </c>
    </row>
    <row r="2081" spans="1:9">
      <c r="A2081" s="13">
        <v>44965</v>
      </c>
      <c r="B2081" s="91">
        <f t="shared" si="34"/>
        <v>2023</v>
      </c>
      <c r="C2081" s="15" t="s">
        <v>104</v>
      </c>
      <c r="D2081" s="15" t="s">
        <v>2131</v>
      </c>
      <c r="E2081" s="15" t="s">
        <v>2123</v>
      </c>
      <c r="F2081" s="15" t="s">
        <v>2120</v>
      </c>
      <c r="G2081" s="15" t="s">
        <v>2132</v>
      </c>
      <c r="H2081" s="15">
        <v>5976</v>
      </c>
      <c r="I2081" s="15">
        <v>1694.09</v>
      </c>
    </row>
    <row r="2082" spans="1:9">
      <c r="A2082" s="13">
        <v>45511</v>
      </c>
      <c r="B2082" s="91">
        <f t="shared" si="34"/>
        <v>2024</v>
      </c>
      <c r="C2082" s="15" t="s">
        <v>107</v>
      </c>
      <c r="D2082" s="15" t="s">
        <v>2142</v>
      </c>
      <c r="E2082" s="15" t="s">
        <v>2134</v>
      </c>
      <c r="F2082" s="15" t="s">
        <v>2124</v>
      </c>
      <c r="G2082" s="15" t="s">
        <v>2125</v>
      </c>
      <c r="H2082" s="15">
        <v>2403</v>
      </c>
      <c r="I2082" s="15">
        <v>330.72</v>
      </c>
    </row>
    <row r="2083" spans="1:9">
      <c r="A2083" s="13">
        <v>44758</v>
      </c>
      <c r="B2083" s="91">
        <f t="shared" si="34"/>
        <v>2022</v>
      </c>
      <c r="C2083" s="15" t="s">
        <v>104</v>
      </c>
      <c r="D2083" s="15" t="s">
        <v>2118</v>
      </c>
      <c r="E2083" s="15" t="s">
        <v>2151</v>
      </c>
      <c r="F2083" s="15" t="s">
        <v>2138</v>
      </c>
      <c r="G2083" s="15" t="s">
        <v>2139</v>
      </c>
      <c r="H2083" s="15">
        <v>1000</v>
      </c>
      <c r="I2083" s="15">
        <v>211.85</v>
      </c>
    </row>
    <row r="2084" spans="1:9">
      <c r="A2084" s="13">
        <v>45118</v>
      </c>
      <c r="B2084" s="91">
        <f t="shared" si="34"/>
        <v>2023</v>
      </c>
      <c r="C2084" s="15" t="s">
        <v>2141</v>
      </c>
      <c r="D2084" s="15" t="s">
        <v>2135</v>
      </c>
      <c r="E2084" s="15" t="s">
        <v>2115</v>
      </c>
      <c r="F2084" s="15" t="s">
        <v>2116</v>
      </c>
      <c r="G2084" s="15" t="s">
        <v>2117</v>
      </c>
      <c r="H2084" s="15">
        <v>5883</v>
      </c>
      <c r="I2084" s="15">
        <v>1446.86</v>
      </c>
    </row>
    <row r="2085" spans="1:9">
      <c r="A2085" s="13">
        <v>45410</v>
      </c>
      <c r="B2085" s="91">
        <f t="shared" si="34"/>
        <v>2024</v>
      </c>
      <c r="C2085" s="15" t="s">
        <v>104</v>
      </c>
      <c r="D2085" s="15" t="s">
        <v>2135</v>
      </c>
      <c r="E2085" s="15" t="s">
        <v>2151</v>
      </c>
      <c r="F2085" s="15" t="s">
        <v>2120</v>
      </c>
      <c r="G2085" s="15" t="s">
        <v>2133</v>
      </c>
      <c r="H2085" s="15">
        <v>2369</v>
      </c>
      <c r="I2085" s="15">
        <v>404.95</v>
      </c>
    </row>
    <row r="2086" spans="1:9">
      <c r="A2086" s="13">
        <v>45078</v>
      </c>
      <c r="B2086" s="91">
        <f t="shared" si="34"/>
        <v>2023</v>
      </c>
      <c r="C2086" s="15" t="s">
        <v>2113</v>
      </c>
      <c r="D2086" s="15" t="s">
        <v>2128</v>
      </c>
      <c r="E2086" s="15" t="s">
        <v>2136</v>
      </c>
      <c r="F2086" s="15" t="s">
        <v>2116</v>
      </c>
      <c r="G2086" s="15" t="s">
        <v>2154</v>
      </c>
      <c r="H2086" s="15">
        <v>7111</v>
      </c>
      <c r="I2086" s="15">
        <v>1261.07</v>
      </c>
    </row>
    <row r="2087" spans="1:9">
      <c r="A2087" s="13">
        <v>44819</v>
      </c>
      <c r="B2087" s="91">
        <f t="shared" si="34"/>
        <v>2022</v>
      </c>
      <c r="C2087" s="15" t="s">
        <v>107</v>
      </c>
      <c r="D2087" s="15" t="s">
        <v>2114</v>
      </c>
      <c r="E2087" s="15" t="s">
        <v>2129</v>
      </c>
      <c r="F2087" s="15" t="s">
        <v>2138</v>
      </c>
      <c r="G2087" s="15" t="s">
        <v>2149</v>
      </c>
      <c r="H2087" s="15">
        <v>2250</v>
      </c>
      <c r="I2087" s="15">
        <v>481.81</v>
      </c>
    </row>
    <row r="2088" spans="1:9">
      <c r="A2088" s="13">
        <v>45569</v>
      </c>
      <c r="B2088" s="91">
        <f t="shared" si="34"/>
        <v>2024</v>
      </c>
      <c r="C2088" s="15" t="s">
        <v>107</v>
      </c>
      <c r="D2088" s="15" t="s">
        <v>2148</v>
      </c>
      <c r="E2088" s="15" t="s">
        <v>2129</v>
      </c>
      <c r="F2088" s="15" t="s">
        <v>2116</v>
      </c>
      <c r="G2088" s="15" t="s">
        <v>2154</v>
      </c>
      <c r="H2088" s="15">
        <v>2248</v>
      </c>
      <c r="I2088" s="15">
        <v>356.92</v>
      </c>
    </row>
    <row r="2089" spans="1:9">
      <c r="A2089" s="13">
        <v>45240</v>
      </c>
      <c r="B2089" s="91">
        <f t="shared" si="34"/>
        <v>2023</v>
      </c>
      <c r="C2089" s="15" t="s">
        <v>107</v>
      </c>
      <c r="D2089" s="15" t="s">
        <v>2148</v>
      </c>
      <c r="E2089" s="15" t="s">
        <v>2129</v>
      </c>
      <c r="F2089" s="15" t="s">
        <v>2138</v>
      </c>
      <c r="G2089" s="15" t="s">
        <v>2139</v>
      </c>
      <c r="H2089" s="15">
        <v>4069</v>
      </c>
      <c r="I2089" s="15">
        <v>473.15</v>
      </c>
    </row>
    <row r="2090" spans="1:9">
      <c r="A2090" s="13">
        <v>45456</v>
      </c>
      <c r="B2090" s="91">
        <f t="shared" si="34"/>
        <v>2024</v>
      </c>
      <c r="C2090" s="15" t="s">
        <v>2141</v>
      </c>
      <c r="D2090" s="15" t="s">
        <v>2153</v>
      </c>
      <c r="E2090" s="15" t="s">
        <v>2134</v>
      </c>
      <c r="F2090" s="15" t="s">
        <v>2138</v>
      </c>
      <c r="G2090" s="15" t="s">
        <v>2149</v>
      </c>
      <c r="H2090" s="15">
        <v>1381</v>
      </c>
      <c r="I2090" s="15">
        <v>282.42</v>
      </c>
    </row>
    <row r="2091" spans="1:9">
      <c r="A2091" s="13">
        <v>45064</v>
      </c>
      <c r="B2091" s="91">
        <f t="shared" si="34"/>
        <v>2023</v>
      </c>
      <c r="C2091" s="15" t="s">
        <v>2141</v>
      </c>
      <c r="D2091" s="15" t="s">
        <v>2126</v>
      </c>
      <c r="E2091" s="15" t="s">
        <v>2136</v>
      </c>
      <c r="F2091" s="15" t="s">
        <v>2138</v>
      </c>
      <c r="G2091" s="15" t="s">
        <v>2146</v>
      </c>
      <c r="H2091" s="15">
        <v>4525</v>
      </c>
      <c r="I2091" s="15">
        <v>1275.92</v>
      </c>
    </row>
    <row r="2092" spans="1:9">
      <c r="A2092" s="13">
        <v>44855</v>
      </c>
      <c r="B2092" s="91">
        <f t="shared" si="34"/>
        <v>2022</v>
      </c>
      <c r="C2092" s="15" t="s">
        <v>104</v>
      </c>
      <c r="D2092" s="15" t="s">
        <v>2131</v>
      </c>
      <c r="E2092" s="15" t="s">
        <v>2136</v>
      </c>
      <c r="F2092" s="15" t="s">
        <v>2120</v>
      </c>
      <c r="G2092" s="15" t="s">
        <v>2132</v>
      </c>
      <c r="H2092" s="15">
        <v>6334</v>
      </c>
      <c r="I2092" s="15">
        <v>650.57000000000005</v>
      </c>
    </row>
    <row r="2093" spans="1:9">
      <c r="A2093" s="13">
        <v>45449</v>
      </c>
      <c r="B2093" s="91">
        <f t="shared" si="34"/>
        <v>2024</v>
      </c>
      <c r="C2093" s="15" t="s">
        <v>104</v>
      </c>
      <c r="D2093" s="15" t="s">
        <v>2148</v>
      </c>
      <c r="E2093" s="15" t="s">
        <v>2115</v>
      </c>
      <c r="F2093" s="15" t="s">
        <v>2120</v>
      </c>
      <c r="G2093" s="15" t="s">
        <v>2132</v>
      </c>
      <c r="H2093" s="15">
        <v>3359</v>
      </c>
      <c r="I2093" s="15">
        <v>630.98</v>
      </c>
    </row>
    <row r="2094" spans="1:9">
      <c r="A2094" s="13">
        <v>45014</v>
      </c>
      <c r="B2094" s="91">
        <f t="shared" si="34"/>
        <v>2023</v>
      </c>
      <c r="C2094" s="15" t="s">
        <v>2113</v>
      </c>
      <c r="D2094" s="15" t="s">
        <v>2135</v>
      </c>
      <c r="E2094" s="15" t="s">
        <v>2136</v>
      </c>
      <c r="F2094" s="15" t="s">
        <v>2116</v>
      </c>
      <c r="G2094" s="15" t="s">
        <v>2154</v>
      </c>
      <c r="H2094" s="15">
        <v>7791</v>
      </c>
      <c r="I2094" s="15">
        <v>2114.0300000000002</v>
      </c>
    </row>
    <row r="2095" spans="1:9">
      <c r="A2095" s="13">
        <v>45639</v>
      </c>
      <c r="B2095" s="91">
        <f t="shared" si="34"/>
        <v>2024</v>
      </c>
      <c r="C2095" s="15" t="s">
        <v>107</v>
      </c>
      <c r="D2095" s="15" t="s">
        <v>2148</v>
      </c>
      <c r="E2095" s="15" t="s">
        <v>2151</v>
      </c>
      <c r="F2095" s="15" t="s">
        <v>2124</v>
      </c>
      <c r="G2095" s="15" t="s">
        <v>2125</v>
      </c>
      <c r="H2095" s="15">
        <v>9036</v>
      </c>
      <c r="I2095" s="15">
        <v>1208.3</v>
      </c>
    </row>
    <row r="2096" spans="1:9">
      <c r="A2096" s="13">
        <v>44867</v>
      </c>
      <c r="B2096" s="91">
        <f t="shared" si="34"/>
        <v>2022</v>
      </c>
      <c r="C2096" s="15" t="s">
        <v>2141</v>
      </c>
      <c r="D2096" s="15" t="s">
        <v>2131</v>
      </c>
      <c r="E2096" s="15" t="s">
        <v>2129</v>
      </c>
      <c r="F2096" s="15" t="s">
        <v>2138</v>
      </c>
      <c r="G2096" s="15" t="s">
        <v>2146</v>
      </c>
      <c r="H2096" s="15">
        <v>4398</v>
      </c>
      <c r="I2096" s="15">
        <v>515.30999999999995</v>
      </c>
    </row>
    <row r="2097" spans="1:9">
      <c r="A2097" s="13">
        <v>45439</v>
      </c>
      <c r="B2097" s="91">
        <f t="shared" si="34"/>
        <v>2024</v>
      </c>
      <c r="C2097" s="15" t="s">
        <v>107</v>
      </c>
      <c r="D2097" s="15" t="s">
        <v>2118</v>
      </c>
      <c r="E2097" s="15" t="s">
        <v>2119</v>
      </c>
      <c r="F2097" s="15" t="s">
        <v>2124</v>
      </c>
      <c r="G2097" s="15" t="s">
        <v>2140</v>
      </c>
      <c r="H2097" s="15">
        <v>2083</v>
      </c>
      <c r="I2097" s="15">
        <v>559.27</v>
      </c>
    </row>
    <row r="2098" spans="1:9">
      <c r="A2098" s="13">
        <v>45103</v>
      </c>
      <c r="B2098" s="91">
        <f t="shared" si="34"/>
        <v>2023</v>
      </c>
      <c r="C2098" s="15" t="s">
        <v>2113</v>
      </c>
      <c r="D2098" s="15" t="s">
        <v>2148</v>
      </c>
      <c r="E2098" s="15" t="s">
        <v>2151</v>
      </c>
      <c r="F2098" s="15" t="s">
        <v>2138</v>
      </c>
      <c r="G2098" s="15" t="s">
        <v>2146</v>
      </c>
      <c r="H2098" s="15">
        <v>8150</v>
      </c>
      <c r="I2098" s="15">
        <v>1218.32</v>
      </c>
    </row>
    <row r="2099" spans="1:9">
      <c r="A2099" s="13">
        <v>44922</v>
      </c>
      <c r="B2099" s="91">
        <f t="shared" si="34"/>
        <v>2022</v>
      </c>
      <c r="C2099" s="15" t="s">
        <v>2113</v>
      </c>
      <c r="D2099" s="15" t="s">
        <v>2153</v>
      </c>
      <c r="E2099" s="15" t="s">
        <v>2115</v>
      </c>
      <c r="F2099" s="15" t="s">
        <v>2138</v>
      </c>
      <c r="G2099" s="15" t="s">
        <v>2146</v>
      </c>
      <c r="H2099" s="15">
        <v>1092</v>
      </c>
      <c r="I2099" s="15">
        <v>225.34</v>
      </c>
    </row>
    <row r="2100" spans="1:9">
      <c r="A2100" s="13">
        <v>45231</v>
      </c>
      <c r="B2100" s="91">
        <f t="shared" si="34"/>
        <v>2023</v>
      </c>
      <c r="C2100" s="15" t="s">
        <v>2141</v>
      </c>
      <c r="D2100" s="15" t="s">
        <v>2152</v>
      </c>
      <c r="E2100" s="15" t="s">
        <v>2115</v>
      </c>
      <c r="F2100" s="15" t="s">
        <v>2124</v>
      </c>
      <c r="G2100" s="15" t="s">
        <v>2130</v>
      </c>
      <c r="H2100" s="15">
        <v>4154</v>
      </c>
      <c r="I2100" s="15">
        <v>793.68</v>
      </c>
    </row>
    <row r="2101" spans="1:9">
      <c r="A2101" s="13">
        <v>44670</v>
      </c>
      <c r="B2101" s="91">
        <f t="shared" si="34"/>
        <v>2022</v>
      </c>
      <c r="C2101" s="15" t="s">
        <v>2141</v>
      </c>
      <c r="D2101" s="15" t="s">
        <v>2152</v>
      </c>
      <c r="E2101" s="15" t="s">
        <v>2145</v>
      </c>
      <c r="F2101" s="15" t="s">
        <v>2116</v>
      </c>
      <c r="G2101" s="15" t="s">
        <v>2117</v>
      </c>
      <c r="H2101" s="15">
        <v>7147</v>
      </c>
      <c r="I2101" s="15">
        <v>1544.39</v>
      </c>
    </row>
    <row r="2102" spans="1:9">
      <c r="A2102" s="13">
        <v>44882</v>
      </c>
      <c r="B2102" s="91">
        <f t="shared" si="34"/>
        <v>2022</v>
      </c>
      <c r="C2102" s="15" t="s">
        <v>104</v>
      </c>
      <c r="D2102" s="15" t="s">
        <v>2142</v>
      </c>
      <c r="E2102" s="15" t="s">
        <v>2119</v>
      </c>
      <c r="F2102" s="15" t="s">
        <v>2120</v>
      </c>
      <c r="G2102" s="15" t="s">
        <v>2133</v>
      </c>
      <c r="H2102" s="15">
        <v>8276</v>
      </c>
      <c r="I2102" s="15">
        <v>2461.13</v>
      </c>
    </row>
    <row r="2103" spans="1:9">
      <c r="A2103" s="13">
        <v>45343</v>
      </c>
      <c r="B2103" s="91">
        <f t="shared" si="34"/>
        <v>2024</v>
      </c>
      <c r="C2103" s="15" t="s">
        <v>107</v>
      </c>
      <c r="D2103" s="15" t="s">
        <v>2118</v>
      </c>
      <c r="E2103" s="15" t="s">
        <v>2145</v>
      </c>
      <c r="F2103" s="15" t="s">
        <v>2120</v>
      </c>
      <c r="G2103" s="15" t="s">
        <v>2133</v>
      </c>
      <c r="H2103" s="15">
        <v>2985</v>
      </c>
      <c r="I2103" s="15">
        <v>330.77</v>
      </c>
    </row>
    <row r="2104" spans="1:9">
      <c r="A2104" s="13">
        <v>44732</v>
      </c>
      <c r="B2104" s="91">
        <f t="shared" si="34"/>
        <v>2022</v>
      </c>
      <c r="C2104" s="15" t="s">
        <v>107</v>
      </c>
      <c r="D2104" s="15" t="s">
        <v>2131</v>
      </c>
      <c r="E2104" s="15" t="s">
        <v>2151</v>
      </c>
      <c r="F2104" s="15" t="s">
        <v>2116</v>
      </c>
      <c r="G2104" s="15" t="s">
        <v>2127</v>
      </c>
      <c r="H2104" s="15">
        <v>6606</v>
      </c>
      <c r="I2104" s="15">
        <v>1220.75</v>
      </c>
    </row>
    <row r="2105" spans="1:9">
      <c r="A2105" s="13">
        <v>44586</v>
      </c>
      <c r="B2105" s="91">
        <f t="shared" si="34"/>
        <v>2022</v>
      </c>
      <c r="C2105" s="15" t="s">
        <v>104</v>
      </c>
      <c r="D2105" s="15" t="s">
        <v>2131</v>
      </c>
      <c r="E2105" s="15" t="s">
        <v>2145</v>
      </c>
      <c r="F2105" s="15" t="s">
        <v>2138</v>
      </c>
      <c r="G2105" s="15" t="s">
        <v>2139</v>
      </c>
      <c r="H2105" s="15">
        <v>5135</v>
      </c>
      <c r="I2105" s="15">
        <v>938.88</v>
      </c>
    </row>
    <row r="2106" spans="1:9">
      <c r="A2106" s="13">
        <v>45207</v>
      </c>
      <c r="B2106" s="91">
        <f t="shared" si="34"/>
        <v>2023</v>
      </c>
      <c r="C2106" s="15" t="s">
        <v>2141</v>
      </c>
      <c r="D2106" s="15" t="s">
        <v>2131</v>
      </c>
      <c r="E2106" s="15" t="s">
        <v>2151</v>
      </c>
      <c r="F2106" s="15" t="s">
        <v>2124</v>
      </c>
      <c r="G2106" s="15" t="s">
        <v>2130</v>
      </c>
      <c r="H2106" s="15">
        <v>6292</v>
      </c>
      <c r="I2106" s="15">
        <v>815.76</v>
      </c>
    </row>
    <row r="2107" spans="1:9">
      <c r="A2107" s="13">
        <v>45246</v>
      </c>
      <c r="B2107" s="91">
        <f t="shared" si="34"/>
        <v>2023</v>
      </c>
      <c r="C2107" s="15" t="s">
        <v>2141</v>
      </c>
      <c r="D2107" s="15" t="s">
        <v>2128</v>
      </c>
      <c r="E2107" s="15" t="s">
        <v>2145</v>
      </c>
      <c r="F2107" s="15" t="s">
        <v>2124</v>
      </c>
      <c r="G2107" s="15" t="s">
        <v>2125</v>
      </c>
      <c r="H2107" s="15">
        <v>9006</v>
      </c>
      <c r="I2107" s="15">
        <v>943.45</v>
      </c>
    </row>
    <row r="2108" spans="1:9">
      <c r="A2108" s="13">
        <v>45530</v>
      </c>
      <c r="B2108" s="91">
        <f t="shared" si="34"/>
        <v>2024</v>
      </c>
      <c r="C2108" s="15" t="s">
        <v>104</v>
      </c>
      <c r="D2108" s="15" t="s">
        <v>2142</v>
      </c>
      <c r="E2108" s="15" t="s">
        <v>2123</v>
      </c>
      <c r="F2108" s="15" t="s">
        <v>2120</v>
      </c>
      <c r="G2108" s="15" t="s">
        <v>2121</v>
      </c>
      <c r="H2108" s="15">
        <v>5295</v>
      </c>
      <c r="I2108" s="15">
        <v>980.3</v>
      </c>
    </row>
    <row r="2109" spans="1:9">
      <c r="A2109" s="13">
        <v>45104</v>
      </c>
      <c r="B2109" s="91">
        <f t="shared" si="34"/>
        <v>2023</v>
      </c>
      <c r="C2109" s="15" t="s">
        <v>104</v>
      </c>
      <c r="D2109" s="15" t="s">
        <v>2142</v>
      </c>
      <c r="E2109" s="15" t="s">
        <v>2144</v>
      </c>
      <c r="F2109" s="15" t="s">
        <v>2120</v>
      </c>
      <c r="G2109" s="15" t="s">
        <v>2133</v>
      </c>
      <c r="H2109" s="15">
        <v>9526</v>
      </c>
      <c r="I2109" s="15">
        <v>1223.08</v>
      </c>
    </row>
    <row r="2110" spans="1:9">
      <c r="A2110" s="13">
        <v>45029</v>
      </c>
      <c r="B2110" s="91">
        <f t="shared" si="34"/>
        <v>2023</v>
      </c>
      <c r="C2110" s="15" t="s">
        <v>2113</v>
      </c>
      <c r="D2110" s="15" t="s">
        <v>2128</v>
      </c>
      <c r="E2110" s="15" t="s">
        <v>2151</v>
      </c>
      <c r="F2110" s="15" t="s">
        <v>2120</v>
      </c>
      <c r="G2110" s="15" t="s">
        <v>2133</v>
      </c>
      <c r="H2110" s="15">
        <v>9478</v>
      </c>
      <c r="I2110" s="15">
        <v>2497.0500000000002</v>
      </c>
    </row>
    <row r="2111" spans="1:9">
      <c r="A2111" s="13">
        <v>45435</v>
      </c>
      <c r="B2111" s="91">
        <f t="shared" si="34"/>
        <v>2024</v>
      </c>
      <c r="C2111" s="15" t="s">
        <v>2141</v>
      </c>
      <c r="D2111" s="15" t="s">
        <v>2148</v>
      </c>
      <c r="E2111" s="15" t="s">
        <v>2151</v>
      </c>
      <c r="F2111" s="15" t="s">
        <v>2124</v>
      </c>
      <c r="G2111" s="15" t="s">
        <v>2125</v>
      </c>
      <c r="H2111" s="15">
        <v>7065</v>
      </c>
      <c r="I2111" s="15">
        <v>1852.41</v>
      </c>
    </row>
    <row r="2112" spans="1:9">
      <c r="A2112" s="13">
        <v>45137</v>
      </c>
      <c r="B2112" s="91">
        <f t="shared" si="34"/>
        <v>2023</v>
      </c>
      <c r="C2112" s="15" t="s">
        <v>104</v>
      </c>
      <c r="D2112" s="15" t="s">
        <v>2118</v>
      </c>
      <c r="E2112" s="15" t="s">
        <v>2134</v>
      </c>
      <c r="F2112" s="15" t="s">
        <v>2138</v>
      </c>
      <c r="G2112" s="15" t="s">
        <v>2149</v>
      </c>
      <c r="H2112" s="15">
        <v>5767</v>
      </c>
      <c r="I2112" s="15">
        <v>1338.12</v>
      </c>
    </row>
    <row r="2113" spans="1:9">
      <c r="A2113" s="13">
        <v>45612</v>
      </c>
      <c r="B2113" s="91">
        <f t="shared" si="34"/>
        <v>2024</v>
      </c>
      <c r="C2113" s="15" t="s">
        <v>2113</v>
      </c>
      <c r="D2113" s="15" t="s">
        <v>2128</v>
      </c>
      <c r="E2113" s="15" t="s">
        <v>2136</v>
      </c>
      <c r="F2113" s="15" t="s">
        <v>2124</v>
      </c>
      <c r="G2113" s="15" t="s">
        <v>2130</v>
      </c>
      <c r="H2113" s="15">
        <v>7948</v>
      </c>
      <c r="I2113" s="15">
        <v>1992.81</v>
      </c>
    </row>
    <row r="2114" spans="1:9">
      <c r="A2114" s="13">
        <v>45391</v>
      </c>
      <c r="B2114" s="91">
        <f t="shared" si="34"/>
        <v>2024</v>
      </c>
      <c r="C2114" s="15" t="s">
        <v>104</v>
      </c>
      <c r="D2114" s="15" t="s">
        <v>2153</v>
      </c>
      <c r="E2114" s="15" t="s">
        <v>2144</v>
      </c>
      <c r="F2114" s="15" t="s">
        <v>2116</v>
      </c>
      <c r="G2114" s="15" t="s">
        <v>2127</v>
      </c>
      <c r="H2114" s="15">
        <v>9444</v>
      </c>
      <c r="I2114" s="15">
        <v>1999.54</v>
      </c>
    </row>
    <row r="2115" spans="1:9">
      <c r="A2115" s="13">
        <v>45275</v>
      </c>
      <c r="B2115" s="91">
        <f t="shared" ref="B2115:B2178" si="35">YEAR(A2115)</f>
        <v>2023</v>
      </c>
      <c r="C2115" s="15" t="s">
        <v>2113</v>
      </c>
      <c r="D2115" s="15" t="s">
        <v>2148</v>
      </c>
      <c r="E2115" s="15" t="s">
        <v>2145</v>
      </c>
      <c r="F2115" s="15" t="s">
        <v>2120</v>
      </c>
      <c r="G2115" s="15" t="s">
        <v>2133</v>
      </c>
      <c r="H2115" s="15">
        <v>6129</v>
      </c>
      <c r="I2115" s="15">
        <v>1174.97</v>
      </c>
    </row>
    <row r="2116" spans="1:9">
      <c r="A2116" s="13">
        <v>44720</v>
      </c>
      <c r="B2116" s="91">
        <f t="shared" si="35"/>
        <v>2022</v>
      </c>
      <c r="C2116" s="15" t="s">
        <v>2113</v>
      </c>
      <c r="D2116" s="15" t="s">
        <v>2152</v>
      </c>
      <c r="E2116" s="15" t="s">
        <v>2145</v>
      </c>
      <c r="F2116" s="15" t="s">
        <v>2138</v>
      </c>
      <c r="G2116" s="15" t="s">
        <v>2149</v>
      </c>
      <c r="H2116" s="15">
        <v>2096</v>
      </c>
      <c r="I2116" s="15">
        <v>357.02</v>
      </c>
    </row>
    <row r="2117" spans="1:9">
      <c r="A2117" s="13">
        <v>44766</v>
      </c>
      <c r="B2117" s="91">
        <f t="shared" si="35"/>
        <v>2022</v>
      </c>
      <c r="C2117" s="15" t="s">
        <v>104</v>
      </c>
      <c r="D2117" s="15" t="s">
        <v>2152</v>
      </c>
      <c r="E2117" s="15" t="s">
        <v>2119</v>
      </c>
      <c r="F2117" s="15" t="s">
        <v>2120</v>
      </c>
      <c r="G2117" s="15" t="s">
        <v>2132</v>
      </c>
      <c r="H2117" s="15">
        <v>9998</v>
      </c>
      <c r="I2117" s="15">
        <v>1661.95</v>
      </c>
    </row>
    <row r="2118" spans="1:9">
      <c r="A2118" s="13">
        <v>44984</v>
      </c>
      <c r="B2118" s="91">
        <f t="shared" si="35"/>
        <v>2023</v>
      </c>
      <c r="C2118" s="15" t="s">
        <v>2141</v>
      </c>
      <c r="D2118" s="15" t="s">
        <v>2118</v>
      </c>
      <c r="E2118" s="15" t="s">
        <v>2123</v>
      </c>
      <c r="F2118" s="15" t="s">
        <v>2120</v>
      </c>
      <c r="G2118" s="15" t="s">
        <v>2133</v>
      </c>
      <c r="H2118" s="15">
        <v>4721</v>
      </c>
      <c r="I2118" s="15">
        <v>1042.96</v>
      </c>
    </row>
    <row r="2119" spans="1:9">
      <c r="A2119" s="13">
        <v>45133</v>
      </c>
      <c r="B2119" s="91">
        <f t="shared" si="35"/>
        <v>2023</v>
      </c>
      <c r="C2119" s="15" t="s">
        <v>107</v>
      </c>
      <c r="D2119" s="15" t="s">
        <v>2128</v>
      </c>
      <c r="E2119" s="15" t="s">
        <v>2145</v>
      </c>
      <c r="F2119" s="15" t="s">
        <v>2138</v>
      </c>
      <c r="G2119" s="15" t="s">
        <v>2146</v>
      </c>
      <c r="H2119" s="15">
        <v>2924</v>
      </c>
      <c r="I2119" s="15">
        <v>541.35</v>
      </c>
    </row>
    <row r="2120" spans="1:9">
      <c r="A2120" s="13">
        <v>44802</v>
      </c>
      <c r="B2120" s="91">
        <f t="shared" si="35"/>
        <v>2022</v>
      </c>
      <c r="C2120" s="15" t="s">
        <v>2141</v>
      </c>
      <c r="D2120" s="15" t="s">
        <v>2126</v>
      </c>
      <c r="E2120" s="15" t="s">
        <v>2144</v>
      </c>
      <c r="F2120" s="15" t="s">
        <v>2124</v>
      </c>
      <c r="G2120" s="15" t="s">
        <v>2125</v>
      </c>
      <c r="H2120" s="15">
        <v>2837</v>
      </c>
      <c r="I2120" s="15">
        <v>460.21</v>
      </c>
    </row>
    <row r="2121" spans="1:9">
      <c r="A2121" s="13">
        <v>45408</v>
      </c>
      <c r="B2121" s="91">
        <f t="shared" si="35"/>
        <v>2024</v>
      </c>
      <c r="C2121" s="15" t="s">
        <v>104</v>
      </c>
      <c r="D2121" s="15" t="s">
        <v>2135</v>
      </c>
      <c r="E2121" s="15" t="s">
        <v>2144</v>
      </c>
      <c r="F2121" s="15" t="s">
        <v>2138</v>
      </c>
      <c r="G2121" s="15" t="s">
        <v>2149</v>
      </c>
      <c r="H2121" s="15">
        <v>3451</v>
      </c>
      <c r="I2121" s="15">
        <v>746.84</v>
      </c>
    </row>
    <row r="2122" spans="1:9">
      <c r="A2122" s="13">
        <v>45608</v>
      </c>
      <c r="B2122" s="91">
        <f t="shared" si="35"/>
        <v>2024</v>
      </c>
      <c r="C2122" s="15" t="s">
        <v>107</v>
      </c>
      <c r="D2122" s="15" t="s">
        <v>2152</v>
      </c>
      <c r="E2122" s="15" t="s">
        <v>2151</v>
      </c>
      <c r="F2122" s="15" t="s">
        <v>2116</v>
      </c>
      <c r="G2122" s="15" t="s">
        <v>2154</v>
      </c>
      <c r="H2122" s="15">
        <v>8972</v>
      </c>
      <c r="I2122" s="15">
        <v>1806.44</v>
      </c>
    </row>
    <row r="2123" spans="1:9">
      <c r="A2123" s="13">
        <v>45203</v>
      </c>
      <c r="B2123" s="91">
        <f t="shared" si="35"/>
        <v>2023</v>
      </c>
      <c r="C2123" s="15" t="s">
        <v>2113</v>
      </c>
      <c r="D2123" s="15" t="s">
        <v>2152</v>
      </c>
      <c r="E2123" s="15" t="s">
        <v>2123</v>
      </c>
      <c r="F2123" s="15" t="s">
        <v>2116</v>
      </c>
      <c r="G2123" s="15" t="s">
        <v>2117</v>
      </c>
      <c r="H2123" s="15">
        <v>5805</v>
      </c>
      <c r="I2123" s="15">
        <v>655.26</v>
      </c>
    </row>
    <row r="2124" spans="1:9">
      <c r="A2124" s="13">
        <v>45621</v>
      </c>
      <c r="B2124" s="91">
        <f t="shared" si="35"/>
        <v>2024</v>
      </c>
      <c r="C2124" s="15" t="s">
        <v>104</v>
      </c>
      <c r="D2124" s="15" t="s">
        <v>2153</v>
      </c>
      <c r="E2124" s="15" t="s">
        <v>2119</v>
      </c>
      <c r="F2124" s="15" t="s">
        <v>2120</v>
      </c>
      <c r="G2124" s="15" t="s">
        <v>2121</v>
      </c>
      <c r="H2124" s="15">
        <v>1372</v>
      </c>
      <c r="I2124" s="15">
        <v>216.25</v>
      </c>
    </row>
    <row r="2125" spans="1:9">
      <c r="A2125" s="13">
        <v>45315</v>
      </c>
      <c r="B2125" s="91">
        <f t="shared" si="35"/>
        <v>2024</v>
      </c>
      <c r="C2125" s="15" t="s">
        <v>2141</v>
      </c>
      <c r="D2125" s="15" t="s">
        <v>2148</v>
      </c>
      <c r="E2125" s="15" t="s">
        <v>2143</v>
      </c>
      <c r="F2125" s="15" t="s">
        <v>2120</v>
      </c>
      <c r="G2125" s="15" t="s">
        <v>2132</v>
      </c>
      <c r="H2125" s="15">
        <v>4855</v>
      </c>
      <c r="I2125" s="15">
        <v>634.55999999999995</v>
      </c>
    </row>
    <row r="2126" spans="1:9">
      <c r="A2126" s="13">
        <v>45567</v>
      </c>
      <c r="B2126" s="91">
        <f t="shared" si="35"/>
        <v>2024</v>
      </c>
      <c r="C2126" s="15" t="s">
        <v>107</v>
      </c>
      <c r="D2126" s="15" t="s">
        <v>2126</v>
      </c>
      <c r="E2126" s="15" t="s">
        <v>2129</v>
      </c>
      <c r="F2126" s="15" t="s">
        <v>2124</v>
      </c>
      <c r="G2126" s="15" t="s">
        <v>2130</v>
      </c>
      <c r="H2126" s="15">
        <v>9235</v>
      </c>
      <c r="I2126" s="15">
        <v>1647.29</v>
      </c>
    </row>
    <row r="2127" spans="1:9">
      <c r="A2127" s="13">
        <v>45231</v>
      </c>
      <c r="B2127" s="91">
        <f t="shared" si="35"/>
        <v>2023</v>
      </c>
      <c r="C2127" s="15" t="s">
        <v>2141</v>
      </c>
      <c r="D2127" s="15" t="s">
        <v>2153</v>
      </c>
      <c r="E2127" s="15" t="s">
        <v>2151</v>
      </c>
      <c r="F2127" s="15" t="s">
        <v>2116</v>
      </c>
      <c r="G2127" s="15" t="s">
        <v>2127</v>
      </c>
      <c r="H2127" s="15">
        <v>7963</v>
      </c>
      <c r="I2127" s="15">
        <v>2067.83</v>
      </c>
    </row>
    <row r="2128" spans="1:9">
      <c r="A2128" s="13">
        <v>45185</v>
      </c>
      <c r="B2128" s="91">
        <f t="shared" si="35"/>
        <v>2023</v>
      </c>
      <c r="C2128" s="15" t="s">
        <v>104</v>
      </c>
      <c r="D2128" s="15" t="s">
        <v>2148</v>
      </c>
      <c r="E2128" s="15" t="s">
        <v>2151</v>
      </c>
      <c r="F2128" s="15" t="s">
        <v>2120</v>
      </c>
      <c r="G2128" s="15" t="s">
        <v>2121</v>
      </c>
      <c r="H2128" s="15">
        <v>6063</v>
      </c>
      <c r="I2128" s="15">
        <v>898.12</v>
      </c>
    </row>
    <row r="2129" spans="1:9">
      <c r="A2129" s="13">
        <v>44937</v>
      </c>
      <c r="B2129" s="91">
        <f t="shared" si="35"/>
        <v>2023</v>
      </c>
      <c r="C2129" s="15" t="s">
        <v>104</v>
      </c>
      <c r="D2129" s="15" t="s">
        <v>2131</v>
      </c>
      <c r="E2129" s="15" t="s">
        <v>2129</v>
      </c>
      <c r="F2129" s="15" t="s">
        <v>2120</v>
      </c>
      <c r="G2129" s="15" t="s">
        <v>2133</v>
      </c>
      <c r="H2129" s="15">
        <v>2886</v>
      </c>
      <c r="I2129" s="15">
        <v>679.23</v>
      </c>
    </row>
    <row r="2130" spans="1:9">
      <c r="A2130" s="13">
        <v>45602</v>
      </c>
      <c r="B2130" s="91">
        <f t="shared" si="35"/>
        <v>2024</v>
      </c>
      <c r="C2130" s="15" t="s">
        <v>2141</v>
      </c>
      <c r="D2130" s="15" t="s">
        <v>2128</v>
      </c>
      <c r="E2130" s="15" t="s">
        <v>2144</v>
      </c>
      <c r="F2130" s="15" t="s">
        <v>2116</v>
      </c>
      <c r="G2130" s="15" t="s">
        <v>2117</v>
      </c>
      <c r="H2130" s="15">
        <v>9818</v>
      </c>
      <c r="I2130" s="15">
        <v>2413.4299999999998</v>
      </c>
    </row>
    <row r="2131" spans="1:9">
      <c r="A2131" s="13">
        <v>45233</v>
      </c>
      <c r="B2131" s="91">
        <f t="shared" si="35"/>
        <v>2023</v>
      </c>
      <c r="C2131" s="15" t="s">
        <v>2141</v>
      </c>
      <c r="D2131" s="15" t="s">
        <v>2131</v>
      </c>
      <c r="E2131" s="15" t="s">
        <v>2143</v>
      </c>
      <c r="F2131" s="15" t="s">
        <v>2120</v>
      </c>
      <c r="G2131" s="15" t="s">
        <v>2121</v>
      </c>
      <c r="H2131" s="15">
        <v>1168</v>
      </c>
      <c r="I2131" s="15">
        <v>116.94</v>
      </c>
    </row>
    <row r="2132" spans="1:9">
      <c r="A2132" s="13">
        <v>44728</v>
      </c>
      <c r="B2132" s="91">
        <f t="shared" si="35"/>
        <v>2022</v>
      </c>
      <c r="C2132" s="15" t="s">
        <v>2113</v>
      </c>
      <c r="D2132" s="15" t="s">
        <v>2148</v>
      </c>
      <c r="E2132" s="15" t="s">
        <v>2143</v>
      </c>
      <c r="F2132" s="15" t="s">
        <v>2138</v>
      </c>
      <c r="G2132" s="15" t="s">
        <v>2149</v>
      </c>
      <c r="H2132" s="15">
        <v>1188</v>
      </c>
      <c r="I2132" s="15">
        <v>313.5</v>
      </c>
    </row>
    <row r="2133" spans="1:9">
      <c r="A2133" s="13">
        <v>45493</v>
      </c>
      <c r="B2133" s="91">
        <f t="shared" si="35"/>
        <v>2024</v>
      </c>
      <c r="C2133" s="15" t="s">
        <v>2141</v>
      </c>
      <c r="D2133" s="15" t="s">
        <v>2142</v>
      </c>
      <c r="E2133" s="15" t="s">
        <v>2134</v>
      </c>
      <c r="F2133" s="15" t="s">
        <v>2138</v>
      </c>
      <c r="G2133" s="15" t="s">
        <v>2149</v>
      </c>
      <c r="H2133" s="15">
        <v>7260</v>
      </c>
      <c r="I2133" s="15">
        <v>1866.39</v>
      </c>
    </row>
    <row r="2134" spans="1:9">
      <c r="A2134" s="13">
        <v>45184</v>
      </c>
      <c r="B2134" s="91">
        <f t="shared" si="35"/>
        <v>2023</v>
      </c>
      <c r="C2134" s="15" t="s">
        <v>2113</v>
      </c>
      <c r="D2134" s="15" t="s">
        <v>2114</v>
      </c>
      <c r="E2134" s="15" t="s">
        <v>2115</v>
      </c>
      <c r="F2134" s="15" t="s">
        <v>2124</v>
      </c>
      <c r="G2134" s="15" t="s">
        <v>2130</v>
      </c>
      <c r="H2134" s="15">
        <v>1131</v>
      </c>
      <c r="I2134" s="15">
        <v>184.33</v>
      </c>
    </row>
    <row r="2135" spans="1:9">
      <c r="A2135" s="13">
        <v>45536</v>
      </c>
      <c r="B2135" s="91">
        <f t="shared" si="35"/>
        <v>2024</v>
      </c>
      <c r="C2135" s="15" t="s">
        <v>107</v>
      </c>
      <c r="D2135" s="15" t="s">
        <v>2135</v>
      </c>
      <c r="E2135" s="15" t="s">
        <v>2151</v>
      </c>
      <c r="F2135" s="15" t="s">
        <v>2116</v>
      </c>
      <c r="G2135" s="15" t="s">
        <v>2154</v>
      </c>
      <c r="H2135" s="15">
        <v>5090</v>
      </c>
      <c r="I2135" s="15">
        <v>531.11</v>
      </c>
    </row>
    <row r="2136" spans="1:9">
      <c r="A2136" s="13">
        <v>44774</v>
      </c>
      <c r="B2136" s="91">
        <f t="shared" si="35"/>
        <v>2022</v>
      </c>
      <c r="C2136" s="15" t="s">
        <v>107</v>
      </c>
      <c r="D2136" s="15" t="s">
        <v>2148</v>
      </c>
      <c r="E2136" s="15" t="s">
        <v>2129</v>
      </c>
      <c r="F2136" s="15" t="s">
        <v>2116</v>
      </c>
      <c r="G2136" s="15" t="s">
        <v>2127</v>
      </c>
      <c r="H2136" s="15">
        <v>6095</v>
      </c>
      <c r="I2136" s="15">
        <v>646.87</v>
      </c>
    </row>
    <row r="2137" spans="1:9">
      <c r="A2137" s="13">
        <v>44717</v>
      </c>
      <c r="B2137" s="91">
        <f t="shared" si="35"/>
        <v>2022</v>
      </c>
      <c r="C2137" s="15" t="s">
        <v>2113</v>
      </c>
      <c r="D2137" s="15" t="s">
        <v>2135</v>
      </c>
      <c r="E2137" s="15" t="s">
        <v>2136</v>
      </c>
      <c r="F2137" s="15" t="s">
        <v>2116</v>
      </c>
      <c r="G2137" s="15" t="s">
        <v>2154</v>
      </c>
      <c r="H2137" s="15">
        <v>9832</v>
      </c>
      <c r="I2137" s="15">
        <v>996.5</v>
      </c>
    </row>
    <row r="2138" spans="1:9">
      <c r="A2138" s="13">
        <v>45579</v>
      </c>
      <c r="B2138" s="91">
        <f t="shared" si="35"/>
        <v>2024</v>
      </c>
      <c r="C2138" s="15" t="s">
        <v>107</v>
      </c>
      <c r="D2138" s="15" t="s">
        <v>2114</v>
      </c>
      <c r="E2138" s="15" t="s">
        <v>2134</v>
      </c>
      <c r="F2138" s="15" t="s">
        <v>2120</v>
      </c>
      <c r="G2138" s="15" t="s">
        <v>2132</v>
      </c>
      <c r="H2138" s="15">
        <v>6908</v>
      </c>
      <c r="I2138" s="15">
        <v>1348.19</v>
      </c>
    </row>
    <row r="2139" spans="1:9">
      <c r="A2139" s="13">
        <v>44989</v>
      </c>
      <c r="B2139" s="91">
        <f t="shared" si="35"/>
        <v>2023</v>
      </c>
      <c r="C2139" s="15" t="s">
        <v>2141</v>
      </c>
      <c r="D2139" s="15" t="s">
        <v>2131</v>
      </c>
      <c r="E2139" s="15" t="s">
        <v>2136</v>
      </c>
      <c r="F2139" s="15" t="s">
        <v>2120</v>
      </c>
      <c r="G2139" s="15" t="s">
        <v>2133</v>
      </c>
      <c r="H2139" s="15">
        <v>5509</v>
      </c>
      <c r="I2139" s="15">
        <v>1025.4000000000001</v>
      </c>
    </row>
    <row r="2140" spans="1:9">
      <c r="A2140" s="13">
        <v>45423</v>
      </c>
      <c r="B2140" s="91">
        <f t="shared" si="35"/>
        <v>2024</v>
      </c>
      <c r="C2140" s="15" t="s">
        <v>107</v>
      </c>
      <c r="D2140" s="15" t="s">
        <v>2153</v>
      </c>
      <c r="E2140" s="15" t="s">
        <v>2115</v>
      </c>
      <c r="F2140" s="15" t="s">
        <v>2124</v>
      </c>
      <c r="G2140" s="15" t="s">
        <v>2130</v>
      </c>
      <c r="H2140" s="15">
        <v>6917</v>
      </c>
      <c r="I2140" s="15">
        <v>1172.43</v>
      </c>
    </row>
    <row r="2141" spans="1:9">
      <c r="A2141" s="13">
        <v>45618</v>
      </c>
      <c r="B2141" s="91">
        <f t="shared" si="35"/>
        <v>2024</v>
      </c>
      <c r="C2141" s="15" t="s">
        <v>2113</v>
      </c>
      <c r="D2141" s="15" t="s">
        <v>2153</v>
      </c>
      <c r="E2141" s="15" t="s">
        <v>2119</v>
      </c>
      <c r="F2141" s="15" t="s">
        <v>2120</v>
      </c>
      <c r="G2141" s="15" t="s">
        <v>2121</v>
      </c>
      <c r="H2141" s="15">
        <v>8842</v>
      </c>
      <c r="I2141" s="15">
        <v>1856.22</v>
      </c>
    </row>
    <row r="2142" spans="1:9">
      <c r="A2142" s="13">
        <v>44968</v>
      </c>
      <c r="B2142" s="91">
        <f t="shared" si="35"/>
        <v>2023</v>
      </c>
      <c r="C2142" s="15" t="s">
        <v>104</v>
      </c>
      <c r="D2142" s="15" t="s">
        <v>2118</v>
      </c>
      <c r="E2142" s="15" t="s">
        <v>2136</v>
      </c>
      <c r="F2142" s="15" t="s">
        <v>2138</v>
      </c>
      <c r="G2142" s="15" t="s">
        <v>2139</v>
      </c>
      <c r="H2142" s="15">
        <v>6021</v>
      </c>
      <c r="I2142" s="15">
        <v>1527.83</v>
      </c>
    </row>
    <row r="2143" spans="1:9">
      <c r="A2143" s="13">
        <v>45338</v>
      </c>
      <c r="B2143" s="91">
        <f t="shared" si="35"/>
        <v>2024</v>
      </c>
      <c r="C2143" s="15" t="s">
        <v>104</v>
      </c>
      <c r="D2143" s="15" t="s">
        <v>2114</v>
      </c>
      <c r="E2143" s="15" t="s">
        <v>2134</v>
      </c>
      <c r="F2143" s="15" t="s">
        <v>2138</v>
      </c>
      <c r="G2143" s="15" t="s">
        <v>2149</v>
      </c>
      <c r="H2143" s="15">
        <v>7757</v>
      </c>
      <c r="I2143" s="15">
        <v>1552.51</v>
      </c>
    </row>
    <row r="2144" spans="1:9">
      <c r="A2144" s="13">
        <v>45094</v>
      </c>
      <c r="B2144" s="91">
        <f t="shared" si="35"/>
        <v>2023</v>
      </c>
      <c r="C2144" s="15" t="s">
        <v>107</v>
      </c>
      <c r="D2144" s="15" t="s">
        <v>2153</v>
      </c>
      <c r="E2144" s="15" t="s">
        <v>2123</v>
      </c>
      <c r="F2144" s="15" t="s">
        <v>2116</v>
      </c>
      <c r="G2144" s="15" t="s">
        <v>2127</v>
      </c>
      <c r="H2144" s="15">
        <v>9846</v>
      </c>
      <c r="I2144" s="15">
        <v>1791.31</v>
      </c>
    </row>
    <row r="2145" spans="1:9">
      <c r="A2145" s="13">
        <v>45418</v>
      </c>
      <c r="B2145" s="91">
        <f t="shared" si="35"/>
        <v>2024</v>
      </c>
      <c r="C2145" s="15" t="s">
        <v>2113</v>
      </c>
      <c r="D2145" s="15" t="s">
        <v>2118</v>
      </c>
      <c r="E2145" s="15" t="s">
        <v>2151</v>
      </c>
      <c r="F2145" s="15" t="s">
        <v>2120</v>
      </c>
      <c r="G2145" s="15" t="s">
        <v>2133</v>
      </c>
      <c r="H2145" s="15">
        <v>9676</v>
      </c>
      <c r="I2145" s="15">
        <v>2524.63</v>
      </c>
    </row>
    <row r="2146" spans="1:9">
      <c r="A2146" s="13">
        <v>44887</v>
      </c>
      <c r="B2146" s="91">
        <f t="shared" si="35"/>
        <v>2022</v>
      </c>
      <c r="C2146" s="15" t="s">
        <v>107</v>
      </c>
      <c r="D2146" s="15" t="s">
        <v>2128</v>
      </c>
      <c r="E2146" s="15" t="s">
        <v>2129</v>
      </c>
      <c r="F2146" s="15" t="s">
        <v>2124</v>
      </c>
      <c r="G2146" s="15" t="s">
        <v>2130</v>
      </c>
      <c r="H2146" s="15">
        <v>1046</v>
      </c>
      <c r="I2146" s="15">
        <v>114.86</v>
      </c>
    </row>
    <row r="2147" spans="1:9">
      <c r="A2147" s="13">
        <v>44652</v>
      </c>
      <c r="B2147" s="91">
        <f t="shared" si="35"/>
        <v>2022</v>
      </c>
      <c r="C2147" s="15" t="s">
        <v>104</v>
      </c>
      <c r="D2147" s="15" t="s">
        <v>2152</v>
      </c>
      <c r="E2147" s="15" t="s">
        <v>2119</v>
      </c>
      <c r="F2147" s="15" t="s">
        <v>2124</v>
      </c>
      <c r="G2147" s="15" t="s">
        <v>2140</v>
      </c>
      <c r="H2147" s="15">
        <v>3665</v>
      </c>
      <c r="I2147" s="15">
        <v>893.61</v>
      </c>
    </row>
    <row r="2148" spans="1:9">
      <c r="A2148" s="13">
        <v>44936</v>
      </c>
      <c r="B2148" s="91">
        <f t="shared" si="35"/>
        <v>2023</v>
      </c>
      <c r="C2148" s="15" t="s">
        <v>2141</v>
      </c>
      <c r="D2148" s="15" t="s">
        <v>2118</v>
      </c>
      <c r="E2148" s="15" t="s">
        <v>2143</v>
      </c>
      <c r="F2148" s="15" t="s">
        <v>2116</v>
      </c>
      <c r="G2148" s="15" t="s">
        <v>2117</v>
      </c>
      <c r="H2148" s="15">
        <v>8767</v>
      </c>
      <c r="I2148" s="15">
        <v>1994.72</v>
      </c>
    </row>
    <row r="2149" spans="1:9">
      <c r="A2149" s="13">
        <v>44852</v>
      </c>
      <c r="B2149" s="91">
        <f t="shared" si="35"/>
        <v>2022</v>
      </c>
      <c r="C2149" s="15" t="s">
        <v>104</v>
      </c>
      <c r="D2149" s="15" t="s">
        <v>2142</v>
      </c>
      <c r="E2149" s="15" t="s">
        <v>2151</v>
      </c>
      <c r="F2149" s="15" t="s">
        <v>2120</v>
      </c>
      <c r="G2149" s="15" t="s">
        <v>2132</v>
      </c>
      <c r="H2149" s="15">
        <v>3378</v>
      </c>
      <c r="I2149" s="15">
        <v>626.78</v>
      </c>
    </row>
    <row r="2150" spans="1:9">
      <c r="A2150" s="13">
        <v>45126</v>
      </c>
      <c r="B2150" s="91">
        <f t="shared" si="35"/>
        <v>2023</v>
      </c>
      <c r="C2150" s="15" t="s">
        <v>107</v>
      </c>
      <c r="D2150" s="15" t="s">
        <v>2135</v>
      </c>
      <c r="E2150" s="15" t="s">
        <v>2119</v>
      </c>
      <c r="F2150" s="15" t="s">
        <v>2124</v>
      </c>
      <c r="G2150" s="15" t="s">
        <v>2130</v>
      </c>
      <c r="H2150" s="15">
        <v>8703</v>
      </c>
      <c r="I2150" s="15">
        <v>1636.84</v>
      </c>
    </row>
    <row r="2151" spans="1:9">
      <c r="A2151" s="13">
        <v>45453</v>
      </c>
      <c r="B2151" s="91">
        <f t="shared" si="35"/>
        <v>2024</v>
      </c>
      <c r="C2151" s="15" t="s">
        <v>104</v>
      </c>
      <c r="D2151" s="15" t="s">
        <v>2114</v>
      </c>
      <c r="E2151" s="15" t="s">
        <v>2115</v>
      </c>
      <c r="F2151" s="15" t="s">
        <v>2120</v>
      </c>
      <c r="G2151" s="15" t="s">
        <v>2121</v>
      </c>
      <c r="H2151" s="15">
        <v>9340</v>
      </c>
      <c r="I2151" s="15">
        <v>2691.42</v>
      </c>
    </row>
    <row r="2152" spans="1:9">
      <c r="A2152" s="13">
        <v>45615</v>
      </c>
      <c r="B2152" s="91">
        <f t="shared" si="35"/>
        <v>2024</v>
      </c>
      <c r="C2152" s="15" t="s">
        <v>2113</v>
      </c>
      <c r="D2152" s="15" t="s">
        <v>2131</v>
      </c>
      <c r="E2152" s="15" t="s">
        <v>2145</v>
      </c>
      <c r="F2152" s="15" t="s">
        <v>2138</v>
      </c>
      <c r="G2152" s="15" t="s">
        <v>2139</v>
      </c>
      <c r="H2152" s="15">
        <v>8272</v>
      </c>
      <c r="I2152" s="15">
        <v>2293.16</v>
      </c>
    </row>
    <row r="2153" spans="1:9">
      <c r="A2153" s="13">
        <v>44874</v>
      </c>
      <c r="B2153" s="91">
        <f t="shared" si="35"/>
        <v>2022</v>
      </c>
      <c r="C2153" s="15" t="s">
        <v>107</v>
      </c>
      <c r="D2153" s="15" t="s">
        <v>2126</v>
      </c>
      <c r="E2153" s="15" t="s">
        <v>2136</v>
      </c>
      <c r="F2153" s="15" t="s">
        <v>2120</v>
      </c>
      <c r="G2153" s="15" t="s">
        <v>2132</v>
      </c>
      <c r="H2153" s="15">
        <v>8881</v>
      </c>
      <c r="I2153" s="15">
        <v>1336.09</v>
      </c>
    </row>
    <row r="2154" spans="1:9">
      <c r="A2154" s="13">
        <v>45046</v>
      </c>
      <c r="B2154" s="91">
        <f t="shared" si="35"/>
        <v>2023</v>
      </c>
      <c r="C2154" s="15" t="s">
        <v>104</v>
      </c>
      <c r="D2154" s="15" t="s">
        <v>2126</v>
      </c>
      <c r="E2154" s="15" t="s">
        <v>2136</v>
      </c>
      <c r="F2154" s="15" t="s">
        <v>2138</v>
      </c>
      <c r="G2154" s="15" t="s">
        <v>2146</v>
      </c>
      <c r="H2154" s="15">
        <v>4901</v>
      </c>
      <c r="I2154" s="15">
        <v>1380.42</v>
      </c>
    </row>
    <row r="2155" spans="1:9">
      <c r="A2155" s="13">
        <v>45167</v>
      </c>
      <c r="B2155" s="91">
        <f t="shared" si="35"/>
        <v>2023</v>
      </c>
      <c r="C2155" s="15" t="s">
        <v>2113</v>
      </c>
      <c r="D2155" s="15" t="s">
        <v>2126</v>
      </c>
      <c r="E2155" s="15" t="s">
        <v>2144</v>
      </c>
      <c r="F2155" s="15" t="s">
        <v>2116</v>
      </c>
      <c r="G2155" s="15" t="s">
        <v>2117</v>
      </c>
      <c r="H2155" s="15">
        <v>5369</v>
      </c>
      <c r="I2155" s="15">
        <v>1313.61</v>
      </c>
    </row>
    <row r="2156" spans="1:9">
      <c r="A2156" s="13">
        <v>45188</v>
      </c>
      <c r="B2156" s="91">
        <f t="shared" si="35"/>
        <v>2023</v>
      </c>
      <c r="C2156" s="15" t="s">
        <v>2141</v>
      </c>
      <c r="D2156" s="15" t="s">
        <v>2118</v>
      </c>
      <c r="E2156" s="15" t="s">
        <v>2151</v>
      </c>
      <c r="F2156" s="15" t="s">
        <v>2138</v>
      </c>
      <c r="G2156" s="15" t="s">
        <v>2146</v>
      </c>
      <c r="H2156" s="15">
        <v>2425</v>
      </c>
      <c r="I2156" s="15">
        <v>694.14</v>
      </c>
    </row>
    <row r="2157" spans="1:9">
      <c r="A2157" s="13">
        <v>45557</v>
      </c>
      <c r="B2157" s="91">
        <f t="shared" si="35"/>
        <v>2024</v>
      </c>
      <c r="C2157" s="15" t="s">
        <v>2141</v>
      </c>
      <c r="D2157" s="15" t="s">
        <v>2152</v>
      </c>
      <c r="E2157" s="15" t="s">
        <v>2134</v>
      </c>
      <c r="F2157" s="15" t="s">
        <v>2138</v>
      </c>
      <c r="G2157" s="15" t="s">
        <v>2139</v>
      </c>
      <c r="H2157" s="15">
        <v>7660</v>
      </c>
      <c r="I2157" s="15">
        <v>1908.72</v>
      </c>
    </row>
    <row r="2158" spans="1:9">
      <c r="A2158" s="13">
        <v>44728</v>
      </c>
      <c r="B2158" s="91">
        <f t="shared" si="35"/>
        <v>2022</v>
      </c>
      <c r="C2158" s="15" t="s">
        <v>107</v>
      </c>
      <c r="D2158" s="15" t="s">
        <v>2152</v>
      </c>
      <c r="E2158" s="15" t="s">
        <v>2119</v>
      </c>
      <c r="F2158" s="15" t="s">
        <v>2116</v>
      </c>
      <c r="G2158" s="15" t="s">
        <v>2117</v>
      </c>
      <c r="H2158" s="15">
        <v>4276</v>
      </c>
      <c r="I2158" s="15">
        <v>542.59</v>
      </c>
    </row>
    <row r="2159" spans="1:9">
      <c r="A2159" s="13">
        <v>44986</v>
      </c>
      <c r="B2159" s="91">
        <f t="shared" si="35"/>
        <v>2023</v>
      </c>
      <c r="C2159" s="15" t="s">
        <v>2141</v>
      </c>
      <c r="D2159" s="15" t="s">
        <v>2142</v>
      </c>
      <c r="E2159" s="15" t="s">
        <v>2144</v>
      </c>
      <c r="F2159" s="15" t="s">
        <v>2138</v>
      </c>
      <c r="G2159" s="15" t="s">
        <v>2139</v>
      </c>
      <c r="H2159" s="15">
        <v>5750</v>
      </c>
      <c r="I2159" s="15">
        <v>1144.4100000000001</v>
      </c>
    </row>
    <row r="2160" spans="1:9">
      <c r="A2160" s="13">
        <v>44929</v>
      </c>
      <c r="B2160" s="91">
        <f t="shared" si="35"/>
        <v>2023</v>
      </c>
      <c r="C2160" s="15" t="s">
        <v>104</v>
      </c>
      <c r="D2160" s="15" t="s">
        <v>2148</v>
      </c>
      <c r="E2160" s="15" t="s">
        <v>2144</v>
      </c>
      <c r="F2160" s="15" t="s">
        <v>2116</v>
      </c>
      <c r="G2160" s="15" t="s">
        <v>2127</v>
      </c>
      <c r="H2160" s="15">
        <v>4075</v>
      </c>
      <c r="I2160" s="15">
        <v>1080.2</v>
      </c>
    </row>
    <row r="2161" spans="1:9">
      <c r="A2161" s="13">
        <v>44712</v>
      </c>
      <c r="B2161" s="91">
        <f t="shared" si="35"/>
        <v>2022</v>
      </c>
      <c r="C2161" s="15" t="s">
        <v>104</v>
      </c>
      <c r="D2161" s="15" t="s">
        <v>2126</v>
      </c>
      <c r="E2161" s="15" t="s">
        <v>2123</v>
      </c>
      <c r="F2161" s="15" t="s">
        <v>2124</v>
      </c>
      <c r="G2161" s="15" t="s">
        <v>2130</v>
      </c>
      <c r="H2161" s="15">
        <v>2232</v>
      </c>
      <c r="I2161" s="15">
        <v>359.74</v>
      </c>
    </row>
    <row r="2162" spans="1:9">
      <c r="A2162" s="13">
        <v>44723</v>
      </c>
      <c r="B2162" s="91">
        <f t="shared" si="35"/>
        <v>2022</v>
      </c>
      <c r="C2162" s="15" t="s">
        <v>107</v>
      </c>
      <c r="D2162" s="15" t="s">
        <v>2148</v>
      </c>
      <c r="E2162" s="15" t="s">
        <v>2143</v>
      </c>
      <c r="F2162" s="15" t="s">
        <v>2138</v>
      </c>
      <c r="G2162" s="15" t="s">
        <v>2139</v>
      </c>
      <c r="H2162" s="15">
        <v>1594</v>
      </c>
      <c r="I2162" s="15">
        <v>295.48</v>
      </c>
    </row>
    <row r="2163" spans="1:9">
      <c r="A2163" s="13">
        <v>44760</v>
      </c>
      <c r="B2163" s="91">
        <f t="shared" si="35"/>
        <v>2022</v>
      </c>
      <c r="C2163" s="15" t="s">
        <v>107</v>
      </c>
      <c r="D2163" s="15" t="s">
        <v>2148</v>
      </c>
      <c r="E2163" s="15" t="s">
        <v>2134</v>
      </c>
      <c r="F2163" s="15" t="s">
        <v>2124</v>
      </c>
      <c r="G2163" s="15" t="s">
        <v>2125</v>
      </c>
      <c r="H2163" s="15">
        <v>2101</v>
      </c>
      <c r="I2163" s="15">
        <v>485.46</v>
      </c>
    </row>
    <row r="2164" spans="1:9">
      <c r="A2164" s="13">
        <v>44831</v>
      </c>
      <c r="B2164" s="91">
        <f t="shared" si="35"/>
        <v>2022</v>
      </c>
      <c r="C2164" s="15" t="s">
        <v>104</v>
      </c>
      <c r="D2164" s="15" t="s">
        <v>2142</v>
      </c>
      <c r="E2164" s="15" t="s">
        <v>2136</v>
      </c>
      <c r="F2164" s="15" t="s">
        <v>2124</v>
      </c>
      <c r="G2164" s="15" t="s">
        <v>2125</v>
      </c>
      <c r="H2164" s="15">
        <v>3378</v>
      </c>
      <c r="I2164" s="15">
        <v>774.67</v>
      </c>
    </row>
    <row r="2165" spans="1:9">
      <c r="A2165" s="13">
        <v>44951</v>
      </c>
      <c r="B2165" s="91">
        <f t="shared" si="35"/>
        <v>2023</v>
      </c>
      <c r="C2165" s="15" t="s">
        <v>2113</v>
      </c>
      <c r="D2165" s="15" t="s">
        <v>2118</v>
      </c>
      <c r="E2165" s="15" t="s">
        <v>2145</v>
      </c>
      <c r="F2165" s="15" t="s">
        <v>2120</v>
      </c>
      <c r="G2165" s="15" t="s">
        <v>2121</v>
      </c>
      <c r="H2165" s="15">
        <v>7019</v>
      </c>
      <c r="I2165" s="15">
        <v>1326.27</v>
      </c>
    </row>
    <row r="2166" spans="1:9">
      <c r="A2166" s="13">
        <v>45444</v>
      </c>
      <c r="B2166" s="91">
        <f t="shared" si="35"/>
        <v>2024</v>
      </c>
      <c r="C2166" s="15" t="s">
        <v>107</v>
      </c>
      <c r="D2166" s="15" t="s">
        <v>2131</v>
      </c>
      <c r="E2166" s="15" t="s">
        <v>2119</v>
      </c>
      <c r="F2166" s="15" t="s">
        <v>2120</v>
      </c>
      <c r="G2166" s="15" t="s">
        <v>2132</v>
      </c>
      <c r="H2166" s="15">
        <v>1673</v>
      </c>
      <c r="I2166" s="15">
        <v>263.49</v>
      </c>
    </row>
    <row r="2167" spans="1:9">
      <c r="A2167" s="13">
        <v>45142</v>
      </c>
      <c r="B2167" s="91">
        <f t="shared" si="35"/>
        <v>2023</v>
      </c>
      <c r="C2167" s="15" t="s">
        <v>2113</v>
      </c>
      <c r="D2167" s="15" t="s">
        <v>2135</v>
      </c>
      <c r="E2167" s="15" t="s">
        <v>2145</v>
      </c>
      <c r="F2167" s="15" t="s">
        <v>2138</v>
      </c>
      <c r="G2167" s="15" t="s">
        <v>2139</v>
      </c>
      <c r="H2167" s="15">
        <v>9735</v>
      </c>
      <c r="I2167" s="15">
        <v>2798.08</v>
      </c>
    </row>
    <row r="2168" spans="1:9">
      <c r="A2168" s="13">
        <v>44851</v>
      </c>
      <c r="B2168" s="91">
        <f t="shared" si="35"/>
        <v>2022</v>
      </c>
      <c r="C2168" s="15" t="s">
        <v>2141</v>
      </c>
      <c r="D2168" s="15" t="s">
        <v>2126</v>
      </c>
      <c r="E2168" s="15" t="s">
        <v>2144</v>
      </c>
      <c r="F2168" s="15" t="s">
        <v>2116</v>
      </c>
      <c r="G2168" s="15" t="s">
        <v>2154</v>
      </c>
      <c r="H2168" s="15">
        <v>6539</v>
      </c>
      <c r="I2168" s="15">
        <v>1383.47</v>
      </c>
    </row>
    <row r="2169" spans="1:9">
      <c r="A2169" s="13">
        <v>44787</v>
      </c>
      <c r="B2169" s="91">
        <f t="shared" si="35"/>
        <v>2022</v>
      </c>
      <c r="C2169" s="15" t="s">
        <v>107</v>
      </c>
      <c r="D2169" s="15" t="s">
        <v>2118</v>
      </c>
      <c r="E2169" s="15" t="s">
        <v>2143</v>
      </c>
      <c r="F2169" s="15" t="s">
        <v>2124</v>
      </c>
      <c r="G2169" s="15" t="s">
        <v>2140</v>
      </c>
      <c r="H2169" s="15">
        <v>9238</v>
      </c>
      <c r="I2169" s="15">
        <v>2382.71</v>
      </c>
    </row>
    <row r="2170" spans="1:9">
      <c r="A2170" s="13">
        <v>45374</v>
      </c>
      <c r="B2170" s="91">
        <f t="shared" si="35"/>
        <v>2024</v>
      </c>
      <c r="C2170" s="15" t="s">
        <v>2141</v>
      </c>
      <c r="D2170" s="15" t="s">
        <v>2142</v>
      </c>
      <c r="E2170" s="15" t="s">
        <v>2129</v>
      </c>
      <c r="F2170" s="15" t="s">
        <v>2116</v>
      </c>
      <c r="G2170" s="15" t="s">
        <v>2117</v>
      </c>
      <c r="H2170" s="15">
        <v>4290</v>
      </c>
      <c r="I2170" s="15">
        <v>876.96</v>
      </c>
    </row>
    <row r="2171" spans="1:9">
      <c r="A2171" s="13">
        <v>45104</v>
      </c>
      <c r="B2171" s="91">
        <f t="shared" si="35"/>
        <v>2023</v>
      </c>
      <c r="C2171" s="15" t="s">
        <v>107</v>
      </c>
      <c r="D2171" s="15" t="s">
        <v>2131</v>
      </c>
      <c r="E2171" s="15" t="s">
        <v>2151</v>
      </c>
      <c r="F2171" s="15" t="s">
        <v>2138</v>
      </c>
      <c r="G2171" s="15" t="s">
        <v>2149</v>
      </c>
      <c r="H2171" s="15">
        <v>9228</v>
      </c>
      <c r="I2171" s="15">
        <v>1614.36</v>
      </c>
    </row>
    <row r="2172" spans="1:9">
      <c r="A2172" s="13">
        <v>45450</v>
      </c>
      <c r="B2172" s="91">
        <f t="shared" si="35"/>
        <v>2024</v>
      </c>
      <c r="C2172" s="15" t="s">
        <v>107</v>
      </c>
      <c r="D2172" s="15" t="s">
        <v>2135</v>
      </c>
      <c r="E2172" s="15" t="s">
        <v>2134</v>
      </c>
      <c r="F2172" s="15" t="s">
        <v>2138</v>
      </c>
      <c r="G2172" s="15" t="s">
        <v>2149</v>
      </c>
      <c r="H2172" s="15">
        <v>7424</v>
      </c>
      <c r="I2172" s="15">
        <v>1856.19</v>
      </c>
    </row>
    <row r="2173" spans="1:9">
      <c r="A2173" s="13">
        <v>45476</v>
      </c>
      <c r="B2173" s="91">
        <f t="shared" si="35"/>
        <v>2024</v>
      </c>
      <c r="C2173" s="15" t="s">
        <v>2113</v>
      </c>
      <c r="D2173" s="15" t="s">
        <v>2153</v>
      </c>
      <c r="E2173" s="15" t="s">
        <v>2151</v>
      </c>
      <c r="F2173" s="15" t="s">
        <v>2138</v>
      </c>
      <c r="G2173" s="15" t="s">
        <v>2139</v>
      </c>
      <c r="H2173" s="15">
        <v>5585</v>
      </c>
      <c r="I2173" s="15">
        <v>850.27</v>
      </c>
    </row>
    <row r="2174" spans="1:9">
      <c r="A2174" s="13">
        <v>45442</v>
      </c>
      <c r="B2174" s="91">
        <f t="shared" si="35"/>
        <v>2024</v>
      </c>
      <c r="C2174" s="15" t="s">
        <v>2141</v>
      </c>
      <c r="D2174" s="15" t="s">
        <v>2148</v>
      </c>
      <c r="E2174" s="15" t="s">
        <v>2119</v>
      </c>
      <c r="F2174" s="15" t="s">
        <v>2124</v>
      </c>
      <c r="G2174" s="15" t="s">
        <v>2125</v>
      </c>
      <c r="H2174" s="15">
        <v>9395</v>
      </c>
      <c r="I2174" s="15">
        <v>2816.38</v>
      </c>
    </row>
    <row r="2175" spans="1:9">
      <c r="A2175" s="13">
        <v>45461</v>
      </c>
      <c r="B2175" s="91">
        <f t="shared" si="35"/>
        <v>2024</v>
      </c>
      <c r="C2175" s="15" t="s">
        <v>107</v>
      </c>
      <c r="D2175" s="15" t="s">
        <v>2128</v>
      </c>
      <c r="E2175" s="15" t="s">
        <v>2115</v>
      </c>
      <c r="F2175" s="15" t="s">
        <v>2124</v>
      </c>
      <c r="G2175" s="15" t="s">
        <v>2130</v>
      </c>
      <c r="H2175" s="15">
        <v>7346</v>
      </c>
      <c r="I2175" s="15">
        <v>1545.3</v>
      </c>
    </row>
    <row r="2176" spans="1:9">
      <c r="A2176" s="13">
        <v>45321</v>
      </c>
      <c r="B2176" s="91">
        <f t="shared" si="35"/>
        <v>2024</v>
      </c>
      <c r="C2176" s="15" t="s">
        <v>104</v>
      </c>
      <c r="D2176" s="15" t="s">
        <v>2126</v>
      </c>
      <c r="E2176" s="15" t="s">
        <v>2123</v>
      </c>
      <c r="F2176" s="15" t="s">
        <v>2138</v>
      </c>
      <c r="G2176" s="15" t="s">
        <v>2146</v>
      </c>
      <c r="H2176" s="15">
        <v>1984</v>
      </c>
      <c r="I2176" s="15">
        <v>346.62</v>
      </c>
    </row>
    <row r="2177" spans="1:9">
      <c r="A2177" s="13">
        <v>45585</v>
      </c>
      <c r="B2177" s="91">
        <f t="shared" si="35"/>
        <v>2024</v>
      </c>
      <c r="C2177" s="15" t="s">
        <v>107</v>
      </c>
      <c r="D2177" s="15" t="s">
        <v>2148</v>
      </c>
      <c r="E2177" s="15" t="s">
        <v>2136</v>
      </c>
      <c r="F2177" s="15" t="s">
        <v>2138</v>
      </c>
      <c r="G2177" s="15" t="s">
        <v>2146</v>
      </c>
      <c r="H2177" s="15">
        <v>9534</v>
      </c>
      <c r="I2177" s="15">
        <v>1059.0899999999999</v>
      </c>
    </row>
    <row r="2178" spans="1:9">
      <c r="A2178" s="13">
        <v>44883</v>
      </c>
      <c r="B2178" s="91">
        <f t="shared" si="35"/>
        <v>2022</v>
      </c>
      <c r="C2178" s="15" t="s">
        <v>2141</v>
      </c>
      <c r="D2178" s="15" t="s">
        <v>2114</v>
      </c>
      <c r="E2178" s="15" t="s">
        <v>2119</v>
      </c>
      <c r="F2178" s="15" t="s">
        <v>2116</v>
      </c>
      <c r="G2178" s="15" t="s">
        <v>2154</v>
      </c>
      <c r="H2178" s="15">
        <v>7615</v>
      </c>
      <c r="I2178" s="15">
        <v>2195.02</v>
      </c>
    </row>
    <row r="2179" spans="1:9">
      <c r="A2179" s="13">
        <v>45323</v>
      </c>
      <c r="B2179" s="91">
        <f t="shared" ref="B2179:B2242" si="36">YEAR(A2179)</f>
        <v>2024</v>
      </c>
      <c r="C2179" s="15" t="s">
        <v>104</v>
      </c>
      <c r="D2179" s="15" t="s">
        <v>2126</v>
      </c>
      <c r="E2179" s="15" t="s">
        <v>2143</v>
      </c>
      <c r="F2179" s="15" t="s">
        <v>2138</v>
      </c>
      <c r="G2179" s="15" t="s">
        <v>2139</v>
      </c>
      <c r="H2179" s="15">
        <v>4473</v>
      </c>
      <c r="I2179" s="15">
        <v>1235.29</v>
      </c>
    </row>
    <row r="2180" spans="1:9">
      <c r="A2180" s="13">
        <v>45102</v>
      </c>
      <c r="B2180" s="91">
        <f t="shared" si="36"/>
        <v>2023</v>
      </c>
      <c r="C2180" s="15" t="s">
        <v>2113</v>
      </c>
      <c r="D2180" s="15" t="s">
        <v>2131</v>
      </c>
      <c r="E2180" s="15" t="s">
        <v>2119</v>
      </c>
      <c r="F2180" s="15" t="s">
        <v>2138</v>
      </c>
      <c r="G2180" s="15" t="s">
        <v>2146</v>
      </c>
      <c r="H2180" s="15">
        <v>1490</v>
      </c>
      <c r="I2180" s="15">
        <v>416.07</v>
      </c>
    </row>
    <row r="2181" spans="1:9">
      <c r="A2181" s="13">
        <v>45325</v>
      </c>
      <c r="B2181" s="91">
        <f t="shared" si="36"/>
        <v>2024</v>
      </c>
      <c r="C2181" s="15" t="s">
        <v>107</v>
      </c>
      <c r="D2181" s="15" t="s">
        <v>2135</v>
      </c>
      <c r="E2181" s="15" t="s">
        <v>2134</v>
      </c>
      <c r="F2181" s="15" t="s">
        <v>2116</v>
      </c>
      <c r="G2181" s="15" t="s">
        <v>2154</v>
      </c>
      <c r="H2181" s="15">
        <v>2771</v>
      </c>
      <c r="I2181" s="15">
        <v>592.64</v>
      </c>
    </row>
    <row r="2182" spans="1:9">
      <c r="A2182" s="13">
        <v>45438</v>
      </c>
      <c r="B2182" s="91">
        <f t="shared" si="36"/>
        <v>2024</v>
      </c>
      <c r="C2182" s="15" t="s">
        <v>107</v>
      </c>
      <c r="D2182" s="15" t="s">
        <v>2148</v>
      </c>
      <c r="E2182" s="15" t="s">
        <v>2119</v>
      </c>
      <c r="F2182" s="15" t="s">
        <v>2138</v>
      </c>
      <c r="G2182" s="15" t="s">
        <v>2146</v>
      </c>
      <c r="H2182" s="15">
        <v>8575</v>
      </c>
      <c r="I2182" s="15">
        <v>1592.89</v>
      </c>
    </row>
    <row r="2183" spans="1:9">
      <c r="A2183" s="13">
        <v>44855</v>
      </c>
      <c r="B2183" s="91">
        <f t="shared" si="36"/>
        <v>2022</v>
      </c>
      <c r="C2183" s="15" t="s">
        <v>2113</v>
      </c>
      <c r="D2183" s="15" t="s">
        <v>2114</v>
      </c>
      <c r="E2183" s="15" t="s">
        <v>2115</v>
      </c>
      <c r="F2183" s="15" t="s">
        <v>2120</v>
      </c>
      <c r="G2183" s="15" t="s">
        <v>2121</v>
      </c>
      <c r="H2183" s="15">
        <v>8918</v>
      </c>
      <c r="I2183" s="15">
        <v>2624.9</v>
      </c>
    </row>
    <row r="2184" spans="1:9">
      <c r="A2184" s="13">
        <v>45554</v>
      </c>
      <c r="B2184" s="91">
        <f t="shared" si="36"/>
        <v>2024</v>
      </c>
      <c r="C2184" s="15" t="s">
        <v>2113</v>
      </c>
      <c r="D2184" s="15" t="s">
        <v>2153</v>
      </c>
      <c r="E2184" s="15" t="s">
        <v>2145</v>
      </c>
      <c r="F2184" s="15" t="s">
        <v>2124</v>
      </c>
      <c r="G2184" s="15" t="s">
        <v>2125</v>
      </c>
      <c r="H2184" s="15">
        <v>9273</v>
      </c>
      <c r="I2184" s="15">
        <v>2046.55</v>
      </c>
    </row>
    <row r="2185" spans="1:9">
      <c r="A2185" s="13">
        <v>45428</v>
      </c>
      <c r="B2185" s="91">
        <f t="shared" si="36"/>
        <v>2024</v>
      </c>
      <c r="C2185" s="15" t="s">
        <v>2113</v>
      </c>
      <c r="D2185" s="15" t="s">
        <v>2128</v>
      </c>
      <c r="E2185" s="15" t="s">
        <v>2123</v>
      </c>
      <c r="F2185" s="15" t="s">
        <v>2138</v>
      </c>
      <c r="G2185" s="15" t="s">
        <v>2149</v>
      </c>
      <c r="H2185" s="15">
        <v>8163</v>
      </c>
      <c r="I2185" s="15">
        <v>1666.12</v>
      </c>
    </row>
    <row r="2186" spans="1:9">
      <c r="A2186" s="13">
        <v>45390</v>
      </c>
      <c r="B2186" s="91">
        <f t="shared" si="36"/>
        <v>2024</v>
      </c>
      <c r="C2186" s="15" t="s">
        <v>107</v>
      </c>
      <c r="D2186" s="15" t="s">
        <v>2153</v>
      </c>
      <c r="E2186" s="15" t="s">
        <v>2145</v>
      </c>
      <c r="F2186" s="15" t="s">
        <v>2120</v>
      </c>
      <c r="G2186" s="15" t="s">
        <v>2133</v>
      </c>
      <c r="H2186" s="15">
        <v>7821</v>
      </c>
      <c r="I2186" s="15">
        <v>1601.38</v>
      </c>
    </row>
    <row r="2187" spans="1:9">
      <c r="A2187" s="13">
        <v>45354</v>
      </c>
      <c r="B2187" s="91">
        <f t="shared" si="36"/>
        <v>2024</v>
      </c>
      <c r="C2187" s="15" t="s">
        <v>104</v>
      </c>
      <c r="D2187" s="15" t="s">
        <v>2131</v>
      </c>
      <c r="E2187" s="15" t="s">
        <v>2129</v>
      </c>
      <c r="F2187" s="15" t="s">
        <v>2116</v>
      </c>
      <c r="G2187" s="15" t="s">
        <v>2127</v>
      </c>
      <c r="H2187" s="15">
        <v>4477</v>
      </c>
      <c r="I2187" s="15">
        <v>679.27</v>
      </c>
    </row>
    <row r="2188" spans="1:9">
      <c r="A2188" s="13">
        <v>44829</v>
      </c>
      <c r="B2188" s="91">
        <f t="shared" si="36"/>
        <v>2022</v>
      </c>
      <c r="C2188" s="15" t="s">
        <v>2141</v>
      </c>
      <c r="D2188" s="15" t="s">
        <v>2118</v>
      </c>
      <c r="E2188" s="15" t="s">
        <v>2143</v>
      </c>
      <c r="F2188" s="15" t="s">
        <v>2116</v>
      </c>
      <c r="G2188" s="15" t="s">
        <v>2154</v>
      </c>
      <c r="H2188" s="15">
        <v>6818</v>
      </c>
      <c r="I2188" s="15">
        <v>902.15</v>
      </c>
    </row>
    <row r="2189" spans="1:9">
      <c r="A2189" s="13">
        <v>45656</v>
      </c>
      <c r="B2189" s="91">
        <f t="shared" si="36"/>
        <v>2024</v>
      </c>
      <c r="C2189" s="15" t="s">
        <v>104</v>
      </c>
      <c r="D2189" s="15" t="s">
        <v>2126</v>
      </c>
      <c r="E2189" s="15" t="s">
        <v>2129</v>
      </c>
      <c r="F2189" s="15" t="s">
        <v>2138</v>
      </c>
      <c r="G2189" s="15" t="s">
        <v>2139</v>
      </c>
      <c r="H2189" s="15">
        <v>3034</v>
      </c>
      <c r="I2189" s="15">
        <v>400.58</v>
      </c>
    </row>
    <row r="2190" spans="1:9">
      <c r="A2190" s="13">
        <v>45497</v>
      </c>
      <c r="B2190" s="91">
        <f t="shared" si="36"/>
        <v>2024</v>
      </c>
      <c r="C2190" s="15" t="s">
        <v>2141</v>
      </c>
      <c r="D2190" s="15" t="s">
        <v>2135</v>
      </c>
      <c r="E2190" s="15" t="s">
        <v>2136</v>
      </c>
      <c r="F2190" s="15" t="s">
        <v>2120</v>
      </c>
      <c r="G2190" s="15" t="s">
        <v>2121</v>
      </c>
      <c r="H2190" s="15">
        <v>3070</v>
      </c>
      <c r="I2190" s="15">
        <v>827.24</v>
      </c>
    </row>
    <row r="2191" spans="1:9">
      <c r="A2191" s="13">
        <v>45130</v>
      </c>
      <c r="B2191" s="91">
        <f t="shared" si="36"/>
        <v>2023</v>
      </c>
      <c r="C2191" s="15" t="s">
        <v>2141</v>
      </c>
      <c r="D2191" s="15" t="s">
        <v>2131</v>
      </c>
      <c r="E2191" s="15" t="s">
        <v>2151</v>
      </c>
      <c r="F2191" s="15" t="s">
        <v>2120</v>
      </c>
      <c r="G2191" s="15" t="s">
        <v>2132</v>
      </c>
      <c r="H2191" s="15">
        <v>7585</v>
      </c>
      <c r="I2191" s="15">
        <v>2064.5500000000002</v>
      </c>
    </row>
    <row r="2192" spans="1:9">
      <c r="A2192" s="13">
        <v>45347</v>
      </c>
      <c r="B2192" s="91">
        <f t="shared" si="36"/>
        <v>2024</v>
      </c>
      <c r="C2192" s="15" t="s">
        <v>107</v>
      </c>
      <c r="D2192" s="15" t="s">
        <v>2148</v>
      </c>
      <c r="E2192" s="15" t="s">
        <v>2123</v>
      </c>
      <c r="F2192" s="15" t="s">
        <v>2138</v>
      </c>
      <c r="G2192" s="15" t="s">
        <v>2146</v>
      </c>
      <c r="H2192" s="15">
        <v>3290</v>
      </c>
      <c r="I2192" s="15">
        <v>968.87</v>
      </c>
    </row>
    <row r="2193" spans="1:9">
      <c r="A2193" s="13">
        <v>45480</v>
      </c>
      <c r="B2193" s="91">
        <f t="shared" si="36"/>
        <v>2024</v>
      </c>
      <c r="C2193" s="15" t="s">
        <v>2141</v>
      </c>
      <c r="D2193" s="15" t="s">
        <v>2148</v>
      </c>
      <c r="E2193" s="15" t="s">
        <v>2145</v>
      </c>
      <c r="F2193" s="15" t="s">
        <v>2138</v>
      </c>
      <c r="G2193" s="15" t="s">
        <v>2149</v>
      </c>
      <c r="H2193" s="15">
        <v>4399</v>
      </c>
      <c r="I2193" s="15">
        <v>903.06</v>
      </c>
    </row>
    <row r="2194" spans="1:9">
      <c r="A2194" s="13">
        <v>44743</v>
      </c>
      <c r="B2194" s="91">
        <f t="shared" si="36"/>
        <v>2022</v>
      </c>
      <c r="C2194" s="15" t="s">
        <v>107</v>
      </c>
      <c r="D2194" s="15" t="s">
        <v>2135</v>
      </c>
      <c r="E2194" s="15" t="s">
        <v>2119</v>
      </c>
      <c r="F2194" s="15" t="s">
        <v>2120</v>
      </c>
      <c r="G2194" s="15" t="s">
        <v>2133</v>
      </c>
      <c r="H2194" s="15">
        <v>4824</v>
      </c>
      <c r="I2194" s="15">
        <v>946.57</v>
      </c>
    </row>
    <row r="2195" spans="1:9">
      <c r="A2195" s="13">
        <v>44796</v>
      </c>
      <c r="B2195" s="91">
        <f t="shared" si="36"/>
        <v>2022</v>
      </c>
      <c r="C2195" s="15" t="s">
        <v>104</v>
      </c>
      <c r="D2195" s="15" t="s">
        <v>2128</v>
      </c>
      <c r="E2195" s="15" t="s">
        <v>2144</v>
      </c>
      <c r="F2195" s="15" t="s">
        <v>2120</v>
      </c>
      <c r="G2195" s="15" t="s">
        <v>2121</v>
      </c>
      <c r="H2195" s="15">
        <v>8118</v>
      </c>
      <c r="I2195" s="15">
        <v>929.69</v>
      </c>
    </row>
    <row r="2196" spans="1:9">
      <c r="A2196" s="13">
        <v>45297</v>
      </c>
      <c r="B2196" s="91">
        <f t="shared" si="36"/>
        <v>2024</v>
      </c>
      <c r="C2196" s="15" t="s">
        <v>2113</v>
      </c>
      <c r="D2196" s="15" t="s">
        <v>2128</v>
      </c>
      <c r="E2196" s="15" t="s">
        <v>2115</v>
      </c>
      <c r="F2196" s="15" t="s">
        <v>2120</v>
      </c>
      <c r="G2196" s="15" t="s">
        <v>2133</v>
      </c>
      <c r="H2196" s="15">
        <v>3704</v>
      </c>
      <c r="I2196" s="15">
        <v>643.53</v>
      </c>
    </row>
    <row r="2197" spans="1:9">
      <c r="A2197" s="13">
        <v>45094</v>
      </c>
      <c r="B2197" s="91">
        <f t="shared" si="36"/>
        <v>2023</v>
      </c>
      <c r="C2197" s="15" t="s">
        <v>2113</v>
      </c>
      <c r="D2197" s="15" t="s">
        <v>2118</v>
      </c>
      <c r="E2197" s="15" t="s">
        <v>2129</v>
      </c>
      <c r="F2197" s="15" t="s">
        <v>2138</v>
      </c>
      <c r="G2197" s="15" t="s">
        <v>2146</v>
      </c>
      <c r="H2197" s="15">
        <v>4246</v>
      </c>
      <c r="I2197" s="15">
        <v>1266.1500000000001</v>
      </c>
    </row>
    <row r="2198" spans="1:9">
      <c r="A2198" s="13">
        <v>45140</v>
      </c>
      <c r="B2198" s="91">
        <f t="shared" si="36"/>
        <v>2023</v>
      </c>
      <c r="C2198" s="15" t="s">
        <v>2141</v>
      </c>
      <c r="D2198" s="15" t="s">
        <v>2152</v>
      </c>
      <c r="E2198" s="15" t="s">
        <v>2143</v>
      </c>
      <c r="F2198" s="15" t="s">
        <v>2138</v>
      </c>
      <c r="G2198" s="15" t="s">
        <v>2146</v>
      </c>
      <c r="H2198" s="15">
        <v>9275</v>
      </c>
      <c r="I2198" s="15">
        <v>2163.27</v>
      </c>
    </row>
    <row r="2199" spans="1:9">
      <c r="A2199" s="13">
        <v>44839</v>
      </c>
      <c r="B2199" s="91">
        <f t="shared" si="36"/>
        <v>2022</v>
      </c>
      <c r="C2199" s="15" t="s">
        <v>2113</v>
      </c>
      <c r="D2199" s="15" t="s">
        <v>2153</v>
      </c>
      <c r="E2199" s="15" t="s">
        <v>2115</v>
      </c>
      <c r="F2199" s="15" t="s">
        <v>2120</v>
      </c>
      <c r="G2199" s="15" t="s">
        <v>2121</v>
      </c>
      <c r="H2199" s="15">
        <v>8179</v>
      </c>
      <c r="I2199" s="15">
        <v>2325.5300000000002</v>
      </c>
    </row>
    <row r="2200" spans="1:9">
      <c r="A2200" s="13">
        <v>44975</v>
      </c>
      <c r="B2200" s="91">
        <f t="shared" si="36"/>
        <v>2023</v>
      </c>
      <c r="C2200" s="15" t="s">
        <v>107</v>
      </c>
      <c r="D2200" s="15" t="s">
        <v>2135</v>
      </c>
      <c r="E2200" s="15" t="s">
        <v>2136</v>
      </c>
      <c r="F2200" s="15" t="s">
        <v>2124</v>
      </c>
      <c r="G2200" s="15" t="s">
        <v>2130</v>
      </c>
      <c r="H2200" s="15">
        <v>3543</v>
      </c>
      <c r="I2200" s="15">
        <v>665.79</v>
      </c>
    </row>
    <row r="2201" spans="1:9">
      <c r="A2201" s="13">
        <v>45485</v>
      </c>
      <c r="B2201" s="91">
        <f t="shared" si="36"/>
        <v>2024</v>
      </c>
      <c r="C2201" s="15" t="s">
        <v>104</v>
      </c>
      <c r="D2201" s="15" t="s">
        <v>2118</v>
      </c>
      <c r="E2201" s="15" t="s">
        <v>2119</v>
      </c>
      <c r="F2201" s="15" t="s">
        <v>2120</v>
      </c>
      <c r="G2201" s="15" t="s">
        <v>2132</v>
      </c>
      <c r="H2201" s="15">
        <v>6309</v>
      </c>
      <c r="I2201" s="15">
        <v>761.17</v>
      </c>
    </row>
    <row r="2202" spans="1:9">
      <c r="A2202" s="13">
        <v>45284</v>
      </c>
      <c r="B2202" s="91">
        <f t="shared" si="36"/>
        <v>2023</v>
      </c>
      <c r="C2202" s="15" t="s">
        <v>2113</v>
      </c>
      <c r="D2202" s="15" t="s">
        <v>2131</v>
      </c>
      <c r="E2202" s="15" t="s">
        <v>2145</v>
      </c>
      <c r="F2202" s="15" t="s">
        <v>2116</v>
      </c>
      <c r="G2202" s="15" t="s">
        <v>2117</v>
      </c>
      <c r="H2202" s="15">
        <v>8322</v>
      </c>
      <c r="I2202" s="15">
        <v>1934.4</v>
      </c>
    </row>
    <row r="2203" spans="1:9">
      <c r="A2203" s="13">
        <v>45024</v>
      </c>
      <c r="B2203" s="91">
        <f t="shared" si="36"/>
        <v>2023</v>
      </c>
      <c r="C2203" s="15" t="s">
        <v>107</v>
      </c>
      <c r="D2203" s="15" t="s">
        <v>2148</v>
      </c>
      <c r="E2203" s="15" t="s">
        <v>2119</v>
      </c>
      <c r="F2203" s="15" t="s">
        <v>2138</v>
      </c>
      <c r="G2203" s="15" t="s">
        <v>2146</v>
      </c>
      <c r="H2203" s="15">
        <v>5023</v>
      </c>
      <c r="I2203" s="15">
        <v>1081.9100000000001</v>
      </c>
    </row>
    <row r="2204" spans="1:9">
      <c r="A2204" s="13">
        <v>44629</v>
      </c>
      <c r="B2204" s="91">
        <f t="shared" si="36"/>
        <v>2022</v>
      </c>
      <c r="C2204" s="15" t="s">
        <v>104</v>
      </c>
      <c r="D2204" s="15" t="s">
        <v>2128</v>
      </c>
      <c r="E2204" s="15" t="s">
        <v>2129</v>
      </c>
      <c r="F2204" s="15" t="s">
        <v>2120</v>
      </c>
      <c r="G2204" s="15" t="s">
        <v>2132</v>
      </c>
      <c r="H2204" s="15">
        <v>3804</v>
      </c>
      <c r="I2204" s="15">
        <v>869.37</v>
      </c>
    </row>
    <row r="2205" spans="1:9">
      <c r="A2205" s="13">
        <v>44646</v>
      </c>
      <c r="B2205" s="91">
        <f t="shared" si="36"/>
        <v>2022</v>
      </c>
      <c r="C2205" s="15" t="s">
        <v>2141</v>
      </c>
      <c r="D2205" s="15" t="s">
        <v>2153</v>
      </c>
      <c r="E2205" s="15" t="s">
        <v>2144</v>
      </c>
      <c r="F2205" s="15" t="s">
        <v>2120</v>
      </c>
      <c r="G2205" s="15" t="s">
        <v>2121</v>
      </c>
      <c r="H2205" s="15">
        <v>6459</v>
      </c>
      <c r="I2205" s="15">
        <v>1381.57</v>
      </c>
    </row>
    <row r="2206" spans="1:9">
      <c r="A2206" s="13">
        <v>44624</v>
      </c>
      <c r="B2206" s="91">
        <f t="shared" si="36"/>
        <v>2022</v>
      </c>
      <c r="C2206" s="15" t="s">
        <v>104</v>
      </c>
      <c r="D2206" s="15" t="s">
        <v>2135</v>
      </c>
      <c r="E2206" s="15" t="s">
        <v>2151</v>
      </c>
      <c r="F2206" s="15" t="s">
        <v>2124</v>
      </c>
      <c r="G2206" s="15" t="s">
        <v>2125</v>
      </c>
      <c r="H2206" s="15">
        <v>9666</v>
      </c>
      <c r="I2206" s="15">
        <v>2358.17</v>
      </c>
    </row>
    <row r="2207" spans="1:9">
      <c r="A2207" s="13">
        <v>45013</v>
      </c>
      <c r="B2207" s="91">
        <f t="shared" si="36"/>
        <v>2023</v>
      </c>
      <c r="C2207" s="15" t="s">
        <v>2113</v>
      </c>
      <c r="D2207" s="15" t="s">
        <v>2148</v>
      </c>
      <c r="E2207" s="15" t="s">
        <v>2151</v>
      </c>
      <c r="F2207" s="15" t="s">
        <v>2124</v>
      </c>
      <c r="G2207" s="15" t="s">
        <v>2140</v>
      </c>
      <c r="H2207" s="15">
        <v>7692</v>
      </c>
      <c r="I2207" s="15">
        <v>1108.76</v>
      </c>
    </row>
    <row r="2208" spans="1:9">
      <c r="A2208" s="13">
        <v>44906</v>
      </c>
      <c r="B2208" s="91">
        <f t="shared" si="36"/>
        <v>2022</v>
      </c>
      <c r="C2208" s="15" t="s">
        <v>2141</v>
      </c>
      <c r="D2208" s="15" t="s">
        <v>2135</v>
      </c>
      <c r="E2208" s="15" t="s">
        <v>2123</v>
      </c>
      <c r="F2208" s="15" t="s">
        <v>2120</v>
      </c>
      <c r="G2208" s="15" t="s">
        <v>2133</v>
      </c>
      <c r="H2208" s="15">
        <v>2621</v>
      </c>
      <c r="I2208" s="15">
        <v>620.74</v>
      </c>
    </row>
    <row r="2209" spans="1:9">
      <c r="A2209" s="13">
        <v>44741</v>
      </c>
      <c r="B2209" s="91">
        <f t="shared" si="36"/>
        <v>2022</v>
      </c>
      <c r="C2209" s="15" t="s">
        <v>107</v>
      </c>
      <c r="D2209" s="15" t="s">
        <v>2131</v>
      </c>
      <c r="E2209" s="15" t="s">
        <v>2144</v>
      </c>
      <c r="F2209" s="15" t="s">
        <v>2116</v>
      </c>
      <c r="G2209" s="15" t="s">
        <v>2127</v>
      </c>
      <c r="H2209" s="15">
        <v>1894</v>
      </c>
      <c r="I2209" s="15">
        <v>461.63</v>
      </c>
    </row>
    <row r="2210" spans="1:9">
      <c r="A2210" s="13">
        <v>44575</v>
      </c>
      <c r="B2210" s="91">
        <f t="shared" si="36"/>
        <v>2022</v>
      </c>
      <c r="C2210" s="15" t="s">
        <v>107</v>
      </c>
      <c r="D2210" s="15" t="s">
        <v>2142</v>
      </c>
      <c r="E2210" s="15" t="s">
        <v>2151</v>
      </c>
      <c r="F2210" s="15" t="s">
        <v>2124</v>
      </c>
      <c r="G2210" s="15" t="s">
        <v>2140</v>
      </c>
      <c r="H2210" s="15">
        <v>4160</v>
      </c>
      <c r="I2210" s="15">
        <v>617.86</v>
      </c>
    </row>
    <row r="2211" spans="1:9">
      <c r="A2211" s="13">
        <v>44750</v>
      </c>
      <c r="B2211" s="91">
        <f t="shared" si="36"/>
        <v>2022</v>
      </c>
      <c r="C2211" s="15" t="s">
        <v>107</v>
      </c>
      <c r="D2211" s="15" t="s">
        <v>2118</v>
      </c>
      <c r="E2211" s="15" t="s">
        <v>2136</v>
      </c>
      <c r="F2211" s="15" t="s">
        <v>2124</v>
      </c>
      <c r="G2211" s="15" t="s">
        <v>2125</v>
      </c>
      <c r="H2211" s="15">
        <v>6282</v>
      </c>
      <c r="I2211" s="15">
        <v>1053.81</v>
      </c>
    </row>
    <row r="2212" spans="1:9">
      <c r="A2212" s="13">
        <v>45521</v>
      </c>
      <c r="B2212" s="91">
        <f t="shared" si="36"/>
        <v>2024</v>
      </c>
      <c r="C2212" s="15" t="s">
        <v>2113</v>
      </c>
      <c r="D2212" s="15" t="s">
        <v>2126</v>
      </c>
      <c r="E2212" s="15" t="s">
        <v>2143</v>
      </c>
      <c r="F2212" s="15" t="s">
        <v>2116</v>
      </c>
      <c r="G2212" s="15" t="s">
        <v>2117</v>
      </c>
      <c r="H2212" s="15">
        <v>4631</v>
      </c>
      <c r="I2212" s="15">
        <v>1360.15</v>
      </c>
    </row>
    <row r="2213" spans="1:9">
      <c r="A2213" s="13">
        <v>44949</v>
      </c>
      <c r="B2213" s="91">
        <f t="shared" si="36"/>
        <v>2023</v>
      </c>
      <c r="C2213" s="15" t="s">
        <v>2141</v>
      </c>
      <c r="D2213" s="15" t="s">
        <v>2152</v>
      </c>
      <c r="E2213" s="15" t="s">
        <v>2134</v>
      </c>
      <c r="F2213" s="15" t="s">
        <v>2138</v>
      </c>
      <c r="G2213" s="15" t="s">
        <v>2139</v>
      </c>
      <c r="H2213" s="15">
        <v>5309</v>
      </c>
      <c r="I2213" s="15">
        <v>1269.8599999999999</v>
      </c>
    </row>
    <row r="2214" spans="1:9">
      <c r="A2214" s="13">
        <v>45008</v>
      </c>
      <c r="B2214" s="91">
        <f t="shared" si="36"/>
        <v>2023</v>
      </c>
      <c r="C2214" s="15" t="s">
        <v>2141</v>
      </c>
      <c r="D2214" s="15" t="s">
        <v>2114</v>
      </c>
      <c r="E2214" s="15" t="s">
        <v>2145</v>
      </c>
      <c r="F2214" s="15" t="s">
        <v>2116</v>
      </c>
      <c r="G2214" s="15" t="s">
        <v>2127</v>
      </c>
      <c r="H2214" s="15">
        <v>4883</v>
      </c>
      <c r="I2214" s="15">
        <v>659.81</v>
      </c>
    </row>
    <row r="2215" spans="1:9">
      <c r="A2215" s="13">
        <v>45657</v>
      </c>
      <c r="B2215" s="91">
        <f t="shared" si="36"/>
        <v>2024</v>
      </c>
      <c r="C2215" s="15" t="s">
        <v>2141</v>
      </c>
      <c r="D2215" s="15" t="s">
        <v>2114</v>
      </c>
      <c r="E2215" s="15" t="s">
        <v>2144</v>
      </c>
      <c r="F2215" s="15" t="s">
        <v>2120</v>
      </c>
      <c r="G2215" s="15" t="s">
        <v>2132</v>
      </c>
      <c r="H2215" s="15">
        <v>7578</v>
      </c>
      <c r="I2215" s="15">
        <v>2140.56</v>
      </c>
    </row>
    <row r="2216" spans="1:9">
      <c r="A2216" s="13">
        <v>45201</v>
      </c>
      <c r="B2216" s="91">
        <f t="shared" si="36"/>
        <v>2023</v>
      </c>
      <c r="C2216" s="15" t="s">
        <v>104</v>
      </c>
      <c r="D2216" s="15" t="s">
        <v>2142</v>
      </c>
      <c r="E2216" s="15" t="s">
        <v>2129</v>
      </c>
      <c r="F2216" s="15" t="s">
        <v>2120</v>
      </c>
      <c r="G2216" s="15" t="s">
        <v>2121</v>
      </c>
      <c r="H2216" s="15">
        <v>3226</v>
      </c>
      <c r="I2216" s="15">
        <v>733.56</v>
      </c>
    </row>
    <row r="2217" spans="1:9">
      <c r="A2217" s="13">
        <v>45219</v>
      </c>
      <c r="B2217" s="91">
        <f t="shared" si="36"/>
        <v>2023</v>
      </c>
      <c r="C2217" s="15" t="s">
        <v>104</v>
      </c>
      <c r="D2217" s="15" t="s">
        <v>2126</v>
      </c>
      <c r="E2217" s="15" t="s">
        <v>2134</v>
      </c>
      <c r="F2217" s="15" t="s">
        <v>2124</v>
      </c>
      <c r="G2217" s="15" t="s">
        <v>2140</v>
      </c>
      <c r="H2217" s="15">
        <v>8387</v>
      </c>
      <c r="I2217" s="15">
        <v>2405.08</v>
      </c>
    </row>
    <row r="2218" spans="1:9">
      <c r="A2218" s="13">
        <v>45346</v>
      </c>
      <c r="B2218" s="91">
        <f t="shared" si="36"/>
        <v>2024</v>
      </c>
      <c r="C2218" s="15" t="s">
        <v>2113</v>
      </c>
      <c r="D2218" s="15" t="s">
        <v>2131</v>
      </c>
      <c r="E2218" s="15" t="s">
        <v>2119</v>
      </c>
      <c r="F2218" s="15" t="s">
        <v>2124</v>
      </c>
      <c r="G2218" s="15" t="s">
        <v>2140</v>
      </c>
      <c r="H2218" s="15">
        <v>6565</v>
      </c>
      <c r="I2218" s="15">
        <v>762.85</v>
      </c>
    </row>
    <row r="2219" spans="1:9">
      <c r="A2219" s="13">
        <v>44714</v>
      </c>
      <c r="B2219" s="91">
        <f t="shared" si="36"/>
        <v>2022</v>
      </c>
      <c r="C2219" s="15" t="s">
        <v>107</v>
      </c>
      <c r="D2219" s="15" t="s">
        <v>2148</v>
      </c>
      <c r="E2219" s="15" t="s">
        <v>2143</v>
      </c>
      <c r="F2219" s="15" t="s">
        <v>2124</v>
      </c>
      <c r="G2219" s="15" t="s">
        <v>2125</v>
      </c>
      <c r="H2219" s="15">
        <v>1480</v>
      </c>
      <c r="I2219" s="15">
        <v>182.03</v>
      </c>
    </row>
    <row r="2220" spans="1:9">
      <c r="A2220" s="13">
        <v>44777</v>
      </c>
      <c r="B2220" s="91">
        <f t="shared" si="36"/>
        <v>2022</v>
      </c>
      <c r="C2220" s="15" t="s">
        <v>2113</v>
      </c>
      <c r="D2220" s="15" t="s">
        <v>2148</v>
      </c>
      <c r="E2220" s="15" t="s">
        <v>2134</v>
      </c>
      <c r="F2220" s="15" t="s">
        <v>2138</v>
      </c>
      <c r="G2220" s="15" t="s">
        <v>2149</v>
      </c>
      <c r="H2220" s="15">
        <v>9969</v>
      </c>
      <c r="I2220" s="15">
        <v>1291.5</v>
      </c>
    </row>
    <row r="2221" spans="1:9">
      <c r="A2221" s="13">
        <v>45379</v>
      </c>
      <c r="B2221" s="91">
        <f t="shared" si="36"/>
        <v>2024</v>
      </c>
      <c r="C2221" s="15" t="s">
        <v>2141</v>
      </c>
      <c r="D2221" s="15" t="s">
        <v>2135</v>
      </c>
      <c r="E2221" s="15" t="s">
        <v>2123</v>
      </c>
      <c r="F2221" s="15" t="s">
        <v>2116</v>
      </c>
      <c r="G2221" s="15" t="s">
        <v>2127</v>
      </c>
      <c r="H2221" s="15">
        <v>9365</v>
      </c>
      <c r="I2221" s="15">
        <v>963.41</v>
      </c>
    </row>
    <row r="2222" spans="1:9">
      <c r="A2222" s="13">
        <v>44892</v>
      </c>
      <c r="B2222" s="91">
        <f t="shared" si="36"/>
        <v>2022</v>
      </c>
      <c r="C2222" s="15" t="s">
        <v>104</v>
      </c>
      <c r="D2222" s="15" t="s">
        <v>2126</v>
      </c>
      <c r="E2222" s="15" t="s">
        <v>2134</v>
      </c>
      <c r="F2222" s="15" t="s">
        <v>2120</v>
      </c>
      <c r="G2222" s="15" t="s">
        <v>2133</v>
      </c>
      <c r="H2222" s="15">
        <v>9989</v>
      </c>
      <c r="I2222" s="15">
        <v>1420.43</v>
      </c>
    </row>
    <row r="2223" spans="1:9">
      <c r="A2223" s="13">
        <v>45153</v>
      </c>
      <c r="B2223" s="91">
        <f t="shared" si="36"/>
        <v>2023</v>
      </c>
      <c r="C2223" s="15" t="s">
        <v>2113</v>
      </c>
      <c r="D2223" s="15" t="s">
        <v>2118</v>
      </c>
      <c r="E2223" s="15" t="s">
        <v>2143</v>
      </c>
      <c r="F2223" s="15" t="s">
        <v>2138</v>
      </c>
      <c r="G2223" s="15" t="s">
        <v>2149</v>
      </c>
      <c r="H2223" s="15">
        <v>8105</v>
      </c>
      <c r="I2223" s="15">
        <v>1858.2</v>
      </c>
    </row>
    <row r="2224" spans="1:9">
      <c r="A2224" s="13">
        <v>45078</v>
      </c>
      <c r="B2224" s="91">
        <f t="shared" si="36"/>
        <v>2023</v>
      </c>
      <c r="C2224" s="15" t="s">
        <v>2141</v>
      </c>
      <c r="D2224" s="15" t="s">
        <v>2153</v>
      </c>
      <c r="E2224" s="15" t="s">
        <v>2151</v>
      </c>
      <c r="F2224" s="15" t="s">
        <v>2138</v>
      </c>
      <c r="G2224" s="15" t="s">
        <v>2149</v>
      </c>
      <c r="H2224" s="15">
        <v>4775</v>
      </c>
      <c r="I2224" s="15">
        <v>522.49</v>
      </c>
    </row>
    <row r="2225" spans="1:9">
      <c r="A2225" s="13">
        <v>45328</v>
      </c>
      <c r="B2225" s="91">
        <f t="shared" si="36"/>
        <v>2024</v>
      </c>
      <c r="C2225" s="15" t="s">
        <v>104</v>
      </c>
      <c r="D2225" s="15" t="s">
        <v>2131</v>
      </c>
      <c r="E2225" s="15" t="s">
        <v>2136</v>
      </c>
      <c r="F2225" s="15" t="s">
        <v>2116</v>
      </c>
      <c r="G2225" s="15" t="s">
        <v>2154</v>
      </c>
      <c r="H2225" s="15">
        <v>1055</v>
      </c>
      <c r="I2225" s="15">
        <v>209.49</v>
      </c>
    </row>
    <row r="2226" spans="1:9">
      <c r="A2226" s="13">
        <v>45527</v>
      </c>
      <c r="B2226" s="91">
        <f t="shared" si="36"/>
        <v>2024</v>
      </c>
      <c r="C2226" s="15" t="s">
        <v>2113</v>
      </c>
      <c r="D2226" s="15" t="s">
        <v>2148</v>
      </c>
      <c r="E2226" s="15" t="s">
        <v>2119</v>
      </c>
      <c r="F2226" s="15" t="s">
        <v>2116</v>
      </c>
      <c r="G2226" s="15" t="s">
        <v>2127</v>
      </c>
      <c r="H2226" s="15">
        <v>9779</v>
      </c>
      <c r="I2226" s="15">
        <v>1542.43</v>
      </c>
    </row>
    <row r="2227" spans="1:9">
      <c r="A2227" s="13">
        <v>44931</v>
      </c>
      <c r="B2227" s="91">
        <f t="shared" si="36"/>
        <v>2023</v>
      </c>
      <c r="C2227" s="15" t="s">
        <v>2113</v>
      </c>
      <c r="D2227" s="15" t="s">
        <v>2131</v>
      </c>
      <c r="E2227" s="15" t="s">
        <v>2129</v>
      </c>
      <c r="F2227" s="15" t="s">
        <v>2116</v>
      </c>
      <c r="G2227" s="15" t="s">
        <v>2117</v>
      </c>
      <c r="H2227" s="15">
        <v>3559</v>
      </c>
      <c r="I2227" s="15">
        <v>532.42999999999995</v>
      </c>
    </row>
    <row r="2228" spans="1:9">
      <c r="A2228" s="13">
        <v>45396</v>
      </c>
      <c r="B2228" s="91">
        <f t="shared" si="36"/>
        <v>2024</v>
      </c>
      <c r="C2228" s="15" t="s">
        <v>104</v>
      </c>
      <c r="D2228" s="15" t="s">
        <v>2126</v>
      </c>
      <c r="E2228" s="15" t="s">
        <v>2134</v>
      </c>
      <c r="F2228" s="15" t="s">
        <v>2138</v>
      </c>
      <c r="G2228" s="15" t="s">
        <v>2139</v>
      </c>
      <c r="H2228" s="15">
        <v>1765</v>
      </c>
      <c r="I2228" s="15">
        <v>295.37</v>
      </c>
    </row>
    <row r="2229" spans="1:9">
      <c r="A2229" s="13">
        <v>45414</v>
      </c>
      <c r="B2229" s="91">
        <f t="shared" si="36"/>
        <v>2024</v>
      </c>
      <c r="C2229" s="15" t="s">
        <v>104</v>
      </c>
      <c r="D2229" s="15" t="s">
        <v>2142</v>
      </c>
      <c r="E2229" s="15" t="s">
        <v>2134</v>
      </c>
      <c r="F2229" s="15" t="s">
        <v>2138</v>
      </c>
      <c r="G2229" s="15" t="s">
        <v>2139</v>
      </c>
      <c r="H2229" s="15">
        <v>5680</v>
      </c>
      <c r="I2229" s="15">
        <v>1333.15</v>
      </c>
    </row>
    <row r="2230" spans="1:9">
      <c r="A2230" s="13">
        <v>45589</v>
      </c>
      <c r="B2230" s="91">
        <f t="shared" si="36"/>
        <v>2024</v>
      </c>
      <c r="C2230" s="15" t="s">
        <v>104</v>
      </c>
      <c r="D2230" s="15" t="s">
        <v>2148</v>
      </c>
      <c r="E2230" s="15" t="s">
        <v>2143</v>
      </c>
      <c r="F2230" s="15" t="s">
        <v>2116</v>
      </c>
      <c r="G2230" s="15" t="s">
        <v>2127</v>
      </c>
      <c r="H2230" s="15">
        <v>5678</v>
      </c>
      <c r="I2230" s="15">
        <v>1401.44</v>
      </c>
    </row>
    <row r="2231" spans="1:9">
      <c r="A2231" s="13">
        <v>45007</v>
      </c>
      <c r="B2231" s="91">
        <f t="shared" si="36"/>
        <v>2023</v>
      </c>
      <c r="C2231" s="15" t="s">
        <v>104</v>
      </c>
      <c r="D2231" s="15" t="s">
        <v>2152</v>
      </c>
      <c r="E2231" s="15" t="s">
        <v>2129</v>
      </c>
      <c r="F2231" s="15" t="s">
        <v>2138</v>
      </c>
      <c r="G2231" s="15" t="s">
        <v>2149</v>
      </c>
      <c r="H2231" s="15">
        <v>9042</v>
      </c>
      <c r="I2231" s="15">
        <v>1464.2</v>
      </c>
    </row>
    <row r="2232" spans="1:9">
      <c r="A2232" s="13">
        <v>45074</v>
      </c>
      <c r="B2232" s="91">
        <f t="shared" si="36"/>
        <v>2023</v>
      </c>
      <c r="C2232" s="15" t="s">
        <v>107</v>
      </c>
      <c r="D2232" s="15" t="s">
        <v>2153</v>
      </c>
      <c r="E2232" s="15" t="s">
        <v>2123</v>
      </c>
      <c r="F2232" s="15" t="s">
        <v>2124</v>
      </c>
      <c r="G2232" s="15" t="s">
        <v>2125</v>
      </c>
      <c r="H2232" s="15">
        <v>7161</v>
      </c>
      <c r="I2232" s="15">
        <v>1436.52</v>
      </c>
    </row>
    <row r="2233" spans="1:9">
      <c r="A2233" s="13">
        <v>45437</v>
      </c>
      <c r="B2233" s="91">
        <f t="shared" si="36"/>
        <v>2024</v>
      </c>
      <c r="C2233" s="15" t="s">
        <v>2113</v>
      </c>
      <c r="D2233" s="15" t="s">
        <v>2126</v>
      </c>
      <c r="E2233" s="15" t="s">
        <v>2144</v>
      </c>
      <c r="F2233" s="15" t="s">
        <v>2120</v>
      </c>
      <c r="G2233" s="15" t="s">
        <v>2133</v>
      </c>
      <c r="H2233" s="15">
        <v>4611</v>
      </c>
      <c r="I2233" s="15">
        <v>551.58000000000004</v>
      </c>
    </row>
    <row r="2234" spans="1:9">
      <c r="A2234" s="13">
        <v>44960</v>
      </c>
      <c r="B2234" s="91">
        <f t="shared" si="36"/>
        <v>2023</v>
      </c>
      <c r="C2234" s="15" t="s">
        <v>104</v>
      </c>
      <c r="D2234" s="15" t="s">
        <v>2126</v>
      </c>
      <c r="E2234" s="15" t="s">
        <v>2136</v>
      </c>
      <c r="F2234" s="15" t="s">
        <v>2116</v>
      </c>
      <c r="G2234" s="15" t="s">
        <v>2117</v>
      </c>
      <c r="H2234" s="15">
        <v>5705</v>
      </c>
      <c r="I2234" s="15">
        <v>945.65</v>
      </c>
    </row>
    <row r="2235" spans="1:9">
      <c r="A2235" s="13">
        <v>45141</v>
      </c>
      <c r="B2235" s="91">
        <f t="shared" si="36"/>
        <v>2023</v>
      </c>
      <c r="C2235" s="15" t="s">
        <v>104</v>
      </c>
      <c r="D2235" s="15" t="s">
        <v>2131</v>
      </c>
      <c r="E2235" s="15" t="s">
        <v>2129</v>
      </c>
      <c r="F2235" s="15" t="s">
        <v>2116</v>
      </c>
      <c r="G2235" s="15" t="s">
        <v>2117</v>
      </c>
      <c r="H2235" s="15">
        <v>5844</v>
      </c>
      <c r="I2235" s="15">
        <v>592.42999999999995</v>
      </c>
    </row>
    <row r="2236" spans="1:9">
      <c r="A2236" s="13">
        <v>45505</v>
      </c>
      <c r="B2236" s="91">
        <f t="shared" si="36"/>
        <v>2024</v>
      </c>
      <c r="C2236" s="15" t="s">
        <v>104</v>
      </c>
      <c r="D2236" s="15" t="s">
        <v>2126</v>
      </c>
      <c r="E2236" s="15" t="s">
        <v>2143</v>
      </c>
      <c r="F2236" s="15" t="s">
        <v>2124</v>
      </c>
      <c r="G2236" s="15" t="s">
        <v>2130</v>
      </c>
      <c r="H2236" s="15">
        <v>3471</v>
      </c>
      <c r="I2236" s="15">
        <v>662.4</v>
      </c>
    </row>
    <row r="2237" spans="1:9">
      <c r="A2237" s="13">
        <v>45017</v>
      </c>
      <c r="B2237" s="91">
        <f t="shared" si="36"/>
        <v>2023</v>
      </c>
      <c r="C2237" s="15" t="s">
        <v>2141</v>
      </c>
      <c r="D2237" s="15" t="s">
        <v>2135</v>
      </c>
      <c r="E2237" s="15" t="s">
        <v>2143</v>
      </c>
      <c r="F2237" s="15" t="s">
        <v>2116</v>
      </c>
      <c r="G2237" s="15" t="s">
        <v>2117</v>
      </c>
      <c r="H2237" s="15">
        <v>4725</v>
      </c>
      <c r="I2237" s="15">
        <v>901.77</v>
      </c>
    </row>
    <row r="2238" spans="1:9">
      <c r="A2238" s="13">
        <v>44914</v>
      </c>
      <c r="B2238" s="91">
        <f t="shared" si="36"/>
        <v>2022</v>
      </c>
      <c r="C2238" s="15" t="s">
        <v>2141</v>
      </c>
      <c r="D2238" s="15" t="s">
        <v>2118</v>
      </c>
      <c r="E2238" s="15" t="s">
        <v>2115</v>
      </c>
      <c r="F2238" s="15" t="s">
        <v>2138</v>
      </c>
      <c r="G2238" s="15" t="s">
        <v>2146</v>
      </c>
      <c r="H2238" s="15">
        <v>9662</v>
      </c>
      <c r="I2238" s="15">
        <v>1267.24</v>
      </c>
    </row>
    <row r="2239" spans="1:9">
      <c r="A2239" s="13">
        <v>44949</v>
      </c>
      <c r="B2239" s="91">
        <f t="shared" si="36"/>
        <v>2023</v>
      </c>
      <c r="C2239" s="15" t="s">
        <v>104</v>
      </c>
      <c r="D2239" s="15" t="s">
        <v>2131</v>
      </c>
      <c r="E2239" s="15" t="s">
        <v>2129</v>
      </c>
      <c r="F2239" s="15" t="s">
        <v>2124</v>
      </c>
      <c r="G2239" s="15" t="s">
        <v>2125</v>
      </c>
      <c r="H2239" s="15">
        <v>5264</v>
      </c>
      <c r="I2239" s="15">
        <v>690.71</v>
      </c>
    </row>
    <row r="2240" spans="1:9">
      <c r="A2240" s="13">
        <v>45051</v>
      </c>
      <c r="B2240" s="91">
        <f t="shared" si="36"/>
        <v>2023</v>
      </c>
      <c r="C2240" s="15" t="s">
        <v>2113</v>
      </c>
      <c r="D2240" s="15" t="s">
        <v>2142</v>
      </c>
      <c r="E2240" s="15" t="s">
        <v>2134</v>
      </c>
      <c r="F2240" s="15" t="s">
        <v>2116</v>
      </c>
      <c r="G2240" s="15" t="s">
        <v>2154</v>
      </c>
      <c r="H2240" s="15">
        <v>6151</v>
      </c>
      <c r="I2240" s="15">
        <v>1728.07</v>
      </c>
    </row>
    <row r="2241" spans="1:9">
      <c r="A2241" s="13">
        <v>44854</v>
      </c>
      <c r="B2241" s="91">
        <f t="shared" si="36"/>
        <v>2022</v>
      </c>
      <c r="C2241" s="15" t="s">
        <v>107</v>
      </c>
      <c r="D2241" s="15" t="s">
        <v>2126</v>
      </c>
      <c r="E2241" s="15" t="s">
        <v>2151</v>
      </c>
      <c r="F2241" s="15" t="s">
        <v>2116</v>
      </c>
      <c r="G2241" s="15" t="s">
        <v>2127</v>
      </c>
      <c r="H2241" s="15">
        <v>5459</v>
      </c>
      <c r="I2241" s="15">
        <v>1402.48</v>
      </c>
    </row>
    <row r="2242" spans="1:9">
      <c r="A2242" s="13">
        <v>45324</v>
      </c>
      <c r="B2242" s="91">
        <f t="shared" si="36"/>
        <v>2024</v>
      </c>
      <c r="C2242" s="15" t="s">
        <v>2113</v>
      </c>
      <c r="D2242" s="15" t="s">
        <v>2128</v>
      </c>
      <c r="E2242" s="15" t="s">
        <v>2134</v>
      </c>
      <c r="F2242" s="15" t="s">
        <v>2124</v>
      </c>
      <c r="G2242" s="15" t="s">
        <v>2130</v>
      </c>
      <c r="H2242" s="15">
        <v>1140</v>
      </c>
      <c r="I2242" s="15">
        <v>195.87</v>
      </c>
    </row>
    <row r="2243" spans="1:9">
      <c r="A2243" s="13">
        <v>45433</v>
      </c>
      <c r="B2243" s="91">
        <f t="shared" ref="B2243:B2306" si="37">YEAR(A2243)</f>
        <v>2024</v>
      </c>
      <c r="C2243" s="15" t="s">
        <v>107</v>
      </c>
      <c r="D2243" s="15" t="s">
        <v>2142</v>
      </c>
      <c r="E2243" s="15" t="s">
        <v>2119</v>
      </c>
      <c r="F2243" s="15" t="s">
        <v>2138</v>
      </c>
      <c r="G2243" s="15" t="s">
        <v>2146</v>
      </c>
      <c r="H2243" s="15">
        <v>1946</v>
      </c>
      <c r="I2243" s="15">
        <v>325.70999999999998</v>
      </c>
    </row>
    <row r="2244" spans="1:9">
      <c r="A2244" s="13">
        <v>45636</v>
      </c>
      <c r="B2244" s="91">
        <f t="shared" si="37"/>
        <v>2024</v>
      </c>
      <c r="C2244" s="15" t="s">
        <v>2113</v>
      </c>
      <c r="D2244" s="15" t="s">
        <v>2152</v>
      </c>
      <c r="E2244" s="15" t="s">
        <v>2151</v>
      </c>
      <c r="F2244" s="15" t="s">
        <v>2124</v>
      </c>
      <c r="G2244" s="15" t="s">
        <v>2130</v>
      </c>
      <c r="H2244" s="15">
        <v>8670</v>
      </c>
      <c r="I2244" s="15">
        <v>2472.5700000000002</v>
      </c>
    </row>
    <row r="2245" spans="1:9">
      <c r="A2245" s="13">
        <v>45126</v>
      </c>
      <c r="B2245" s="91">
        <f t="shared" si="37"/>
        <v>2023</v>
      </c>
      <c r="C2245" s="15" t="s">
        <v>107</v>
      </c>
      <c r="D2245" s="15" t="s">
        <v>2142</v>
      </c>
      <c r="E2245" s="15" t="s">
        <v>2151</v>
      </c>
      <c r="F2245" s="15" t="s">
        <v>2116</v>
      </c>
      <c r="G2245" s="15" t="s">
        <v>2117</v>
      </c>
      <c r="H2245" s="15">
        <v>9260</v>
      </c>
      <c r="I2245" s="15">
        <v>2280.12</v>
      </c>
    </row>
    <row r="2246" spans="1:9">
      <c r="A2246" s="13">
        <v>44900</v>
      </c>
      <c r="B2246" s="91">
        <f t="shared" si="37"/>
        <v>2022</v>
      </c>
      <c r="C2246" s="15" t="s">
        <v>107</v>
      </c>
      <c r="D2246" s="15" t="s">
        <v>2135</v>
      </c>
      <c r="E2246" s="15" t="s">
        <v>2115</v>
      </c>
      <c r="F2246" s="15" t="s">
        <v>2116</v>
      </c>
      <c r="G2246" s="15" t="s">
        <v>2154</v>
      </c>
      <c r="H2246" s="15">
        <v>1752</v>
      </c>
      <c r="I2246" s="15">
        <v>476.12</v>
      </c>
    </row>
    <row r="2247" spans="1:9">
      <c r="A2247" s="13">
        <v>45330</v>
      </c>
      <c r="B2247" s="91">
        <f t="shared" si="37"/>
        <v>2024</v>
      </c>
      <c r="C2247" s="15" t="s">
        <v>104</v>
      </c>
      <c r="D2247" s="15" t="s">
        <v>2128</v>
      </c>
      <c r="E2247" s="15" t="s">
        <v>2151</v>
      </c>
      <c r="F2247" s="15" t="s">
        <v>2124</v>
      </c>
      <c r="G2247" s="15" t="s">
        <v>2130</v>
      </c>
      <c r="H2247" s="15">
        <v>9317</v>
      </c>
      <c r="I2247" s="15">
        <v>2094.52</v>
      </c>
    </row>
    <row r="2248" spans="1:9">
      <c r="A2248" s="13">
        <v>45325</v>
      </c>
      <c r="B2248" s="91">
        <f t="shared" si="37"/>
        <v>2024</v>
      </c>
      <c r="C2248" s="15" t="s">
        <v>104</v>
      </c>
      <c r="D2248" s="15" t="s">
        <v>2118</v>
      </c>
      <c r="E2248" s="15" t="s">
        <v>2151</v>
      </c>
      <c r="F2248" s="15" t="s">
        <v>2138</v>
      </c>
      <c r="G2248" s="15" t="s">
        <v>2139</v>
      </c>
      <c r="H2248" s="15">
        <v>6822</v>
      </c>
      <c r="I2248" s="15">
        <v>1384.61</v>
      </c>
    </row>
    <row r="2249" spans="1:9">
      <c r="A2249" s="13">
        <v>44814</v>
      </c>
      <c r="B2249" s="91">
        <f t="shared" si="37"/>
        <v>2022</v>
      </c>
      <c r="C2249" s="15" t="s">
        <v>2113</v>
      </c>
      <c r="D2249" s="15" t="s">
        <v>2131</v>
      </c>
      <c r="E2249" s="15" t="s">
        <v>2129</v>
      </c>
      <c r="F2249" s="15" t="s">
        <v>2116</v>
      </c>
      <c r="G2249" s="15" t="s">
        <v>2117</v>
      </c>
      <c r="H2249" s="15">
        <v>4213</v>
      </c>
      <c r="I2249" s="15">
        <v>1141.71</v>
      </c>
    </row>
    <row r="2250" spans="1:9">
      <c r="A2250" s="13">
        <v>44708</v>
      </c>
      <c r="B2250" s="91">
        <f t="shared" si="37"/>
        <v>2022</v>
      </c>
      <c r="C2250" s="15" t="s">
        <v>2141</v>
      </c>
      <c r="D2250" s="15" t="s">
        <v>2152</v>
      </c>
      <c r="E2250" s="15" t="s">
        <v>2136</v>
      </c>
      <c r="F2250" s="15" t="s">
        <v>2120</v>
      </c>
      <c r="G2250" s="15" t="s">
        <v>2133</v>
      </c>
      <c r="H2250" s="15">
        <v>3354</v>
      </c>
      <c r="I2250" s="15">
        <v>512.29999999999995</v>
      </c>
    </row>
    <row r="2251" spans="1:9">
      <c r="A2251" s="13">
        <v>45344</v>
      </c>
      <c r="B2251" s="91">
        <f t="shared" si="37"/>
        <v>2024</v>
      </c>
      <c r="C2251" s="15" t="s">
        <v>2113</v>
      </c>
      <c r="D2251" s="15" t="s">
        <v>2135</v>
      </c>
      <c r="E2251" s="15" t="s">
        <v>2151</v>
      </c>
      <c r="F2251" s="15" t="s">
        <v>2116</v>
      </c>
      <c r="G2251" s="15" t="s">
        <v>2154</v>
      </c>
      <c r="H2251" s="15">
        <v>3984</v>
      </c>
      <c r="I2251" s="15">
        <v>451.43</v>
      </c>
    </row>
    <row r="2252" spans="1:9">
      <c r="A2252" s="13">
        <v>44713</v>
      </c>
      <c r="B2252" s="91">
        <f t="shared" si="37"/>
        <v>2022</v>
      </c>
      <c r="C2252" s="15" t="s">
        <v>2141</v>
      </c>
      <c r="D2252" s="15" t="s">
        <v>2118</v>
      </c>
      <c r="E2252" s="15" t="s">
        <v>2143</v>
      </c>
      <c r="F2252" s="15" t="s">
        <v>2116</v>
      </c>
      <c r="G2252" s="15" t="s">
        <v>2117</v>
      </c>
      <c r="H2252" s="15">
        <v>8327</v>
      </c>
      <c r="I2252" s="15">
        <v>1315.29</v>
      </c>
    </row>
    <row r="2253" spans="1:9">
      <c r="A2253" s="13">
        <v>45293</v>
      </c>
      <c r="B2253" s="91">
        <f t="shared" si="37"/>
        <v>2024</v>
      </c>
      <c r="C2253" s="15" t="s">
        <v>2113</v>
      </c>
      <c r="D2253" s="15" t="s">
        <v>2152</v>
      </c>
      <c r="E2253" s="15" t="s">
        <v>2144</v>
      </c>
      <c r="F2253" s="15" t="s">
        <v>2116</v>
      </c>
      <c r="G2253" s="15" t="s">
        <v>2154</v>
      </c>
      <c r="H2253" s="15">
        <v>7657</v>
      </c>
      <c r="I2253" s="15">
        <v>1552.86</v>
      </c>
    </row>
    <row r="2254" spans="1:9">
      <c r="A2254" s="13">
        <v>44686</v>
      </c>
      <c r="B2254" s="91">
        <f t="shared" si="37"/>
        <v>2022</v>
      </c>
      <c r="C2254" s="15" t="s">
        <v>104</v>
      </c>
      <c r="D2254" s="15" t="s">
        <v>2126</v>
      </c>
      <c r="E2254" s="15" t="s">
        <v>2144</v>
      </c>
      <c r="F2254" s="15" t="s">
        <v>2138</v>
      </c>
      <c r="G2254" s="15" t="s">
        <v>2149</v>
      </c>
      <c r="H2254" s="15">
        <v>3432</v>
      </c>
      <c r="I2254" s="15">
        <v>695.42</v>
      </c>
    </row>
    <row r="2255" spans="1:9">
      <c r="A2255" s="13">
        <v>45185</v>
      </c>
      <c r="B2255" s="91">
        <f t="shared" si="37"/>
        <v>2023</v>
      </c>
      <c r="C2255" s="15" t="s">
        <v>2113</v>
      </c>
      <c r="D2255" s="15" t="s">
        <v>2131</v>
      </c>
      <c r="E2255" s="15" t="s">
        <v>2134</v>
      </c>
      <c r="F2255" s="15" t="s">
        <v>2138</v>
      </c>
      <c r="G2255" s="15" t="s">
        <v>2139</v>
      </c>
      <c r="H2255" s="15">
        <v>8635</v>
      </c>
      <c r="I2255" s="15">
        <v>1918.4</v>
      </c>
    </row>
    <row r="2256" spans="1:9">
      <c r="A2256" s="13">
        <v>44991</v>
      </c>
      <c r="B2256" s="91">
        <f t="shared" si="37"/>
        <v>2023</v>
      </c>
      <c r="C2256" s="15" t="s">
        <v>2141</v>
      </c>
      <c r="D2256" s="15" t="s">
        <v>2148</v>
      </c>
      <c r="E2256" s="15" t="s">
        <v>2129</v>
      </c>
      <c r="F2256" s="15" t="s">
        <v>2120</v>
      </c>
      <c r="G2256" s="15" t="s">
        <v>2121</v>
      </c>
      <c r="H2256" s="15">
        <v>2428</v>
      </c>
      <c r="I2256" s="15">
        <v>559.66</v>
      </c>
    </row>
    <row r="2257" spans="1:9">
      <c r="A2257" s="13">
        <v>44799</v>
      </c>
      <c r="B2257" s="91">
        <f t="shared" si="37"/>
        <v>2022</v>
      </c>
      <c r="C2257" s="15" t="s">
        <v>107</v>
      </c>
      <c r="D2257" s="15" t="s">
        <v>2142</v>
      </c>
      <c r="E2257" s="15" t="s">
        <v>2136</v>
      </c>
      <c r="F2257" s="15" t="s">
        <v>2116</v>
      </c>
      <c r="G2257" s="15" t="s">
        <v>2127</v>
      </c>
      <c r="H2257" s="15">
        <v>5117</v>
      </c>
      <c r="I2257" s="15">
        <v>691.11</v>
      </c>
    </row>
    <row r="2258" spans="1:9">
      <c r="A2258" s="13">
        <v>45415</v>
      </c>
      <c r="B2258" s="91">
        <f t="shared" si="37"/>
        <v>2024</v>
      </c>
      <c r="C2258" s="15" t="s">
        <v>2141</v>
      </c>
      <c r="D2258" s="15" t="s">
        <v>2142</v>
      </c>
      <c r="E2258" s="15" t="s">
        <v>2115</v>
      </c>
      <c r="F2258" s="15" t="s">
        <v>2116</v>
      </c>
      <c r="G2258" s="15" t="s">
        <v>2127</v>
      </c>
      <c r="H2258" s="15">
        <v>1072</v>
      </c>
      <c r="I2258" s="15">
        <v>296.79000000000002</v>
      </c>
    </row>
    <row r="2259" spans="1:9">
      <c r="A2259" s="13">
        <v>44734</v>
      </c>
      <c r="B2259" s="91">
        <f t="shared" si="37"/>
        <v>2022</v>
      </c>
      <c r="C2259" s="15" t="s">
        <v>2141</v>
      </c>
      <c r="D2259" s="15" t="s">
        <v>2153</v>
      </c>
      <c r="E2259" s="15" t="s">
        <v>2134</v>
      </c>
      <c r="F2259" s="15" t="s">
        <v>2120</v>
      </c>
      <c r="G2259" s="15" t="s">
        <v>2133</v>
      </c>
      <c r="H2259" s="15">
        <v>8850</v>
      </c>
      <c r="I2259" s="15">
        <v>2391.2199999999998</v>
      </c>
    </row>
    <row r="2260" spans="1:9">
      <c r="A2260" s="13">
        <v>44961</v>
      </c>
      <c r="B2260" s="91">
        <f t="shared" si="37"/>
        <v>2023</v>
      </c>
      <c r="C2260" s="15" t="s">
        <v>2141</v>
      </c>
      <c r="D2260" s="15" t="s">
        <v>2131</v>
      </c>
      <c r="E2260" s="15" t="s">
        <v>2145</v>
      </c>
      <c r="F2260" s="15" t="s">
        <v>2138</v>
      </c>
      <c r="G2260" s="15" t="s">
        <v>2149</v>
      </c>
      <c r="H2260" s="15">
        <v>1124</v>
      </c>
      <c r="I2260" s="15">
        <v>271.66000000000003</v>
      </c>
    </row>
    <row r="2261" spans="1:9">
      <c r="A2261" s="13">
        <v>45413</v>
      </c>
      <c r="B2261" s="91">
        <f t="shared" si="37"/>
        <v>2024</v>
      </c>
      <c r="C2261" s="15" t="s">
        <v>2141</v>
      </c>
      <c r="D2261" s="15" t="s">
        <v>2148</v>
      </c>
      <c r="E2261" s="15" t="s">
        <v>2136</v>
      </c>
      <c r="F2261" s="15" t="s">
        <v>2120</v>
      </c>
      <c r="G2261" s="15" t="s">
        <v>2133</v>
      </c>
      <c r="H2261" s="15">
        <v>2424</v>
      </c>
      <c r="I2261" s="15">
        <v>647.62</v>
      </c>
    </row>
    <row r="2262" spans="1:9">
      <c r="A2262" s="13">
        <v>44966</v>
      </c>
      <c r="B2262" s="91">
        <f t="shared" si="37"/>
        <v>2023</v>
      </c>
      <c r="C2262" s="15" t="s">
        <v>2141</v>
      </c>
      <c r="D2262" s="15" t="s">
        <v>2118</v>
      </c>
      <c r="E2262" s="15" t="s">
        <v>2143</v>
      </c>
      <c r="F2262" s="15" t="s">
        <v>2138</v>
      </c>
      <c r="G2262" s="15" t="s">
        <v>2146</v>
      </c>
      <c r="H2262" s="15">
        <v>6199</v>
      </c>
      <c r="I2262" s="15">
        <v>1018.58</v>
      </c>
    </row>
    <row r="2263" spans="1:9">
      <c r="A2263" s="13">
        <v>45157</v>
      </c>
      <c r="B2263" s="91">
        <f t="shared" si="37"/>
        <v>2023</v>
      </c>
      <c r="C2263" s="15" t="s">
        <v>2141</v>
      </c>
      <c r="D2263" s="15" t="s">
        <v>2135</v>
      </c>
      <c r="E2263" s="15" t="s">
        <v>2134</v>
      </c>
      <c r="F2263" s="15" t="s">
        <v>2120</v>
      </c>
      <c r="G2263" s="15" t="s">
        <v>2121</v>
      </c>
      <c r="H2263" s="15">
        <v>3105</v>
      </c>
      <c r="I2263" s="15">
        <v>329.11</v>
      </c>
    </row>
    <row r="2264" spans="1:9">
      <c r="A2264" s="13">
        <v>45403</v>
      </c>
      <c r="B2264" s="91">
        <f t="shared" si="37"/>
        <v>2024</v>
      </c>
      <c r="C2264" s="15" t="s">
        <v>2141</v>
      </c>
      <c r="D2264" s="15" t="s">
        <v>2114</v>
      </c>
      <c r="E2264" s="15" t="s">
        <v>2129</v>
      </c>
      <c r="F2264" s="15" t="s">
        <v>2124</v>
      </c>
      <c r="G2264" s="15" t="s">
        <v>2125</v>
      </c>
      <c r="H2264" s="15">
        <v>8058</v>
      </c>
      <c r="I2264" s="15">
        <v>810.46</v>
      </c>
    </row>
    <row r="2265" spans="1:9">
      <c r="A2265" s="13">
        <v>44588</v>
      </c>
      <c r="B2265" s="91">
        <f t="shared" si="37"/>
        <v>2022</v>
      </c>
      <c r="C2265" s="15" t="s">
        <v>107</v>
      </c>
      <c r="D2265" s="15" t="s">
        <v>2114</v>
      </c>
      <c r="E2265" s="15" t="s">
        <v>2134</v>
      </c>
      <c r="F2265" s="15" t="s">
        <v>2124</v>
      </c>
      <c r="G2265" s="15" t="s">
        <v>2140</v>
      </c>
      <c r="H2265" s="15">
        <v>8266</v>
      </c>
      <c r="I2265" s="15">
        <v>1971.6</v>
      </c>
    </row>
    <row r="2266" spans="1:9">
      <c r="A2266" s="13">
        <v>45029</v>
      </c>
      <c r="B2266" s="91">
        <f t="shared" si="37"/>
        <v>2023</v>
      </c>
      <c r="C2266" s="15" t="s">
        <v>107</v>
      </c>
      <c r="D2266" s="15" t="s">
        <v>2135</v>
      </c>
      <c r="E2266" s="15" t="s">
        <v>2129</v>
      </c>
      <c r="F2266" s="15" t="s">
        <v>2124</v>
      </c>
      <c r="G2266" s="15" t="s">
        <v>2125</v>
      </c>
      <c r="H2266" s="15">
        <v>4093</v>
      </c>
      <c r="I2266" s="15">
        <v>961.46</v>
      </c>
    </row>
    <row r="2267" spans="1:9">
      <c r="A2267" s="13">
        <v>45335</v>
      </c>
      <c r="B2267" s="91">
        <f t="shared" si="37"/>
        <v>2024</v>
      </c>
      <c r="C2267" s="15" t="s">
        <v>2141</v>
      </c>
      <c r="D2267" s="15" t="s">
        <v>2128</v>
      </c>
      <c r="E2267" s="15" t="s">
        <v>2123</v>
      </c>
      <c r="F2267" s="15" t="s">
        <v>2116</v>
      </c>
      <c r="G2267" s="15" t="s">
        <v>2127</v>
      </c>
      <c r="H2267" s="15">
        <v>2583</v>
      </c>
      <c r="I2267" s="15">
        <v>578.82000000000005</v>
      </c>
    </row>
    <row r="2268" spans="1:9">
      <c r="A2268" s="13">
        <v>45270</v>
      </c>
      <c r="B2268" s="91">
        <f t="shared" si="37"/>
        <v>2023</v>
      </c>
      <c r="C2268" s="15" t="s">
        <v>2141</v>
      </c>
      <c r="D2268" s="15" t="s">
        <v>2128</v>
      </c>
      <c r="E2268" s="15" t="s">
        <v>2145</v>
      </c>
      <c r="F2268" s="15" t="s">
        <v>2138</v>
      </c>
      <c r="G2268" s="15" t="s">
        <v>2139</v>
      </c>
      <c r="H2268" s="15">
        <v>7754</v>
      </c>
      <c r="I2268" s="15">
        <v>1212.3599999999999</v>
      </c>
    </row>
    <row r="2269" spans="1:9">
      <c r="A2269" s="13">
        <v>44629</v>
      </c>
      <c r="B2269" s="91">
        <f t="shared" si="37"/>
        <v>2022</v>
      </c>
      <c r="C2269" s="15" t="s">
        <v>2141</v>
      </c>
      <c r="D2269" s="15" t="s">
        <v>2131</v>
      </c>
      <c r="E2269" s="15" t="s">
        <v>2123</v>
      </c>
      <c r="F2269" s="15" t="s">
        <v>2138</v>
      </c>
      <c r="G2269" s="15" t="s">
        <v>2149</v>
      </c>
      <c r="H2269" s="15">
        <v>3239</v>
      </c>
      <c r="I2269" s="15">
        <v>458.68</v>
      </c>
    </row>
    <row r="2270" spans="1:9">
      <c r="A2270" s="13">
        <v>44593</v>
      </c>
      <c r="B2270" s="91">
        <f t="shared" si="37"/>
        <v>2022</v>
      </c>
      <c r="C2270" s="15" t="s">
        <v>2113</v>
      </c>
      <c r="D2270" s="15" t="s">
        <v>2114</v>
      </c>
      <c r="E2270" s="15" t="s">
        <v>2136</v>
      </c>
      <c r="F2270" s="15" t="s">
        <v>2116</v>
      </c>
      <c r="G2270" s="15" t="s">
        <v>2127</v>
      </c>
      <c r="H2270" s="15">
        <v>4934</v>
      </c>
      <c r="I2270" s="15">
        <v>1002.77</v>
      </c>
    </row>
    <row r="2271" spans="1:9">
      <c r="A2271" s="13">
        <v>44896</v>
      </c>
      <c r="B2271" s="91">
        <f t="shared" si="37"/>
        <v>2022</v>
      </c>
      <c r="C2271" s="15" t="s">
        <v>2113</v>
      </c>
      <c r="D2271" s="15" t="s">
        <v>2153</v>
      </c>
      <c r="E2271" s="15" t="s">
        <v>2123</v>
      </c>
      <c r="F2271" s="15" t="s">
        <v>2124</v>
      </c>
      <c r="G2271" s="15" t="s">
        <v>2130</v>
      </c>
      <c r="H2271" s="15">
        <v>7833</v>
      </c>
      <c r="I2271" s="15">
        <v>1637.74</v>
      </c>
    </row>
    <row r="2272" spans="1:9">
      <c r="A2272" s="13">
        <v>44959</v>
      </c>
      <c r="B2272" s="91">
        <f t="shared" si="37"/>
        <v>2023</v>
      </c>
      <c r="C2272" s="15" t="s">
        <v>2113</v>
      </c>
      <c r="D2272" s="15" t="s">
        <v>2153</v>
      </c>
      <c r="E2272" s="15" t="s">
        <v>2144</v>
      </c>
      <c r="F2272" s="15" t="s">
        <v>2120</v>
      </c>
      <c r="G2272" s="15" t="s">
        <v>2132</v>
      </c>
      <c r="H2272" s="15">
        <v>9463</v>
      </c>
      <c r="I2272" s="15">
        <v>2318.42</v>
      </c>
    </row>
    <row r="2273" spans="1:9">
      <c r="A2273" s="13">
        <v>45163</v>
      </c>
      <c r="B2273" s="91">
        <f t="shared" si="37"/>
        <v>2023</v>
      </c>
      <c r="C2273" s="15" t="s">
        <v>2141</v>
      </c>
      <c r="D2273" s="15" t="s">
        <v>2142</v>
      </c>
      <c r="E2273" s="15" t="s">
        <v>2143</v>
      </c>
      <c r="F2273" s="15" t="s">
        <v>2138</v>
      </c>
      <c r="G2273" s="15" t="s">
        <v>2139</v>
      </c>
      <c r="H2273" s="15">
        <v>1773</v>
      </c>
      <c r="I2273" s="15">
        <v>301.89999999999998</v>
      </c>
    </row>
    <row r="2274" spans="1:9">
      <c r="A2274" s="13">
        <v>45409</v>
      </c>
      <c r="B2274" s="91">
        <f t="shared" si="37"/>
        <v>2024</v>
      </c>
      <c r="C2274" s="15" t="s">
        <v>107</v>
      </c>
      <c r="D2274" s="15" t="s">
        <v>2148</v>
      </c>
      <c r="E2274" s="15" t="s">
        <v>2123</v>
      </c>
      <c r="F2274" s="15" t="s">
        <v>2124</v>
      </c>
      <c r="G2274" s="15" t="s">
        <v>2130</v>
      </c>
      <c r="H2274" s="15">
        <v>5986</v>
      </c>
      <c r="I2274" s="15">
        <v>1596.61</v>
      </c>
    </row>
    <row r="2275" spans="1:9">
      <c r="A2275" s="13">
        <v>44691</v>
      </c>
      <c r="B2275" s="91">
        <f t="shared" si="37"/>
        <v>2022</v>
      </c>
      <c r="C2275" s="15" t="s">
        <v>2141</v>
      </c>
      <c r="D2275" s="15" t="s">
        <v>2152</v>
      </c>
      <c r="E2275" s="15" t="s">
        <v>2136</v>
      </c>
      <c r="F2275" s="15" t="s">
        <v>2116</v>
      </c>
      <c r="G2275" s="15" t="s">
        <v>2154</v>
      </c>
      <c r="H2275" s="15">
        <v>2205</v>
      </c>
      <c r="I2275" s="15">
        <v>600.19000000000005</v>
      </c>
    </row>
    <row r="2276" spans="1:9">
      <c r="A2276" s="13">
        <v>45287</v>
      </c>
      <c r="B2276" s="91">
        <f t="shared" si="37"/>
        <v>2023</v>
      </c>
      <c r="C2276" s="15" t="s">
        <v>2113</v>
      </c>
      <c r="D2276" s="15" t="s">
        <v>2152</v>
      </c>
      <c r="E2276" s="15" t="s">
        <v>2115</v>
      </c>
      <c r="F2276" s="15" t="s">
        <v>2124</v>
      </c>
      <c r="G2276" s="15" t="s">
        <v>2130</v>
      </c>
      <c r="H2276" s="15">
        <v>6684</v>
      </c>
      <c r="I2276" s="15">
        <v>1646.45</v>
      </c>
    </row>
    <row r="2277" spans="1:9">
      <c r="A2277" s="13">
        <v>45440</v>
      </c>
      <c r="B2277" s="91">
        <f t="shared" si="37"/>
        <v>2024</v>
      </c>
      <c r="C2277" s="15" t="s">
        <v>104</v>
      </c>
      <c r="D2277" s="15" t="s">
        <v>2128</v>
      </c>
      <c r="E2277" s="15" t="s">
        <v>2145</v>
      </c>
      <c r="F2277" s="15" t="s">
        <v>2138</v>
      </c>
      <c r="G2277" s="15" t="s">
        <v>2146</v>
      </c>
      <c r="H2277" s="15">
        <v>4757</v>
      </c>
      <c r="I2277" s="15">
        <v>936.16</v>
      </c>
    </row>
    <row r="2278" spans="1:9">
      <c r="A2278" s="13">
        <v>44609</v>
      </c>
      <c r="B2278" s="91">
        <f t="shared" si="37"/>
        <v>2022</v>
      </c>
      <c r="C2278" s="15" t="s">
        <v>107</v>
      </c>
      <c r="D2278" s="15" t="s">
        <v>2114</v>
      </c>
      <c r="E2278" s="15" t="s">
        <v>2129</v>
      </c>
      <c r="F2278" s="15" t="s">
        <v>2138</v>
      </c>
      <c r="G2278" s="15" t="s">
        <v>2149</v>
      </c>
      <c r="H2278" s="15">
        <v>5383</v>
      </c>
      <c r="I2278" s="15">
        <v>821.78</v>
      </c>
    </row>
    <row r="2279" spans="1:9">
      <c r="A2279" s="13">
        <v>44865</v>
      </c>
      <c r="B2279" s="91">
        <f t="shared" si="37"/>
        <v>2022</v>
      </c>
      <c r="C2279" s="15" t="s">
        <v>104</v>
      </c>
      <c r="D2279" s="15" t="s">
        <v>2148</v>
      </c>
      <c r="E2279" s="15" t="s">
        <v>2144</v>
      </c>
      <c r="F2279" s="15" t="s">
        <v>2116</v>
      </c>
      <c r="G2279" s="15" t="s">
        <v>2117</v>
      </c>
      <c r="H2279" s="15">
        <v>9002</v>
      </c>
      <c r="I2279" s="15">
        <v>2046.02</v>
      </c>
    </row>
    <row r="2280" spans="1:9">
      <c r="A2280" s="13">
        <v>45137</v>
      </c>
      <c r="B2280" s="91">
        <f t="shared" si="37"/>
        <v>2023</v>
      </c>
      <c r="C2280" s="15" t="s">
        <v>2113</v>
      </c>
      <c r="D2280" s="15" t="s">
        <v>2118</v>
      </c>
      <c r="E2280" s="15" t="s">
        <v>2151</v>
      </c>
      <c r="F2280" s="15" t="s">
        <v>2138</v>
      </c>
      <c r="G2280" s="15" t="s">
        <v>2149</v>
      </c>
      <c r="H2280" s="15">
        <v>2318</v>
      </c>
      <c r="I2280" s="15">
        <v>492</v>
      </c>
    </row>
    <row r="2281" spans="1:9">
      <c r="A2281" s="13">
        <v>45010</v>
      </c>
      <c r="B2281" s="91">
        <f t="shared" si="37"/>
        <v>2023</v>
      </c>
      <c r="C2281" s="15" t="s">
        <v>107</v>
      </c>
      <c r="D2281" s="15" t="s">
        <v>2152</v>
      </c>
      <c r="E2281" s="15" t="s">
        <v>2143</v>
      </c>
      <c r="F2281" s="15" t="s">
        <v>2120</v>
      </c>
      <c r="G2281" s="15" t="s">
        <v>2132</v>
      </c>
      <c r="H2281" s="15">
        <v>4234</v>
      </c>
      <c r="I2281" s="15">
        <v>645.47</v>
      </c>
    </row>
    <row r="2282" spans="1:9">
      <c r="A2282" s="13">
        <v>45102</v>
      </c>
      <c r="B2282" s="91">
        <f t="shared" si="37"/>
        <v>2023</v>
      </c>
      <c r="C2282" s="15" t="s">
        <v>107</v>
      </c>
      <c r="D2282" s="15" t="s">
        <v>2148</v>
      </c>
      <c r="E2282" s="15" t="s">
        <v>2145</v>
      </c>
      <c r="F2282" s="15" t="s">
        <v>2124</v>
      </c>
      <c r="G2282" s="15" t="s">
        <v>2130</v>
      </c>
      <c r="H2282" s="15">
        <v>9099</v>
      </c>
      <c r="I2282" s="15">
        <v>2566.25</v>
      </c>
    </row>
    <row r="2283" spans="1:9">
      <c r="A2283" s="13">
        <v>45225</v>
      </c>
      <c r="B2283" s="91">
        <f t="shared" si="37"/>
        <v>2023</v>
      </c>
      <c r="C2283" s="15" t="s">
        <v>2113</v>
      </c>
      <c r="D2283" s="15" t="s">
        <v>2118</v>
      </c>
      <c r="E2283" s="15" t="s">
        <v>2123</v>
      </c>
      <c r="F2283" s="15" t="s">
        <v>2120</v>
      </c>
      <c r="G2283" s="15" t="s">
        <v>2132</v>
      </c>
      <c r="H2283" s="15">
        <v>3347</v>
      </c>
      <c r="I2283" s="15">
        <v>587.49</v>
      </c>
    </row>
    <row r="2284" spans="1:9">
      <c r="A2284" s="13">
        <v>45513</v>
      </c>
      <c r="B2284" s="91">
        <f t="shared" si="37"/>
        <v>2024</v>
      </c>
      <c r="C2284" s="15" t="s">
        <v>2141</v>
      </c>
      <c r="D2284" s="15" t="s">
        <v>2131</v>
      </c>
      <c r="E2284" s="15" t="s">
        <v>2143</v>
      </c>
      <c r="F2284" s="15" t="s">
        <v>2120</v>
      </c>
      <c r="G2284" s="15" t="s">
        <v>2132</v>
      </c>
      <c r="H2284" s="15">
        <v>4571</v>
      </c>
      <c r="I2284" s="15">
        <v>613.54</v>
      </c>
    </row>
    <row r="2285" spans="1:9">
      <c r="A2285" s="13">
        <v>45643</v>
      </c>
      <c r="B2285" s="91">
        <f t="shared" si="37"/>
        <v>2024</v>
      </c>
      <c r="C2285" s="15" t="s">
        <v>2141</v>
      </c>
      <c r="D2285" s="15" t="s">
        <v>2153</v>
      </c>
      <c r="E2285" s="15" t="s">
        <v>2115</v>
      </c>
      <c r="F2285" s="15" t="s">
        <v>2138</v>
      </c>
      <c r="G2285" s="15" t="s">
        <v>2146</v>
      </c>
      <c r="H2285" s="15">
        <v>7693</v>
      </c>
      <c r="I2285" s="15">
        <v>1588.58</v>
      </c>
    </row>
    <row r="2286" spans="1:9">
      <c r="A2286" s="13">
        <v>45180</v>
      </c>
      <c r="B2286" s="91">
        <f t="shared" si="37"/>
        <v>2023</v>
      </c>
      <c r="C2286" s="15" t="s">
        <v>107</v>
      </c>
      <c r="D2286" s="15" t="s">
        <v>2131</v>
      </c>
      <c r="E2286" s="15" t="s">
        <v>2136</v>
      </c>
      <c r="F2286" s="15" t="s">
        <v>2124</v>
      </c>
      <c r="G2286" s="15" t="s">
        <v>2140</v>
      </c>
      <c r="H2286" s="15">
        <v>7924</v>
      </c>
      <c r="I2286" s="15">
        <v>1152.02</v>
      </c>
    </row>
    <row r="2287" spans="1:9">
      <c r="A2287" s="13">
        <v>45537</v>
      </c>
      <c r="B2287" s="91">
        <f t="shared" si="37"/>
        <v>2024</v>
      </c>
      <c r="C2287" s="15" t="s">
        <v>2141</v>
      </c>
      <c r="D2287" s="15" t="s">
        <v>2114</v>
      </c>
      <c r="E2287" s="15" t="s">
        <v>2134</v>
      </c>
      <c r="F2287" s="15" t="s">
        <v>2138</v>
      </c>
      <c r="G2287" s="15" t="s">
        <v>2146</v>
      </c>
      <c r="H2287" s="15">
        <v>9617</v>
      </c>
      <c r="I2287" s="15">
        <v>1948.22</v>
      </c>
    </row>
    <row r="2288" spans="1:9">
      <c r="A2288" s="13">
        <v>45538</v>
      </c>
      <c r="B2288" s="91">
        <f t="shared" si="37"/>
        <v>2024</v>
      </c>
      <c r="C2288" s="15" t="s">
        <v>2113</v>
      </c>
      <c r="D2288" s="15" t="s">
        <v>2148</v>
      </c>
      <c r="E2288" s="15" t="s">
        <v>2136</v>
      </c>
      <c r="F2288" s="15" t="s">
        <v>2138</v>
      </c>
      <c r="G2288" s="15" t="s">
        <v>2149</v>
      </c>
      <c r="H2288" s="15">
        <v>6111</v>
      </c>
      <c r="I2288" s="15">
        <v>643.41</v>
      </c>
    </row>
    <row r="2289" spans="1:9">
      <c r="A2289" s="13">
        <v>45063</v>
      </c>
      <c r="B2289" s="91">
        <f t="shared" si="37"/>
        <v>2023</v>
      </c>
      <c r="C2289" s="15" t="s">
        <v>107</v>
      </c>
      <c r="D2289" s="15" t="s">
        <v>2148</v>
      </c>
      <c r="E2289" s="15" t="s">
        <v>2123</v>
      </c>
      <c r="F2289" s="15" t="s">
        <v>2116</v>
      </c>
      <c r="G2289" s="15" t="s">
        <v>2154</v>
      </c>
      <c r="H2289" s="15">
        <v>6120</v>
      </c>
      <c r="I2289" s="15">
        <v>1583.62</v>
      </c>
    </row>
    <row r="2290" spans="1:9">
      <c r="A2290" s="13">
        <v>44705</v>
      </c>
      <c r="B2290" s="91">
        <f t="shared" si="37"/>
        <v>2022</v>
      </c>
      <c r="C2290" s="15" t="s">
        <v>104</v>
      </c>
      <c r="D2290" s="15" t="s">
        <v>2135</v>
      </c>
      <c r="E2290" s="15" t="s">
        <v>2145</v>
      </c>
      <c r="F2290" s="15" t="s">
        <v>2116</v>
      </c>
      <c r="G2290" s="15" t="s">
        <v>2127</v>
      </c>
      <c r="H2290" s="15">
        <v>1644</v>
      </c>
      <c r="I2290" s="15">
        <v>326.16000000000003</v>
      </c>
    </row>
    <row r="2291" spans="1:9">
      <c r="A2291" s="13">
        <v>44741</v>
      </c>
      <c r="B2291" s="91">
        <f t="shared" si="37"/>
        <v>2022</v>
      </c>
      <c r="C2291" s="15" t="s">
        <v>2141</v>
      </c>
      <c r="D2291" s="15" t="s">
        <v>2118</v>
      </c>
      <c r="E2291" s="15" t="s">
        <v>2129</v>
      </c>
      <c r="F2291" s="15" t="s">
        <v>2138</v>
      </c>
      <c r="G2291" s="15" t="s">
        <v>2146</v>
      </c>
      <c r="H2291" s="15">
        <v>6423</v>
      </c>
      <c r="I2291" s="15">
        <v>894.46</v>
      </c>
    </row>
    <row r="2292" spans="1:9">
      <c r="A2292" s="13">
        <v>45643</v>
      </c>
      <c r="B2292" s="91">
        <f t="shared" si="37"/>
        <v>2024</v>
      </c>
      <c r="C2292" s="15" t="s">
        <v>107</v>
      </c>
      <c r="D2292" s="15" t="s">
        <v>2128</v>
      </c>
      <c r="E2292" s="15" t="s">
        <v>2151</v>
      </c>
      <c r="F2292" s="15" t="s">
        <v>2116</v>
      </c>
      <c r="G2292" s="15" t="s">
        <v>2117</v>
      </c>
      <c r="H2292" s="15">
        <v>4970</v>
      </c>
      <c r="I2292" s="15">
        <v>1209.58</v>
      </c>
    </row>
    <row r="2293" spans="1:9">
      <c r="A2293" s="13">
        <v>45346</v>
      </c>
      <c r="B2293" s="91">
        <f t="shared" si="37"/>
        <v>2024</v>
      </c>
      <c r="C2293" s="15" t="s">
        <v>104</v>
      </c>
      <c r="D2293" s="15" t="s">
        <v>2131</v>
      </c>
      <c r="E2293" s="15" t="s">
        <v>2134</v>
      </c>
      <c r="F2293" s="15" t="s">
        <v>2120</v>
      </c>
      <c r="G2293" s="15" t="s">
        <v>2133</v>
      </c>
      <c r="H2293" s="15">
        <v>9851</v>
      </c>
      <c r="I2293" s="15">
        <v>1546.74</v>
      </c>
    </row>
    <row r="2294" spans="1:9">
      <c r="A2294" s="13">
        <v>45369</v>
      </c>
      <c r="B2294" s="91">
        <f t="shared" si="37"/>
        <v>2024</v>
      </c>
      <c r="C2294" s="15" t="s">
        <v>2113</v>
      </c>
      <c r="D2294" s="15" t="s">
        <v>2142</v>
      </c>
      <c r="E2294" s="15" t="s">
        <v>2136</v>
      </c>
      <c r="F2294" s="15" t="s">
        <v>2120</v>
      </c>
      <c r="G2294" s="15" t="s">
        <v>2133</v>
      </c>
      <c r="H2294" s="15">
        <v>1965</v>
      </c>
      <c r="I2294" s="15">
        <v>294.58999999999997</v>
      </c>
    </row>
    <row r="2295" spans="1:9">
      <c r="A2295" s="13">
        <v>45278</v>
      </c>
      <c r="B2295" s="91">
        <f t="shared" si="37"/>
        <v>2023</v>
      </c>
      <c r="C2295" s="15" t="s">
        <v>2141</v>
      </c>
      <c r="D2295" s="15" t="s">
        <v>2152</v>
      </c>
      <c r="E2295" s="15" t="s">
        <v>2123</v>
      </c>
      <c r="F2295" s="15" t="s">
        <v>2138</v>
      </c>
      <c r="G2295" s="15" t="s">
        <v>2139</v>
      </c>
      <c r="H2295" s="15">
        <v>1750</v>
      </c>
      <c r="I2295" s="15">
        <v>185.95</v>
      </c>
    </row>
    <row r="2296" spans="1:9">
      <c r="A2296" s="13">
        <v>45151</v>
      </c>
      <c r="B2296" s="91">
        <f t="shared" si="37"/>
        <v>2023</v>
      </c>
      <c r="C2296" s="15" t="s">
        <v>104</v>
      </c>
      <c r="D2296" s="15" t="s">
        <v>2126</v>
      </c>
      <c r="E2296" s="15" t="s">
        <v>2115</v>
      </c>
      <c r="F2296" s="15" t="s">
        <v>2120</v>
      </c>
      <c r="G2296" s="15" t="s">
        <v>2133</v>
      </c>
      <c r="H2296" s="15">
        <v>9732</v>
      </c>
      <c r="I2296" s="15">
        <v>2006.16</v>
      </c>
    </row>
    <row r="2297" spans="1:9">
      <c r="A2297" s="13">
        <v>44807</v>
      </c>
      <c r="B2297" s="91">
        <f t="shared" si="37"/>
        <v>2022</v>
      </c>
      <c r="C2297" s="15" t="s">
        <v>2113</v>
      </c>
      <c r="D2297" s="15" t="s">
        <v>2148</v>
      </c>
      <c r="E2297" s="15" t="s">
        <v>2123</v>
      </c>
      <c r="F2297" s="15" t="s">
        <v>2116</v>
      </c>
      <c r="G2297" s="15" t="s">
        <v>2117</v>
      </c>
      <c r="H2297" s="15">
        <v>2653</v>
      </c>
      <c r="I2297" s="15">
        <v>652.08000000000004</v>
      </c>
    </row>
    <row r="2298" spans="1:9">
      <c r="A2298" s="13">
        <v>45350</v>
      </c>
      <c r="B2298" s="91">
        <f t="shared" si="37"/>
        <v>2024</v>
      </c>
      <c r="C2298" s="15" t="s">
        <v>107</v>
      </c>
      <c r="D2298" s="15" t="s">
        <v>2128</v>
      </c>
      <c r="E2298" s="15" t="s">
        <v>2119</v>
      </c>
      <c r="F2298" s="15" t="s">
        <v>2138</v>
      </c>
      <c r="G2298" s="15" t="s">
        <v>2149</v>
      </c>
      <c r="H2298" s="15">
        <v>2040</v>
      </c>
      <c r="I2298" s="15">
        <v>398.61</v>
      </c>
    </row>
    <row r="2299" spans="1:9">
      <c r="A2299" s="13">
        <v>45443</v>
      </c>
      <c r="B2299" s="91">
        <f t="shared" si="37"/>
        <v>2024</v>
      </c>
      <c r="C2299" s="15" t="s">
        <v>107</v>
      </c>
      <c r="D2299" s="15" t="s">
        <v>2118</v>
      </c>
      <c r="E2299" s="15" t="s">
        <v>2136</v>
      </c>
      <c r="F2299" s="15" t="s">
        <v>2120</v>
      </c>
      <c r="G2299" s="15" t="s">
        <v>2132</v>
      </c>
      <c r="H2299" s="15">
        <v>6787</v>
      </c>
      <c r="I2299" s="15">
        <v>1248.67</v>
      </c>
    </row>
    <row r="2300" spans="1:9">
      <c r="A2300" s="13">
        <v>45470</v>
      </c>
      <c r="B2300" s="91">
        <f t="shared" si="37"/>
        <v>2024</v>
      </c>
      <c r="C2300" s="15" t="s">
        <v>107</v>
      </c>
      <c r="D2300" s="15" t="s">
        <v>2128</v>
      </c>
      <c r="E2300" s="15" t="s">
        <v>2145</v>
      </c>
      <c r="F2300" s="15" t="s">
        <v>2124</v>
      </c>
      <c r="G2300" s="15" t="s">
        <v>2140</v>
      </c>
      <c r="H2300" s="15">
        <v>5623</v>
      </c>
      <c r="I2300" s="15">
        <v>690.29</v>
      </c>
    </row>
    <row r="2301" spans="1:9">
      <c r="A2301" s="13">
        <v>45528</v>
      </c>
      <c r="B2301" s="91">
        <f t="shared" si="37"/>
        <v>2024</v>
      </c>
      <c r="C2301" s="15" t="s">
        <v>107</v>
      </c>
      <c r="D2301" s="15" t="s">
        <v>2118</v>
      </c>
      <c r="E2301" s="15" t="s">
        <v>2115</v>
      </c>
      <c r="F2301" s="15" t="s">
        <v>2124</v>
      </c>
      <c r="G2301" s="15" t="s">
        <v>2130</v>
      </c>
      <c r="H2301" s="15">
        <v>3408</v>
      </c>
      <c r="I2301" s="15">
        <v>721.59</v>
      </c>
    </row>
    <row r="2302" spans="1:9">
      <c r="A2302" s="13">
        <v>44894</v>
      </c>
      <c r="B2302" s="91">
        <f t="shared" si="37"/>
        <v>2022</v>
      </c>
      <c r="C2302" s="15" t="s">
        <v>104</v>
      </c>
      <c r="D2302" s="15" t="s">
        <v>2153</v>
      </c>
      <c r="E2302" s="15" t="s">
        <v>2123</v>
      </c>
      <c r="F2302" s="15" t="s">
        <v>2138</v>
      </c>
      <c r="G2302" s="15" t="s">
        <v>2139</v>
      </c>
      <c r="H2302" s="15">
        <v>4759</v>
      </c>
      <c r="I2302" s="15">
        <v>1014.76</v>
      </c>
    </row>
    <row r="2303" spans="1:9">
      <c r="A2303" s="13">
        <v>45541</v>
      </c>
      <c r="B2303" s="91">
        <f t="shared" si="37"/>
        <v>2024</v>
      </c>
      <c r="C2303" s="15" t="s">
        <v>104</v>
      </c>
      <c r="D2303" s="15" t="s">
        <v>2128</v>
      </c>
      <c r="E2303" s="15" t="s">
        <v>2129</v>
      </c>
      <c r="F2303" s="15" t="s">
        <v>2138</v>
      </c>
      <c r="G2303" s="15" t="s">
        <v>2149</v>
      </c>
      <c r="H2303" s="15">
        <v>7015</v>
      </c>
      <c r="I2303" s="15">
        <v>1433.06</v>
      </c>
    </row>
    <row r="2304" spans="1:9">
      <c r="A2304" s="13">
        <v>44802</v>
      </c>
      <c r="B2304" s="91">
        <f t="shared" si="37"/>
        <v>2022</v>
      </c>
      <c r="C2304" s="15" t="s">
        <v>2141</v>
      </c>
      <c r="D2304" s="15" t="s">
        <v>2128</v>
      </c>
      <c r="E2304" s="15" t="s">
        <v>2119</v>
      </c>
      <c r="F2304" s="15" t="s">
        <v>2124</v>
      </c>
      <c r="G2304" s="15" t="s">
        <v>2140</v>
      </c>
      <c r="H2304" s="15">
        <v>1026</v>
      </c>
      <c r="I2304" s="15">
        <v>281.60000000000002</v>
      </c>
    </row>
    <row r="2305" spans="1:9">
      <c r="A2305" s="13">
        <v>44768</v>
      </c>
      <c r="B2305" s="91">
        <f t="shared" si="37"/>
        <v>2022</v>
      </c>
      <c r="C2305" s="15" t="s">
        <v>107</v>
      </c>
      <c r="D2305" s="15" t="s">
        <v>2142</v>
      </c>
      <c r="E2305" s="15" t="s">
        <v>2134</v>
      </c>
      <c r="F2305" s="15" t="s">
        <v>2124</v>
      </c>
      <c r="G2305" s="15" t="s">
        <v>2125</v>
      </c>
      <c r="H2305" s="15">
        <v>6624</v>
      </c>
      <c r="I2305" s="15">
        <v>994.63</v>
      </c>
    </row>
    <row r="2306" spans="1:9">
      <c r="A2306" s="13">
        <v>44806</v>
      </c>
      <c r="B2306" s="91">
        <f t="shared" si="37"/>
        <v>2022</v>
      </c>
      <c r="C2306" s="15" t="s">
        <v>107</v>
      </c>
      <c r="D2306" s="15" t="s">
        <v>2128</v>
      </c>
      <c r="E2306" s="15" t="s">
        <v>2151</v>
      </c>
      <c r="F2306" s="15" t="s">
        <v>2116</v>
      </c>
      <c r="G2306" s="15" t="s">
        <v>2154</v>
      </c>
      <c r="H2306" s="15">
        <v>9342</v>
      </c>
      <c r="I2306" s="15">
        <v>2598.2199999999998</v>
      </c>
    </row>
    <row r="2307" spans="1:9">
      <c r="A2307" s="13">
        <v>45592</v>
      </c>
      <c r="B2307" s="91">
        <f t="shared" ref="B2307:B2370" si="38">YEAR(A2307)</f>
        <v>2024</v>
      </c>
      <c r="C2307" s="15" t="s">
        <v>107</v>
      </c>
      <c r="D2307" s="15" t="s">
        <v>2153</v>
      </c>
      <c r="E2307" s="15" t="s">
        <v>2145</v>
      </c>
      <c r="F2307" s="15" t="s">
        <v>2138</v>
      </c>
      <c r="G2307" s="15" t="s">
        <v>2149</v>
      </c>
      <c r="H2307" s="15">
        <v>1973</v>
      </c>
      <c r="I2307" s="15">
        <v>391.75</v>
      </c>
    </row>
    <row r="2308" spans="1:9">
      <c r="A2308" s="13">
        <v>44716</v>
      </c>
      <c r="B2308" s="91">
        <f t="shared" si="38"/>
        <v>2022</v>
      </c>
      <c r="C2308" s="15" t="s">
        <v>2141</v>
      </c>
      <c r="D2308" s="15" t="s">
        <v>2142</v>
      </c>
      <c r="E2308" s="15" t="s">
        <v>2145</v>
      </c>
      <c r="F2308" s="15" t="s">
        <v>2116</v>
      </c>
      <c r="G2308" s="15" t="s">
        <v>2117</v>
      </c>
      <c r="H2308" s="15">
        <v>7055</v>
      </c>
      <c r="I2308" s="15">
        <v>1666.61</v>
      </c>
    </row>
    <row r="2309" spans="1:9">
      <c r="A2309" s="13">
        <v>45359</v>
      </c>
      <c r="B2309" s="91">
        <f t="shared" si="38"/>
        <v>2024</v>
      </c>
      <c r="C2309" s="15" t="s">
        <v>2113</v>
      </c>
      <c r="D2309" s="15" t="s">
        <v>2142</v>
      </c>
      <c r="E2309" s="15" t="s">
        <v>2136</v>
      </c>
      <c r="F2309" s="15" t="s">
        <v>2138</v>
      </c>
      <c r="G2309" s="15" t="s">
        <v>2139</v>
      </c>
      <c r="H2309" s="15">
        <v>1634</v>
      </c>
      <c r="I2309" s="15">
        <v>288.33</v>
      </c>
    </row>
    <row r="2310" spans="1:9">
      <c r="A2310" s="13">
        <v>45135</v>
      </c>
      <c r="B2310" s="91">
        <f t="shared" si="38"/>
        <v>2023</v>
      </c>
      <c r="C2310" s="15" t="s">
        <v>2113</v>
      </c>
      <c r="D2310" s="15" t="s">
        <v>2118</v>
      </c>
      <c r="E2310" s="15" t="s">
        <v>2123</v>
      </c>
      <c r="F2310" s="15" t="s">
        <v>2138</v>
      </c>
      <c r="G2310" s="15" t="s">
        <v>2146</v>
      </c>
      <c r="H2310" s="15">
        <v>9281</v>
      </c>
      <c r="I2310" s="15">
        <v>1639.69</v>
      </c>
    </row>
    <row r="2311" spans="1:9">
      <c r="A2311" s="13">
        <v>45569</v>
      </c>
      <c r="B2311" s="91">
        <f t="shared" si="38"/>
        <v>2024</v>
      </c>
      <c r="C2311" s="15" t="s">
        <v>104</v>
      </c>
      <c r="D2311" s="15" t="s">
        <v>2118</v>
      </c>
      <c r="E2311" s="15" t="s">
        <v>2119</v>
      </c>
      <c r="F2311" s="15" t="s">
        <v>2120</v>
      </c>
      <c r="G2311" s="15" t="s">
        <v>2121</v>
      </c>
      <c r="H2311" s="15">
        <v>5534</v>
      </c>
      <c r="I2311" s="15">
        <v>642.74</v>
      </c>
    </row>
    <row r="2312" spans="1:9">
      <c r="A2312" s="13">
        <v>44763</v>
      </c>
      <c r="B2312" s="91">
        <f t="shared" si="38"/>
        <v>2022</v>
      </c>
      <c r="C2312" s="15" t="s">
        <v>2113</v>
      </c>
      <c r="D2312" s="15" t="s">
        <v>2153</v>
      </c>
      <c r="E2312" s="15" t="s">
        <v>2144</v>
      </c>
      <c r="F2312" s="15" t="s">
        <v>2120</v>
      </c>
      <c r="G2312" s="15" t="s">
        <v>2133</v>
      </c>
      <c r="H2312" s="15">
        <v>2110</v>
      </c>
      <c r="I2312" s="15">
        <v>441.09</v>
      </c>
    </row>
    <row r="2313" spans="1:9">
      <c r="A2313" s="13">
        <v>45157</v>
      </c>
      <c r="B2313" s="91">
        <f t="shared" si="38"/>
        <v>2023</v>
      </c>
      <c r="C2313" s="15" t="s">
        <v>2141</v>
      </c>
      <c r="D2313" s="15" t="s">
        <v>2135</v>
      </c>
      <c r="E2313" s="15" t="s">
        <v>2144</v>
      </c>
      <c r="F2313" s="15" t="s">
        <v>2116</v>
      </c>
      <c r="G2313" s="15" t="s">
        <v>2154</v>
      </c>
      <c r="H2313" s="15">
        <v>1505</v>
      </c>
      <c r="I2313" s="15">
        <v>348.54</v>
      </c>
    </row>
    <row r="2314" spans="1:9">
      <c r="A2314" s="13">
        <v>44994</v>
      </c>
      <c r="B2314" s="91">
        <f t="shared" si="38"/>
        <v>2023</v>
      </c>
      <c r="C2314" s="15" t="s">
        <v>107</v>
      </c>
      <c r="D2314" s="15" t="s">
        <v>2152</v>
      </c>
      <c r="E2314" s="15" t="s">
        <v>2119</v>
      </c>
      <c r="F2314" s="15" t="s">
        <v>2120</v>
      </c>
      <c r="G2314" s="15" t="s">
        <v>2132</v>
      </c>
      <c r="H2314" s="15">
        <v>2521</v>
      </c>
      <c r="I2314" s="15">
        <v>637.20000000000005</v>
      </c>
    </row>
    <row r="2315" spans="1:9">
      <c r="A2315" s="13">
        <v>44654</v>
      </c>
      <c r="B2315" s="91">
        <f t="shared" si="38"/>
        <v>2022</v>
      </c>
      <c r="C2315" s="15" t="s">
        <v>104</v>
      </c>
      <c r="D2315" s="15" t="s">
        <v>2135</v>
      </c>
      <c r="E2315" s="15" t="s">
        <v>2115</v>
      </c>
      <c r="F2315" s="15" t="s">
        <v>2120</v>
      </c>
      <c r="G2315" s="15" t="s">
        <v>2121</v>
      </c>
      <c r="H2315" s="15">
        <v>5213</v>
      </c>
      <c r="I2315" s="15">
        <v>1100.46</v>
      </c>
    </row>
    <row r="2316" spans="1:9">
      <c r="A2316" s="13">
        <v>45089</v>
      </c>
      <c r="B2316" s="91">
        <f t="shared" si="38"/>
        <v>2023</v>
      </c>
      <c r="C2316" s="15" t="s">
        <v>2141</v>
      </c>
      <c r="D2316" s="15" t="s">
        <v>2118</v>
      </c>
      <c r="E2316" s="15" t="s">
        <v>2134</v>
      </c>
      <c r="F2316" s="15" t="s">
        <v>2138</v>
      </c>
      <c r="G2316" s="15" t="s">
        <v>2139</v>
      </c>
      <c r="H2316" s="15">
        <v>2022</v>
      </c>
      <c r="I2316" s="15">
        <v>496.94</v>
      </c>
    </row>
    <row r="2317" spans="1:9">
      <c r="A2317" s="13">
        <v>44941</v>
      </c>
      <c r="B2317" s="91">
        <f t="shared" si="38"/>
        <v>2023</v>
      </c>
      <c r="C2317" s="15" t="s">
        <v>2113</v>
      </c>
      <c r="D2317" s="15" t="s">
        <v>2131</v>
      </c>
      <c r="E2317" s="15" t="s">
        <v>2119</v>
      </c>
      <c r="F2317" s="15" t="s">
        <v>2116</v>
      </c>
      <c r="G2317" s="15" t="s">
        <v>2127</v>
      </c>
      <c r="H2317" s="15">
        <v>6635</v>
      </c>
      <c r="I2317" s="15">
        <v>922.01</v>
      </c>
    </row>
    <row r="2318" spans="1:9">
      <c r="A2318" s="13">
        <v>44992</v>
      </c>
      <c r="B2318" s="91">
        <f t="shared" si="38"/>
        <v>2023</v>
      </c>
      <c r="C2318" s="15" t="s">
        <v>107</v>
      </c>
      <c r="D2318" s="15" t="s">
        <v>2152</v>
      </c>
      <c r="E2318" s="15" t="s">
        <v>2136</v>
      </c>
      <c r="F2318" s="15" t="s">
        <v>2116</v>
      </c>
      <c r="G2318" s="15" t="s">
        <v>2117</v>
      </c>
      <c r="H2318" s="15">
        <v>7423</v>
      </c>
      <c r="I2318" s="15">
        <v>2021.28</v>
      </c>
    </row>
    <row r="2319" spans="1:9">
      <c r="A2319" s="13">
        <v>44780</v>
      </c>
      <c r="B2319" s="91">
        <f t="shared" si="38"/>
        <v>2022</v>
      </c>
      <c r="C2319" s="15" t="s">
        <v>107</v>
      </c>
      <c r="D2319" s="15" t="s">
        <v>2126</v>
      </c>
      <c r="E2319" s="15" t="s">
        <v>2143</v>
      </c>
      <c r="F2319" s="15" t="s">
        <v>2120</v>
      </c>
      <c r="G2319" s="15" t="s">
        <v>2121</v>
      </c>
      <c r="H2319" s="15">
        <v>4258</v>
      </c>
      <c r="I2319" s="15">
        <v>449.55</v>
      </c>
    </row>
    <row r="2320" spans="1:9">
      <c r="A2320" s="13">
        <v>45487</v>
      </c>
      <c r="B2320" s="91">
        <f t="shared" si="38"/>
        <v>2024</v>
      </c>
      <c r="C2320" s="15" t="s">
        <v>2141</v>
      </c>
      <c r="D2320" s="15" t="s">
        <v>2126</v>
      </c>
      <c r="E2320" s="15" t="s">
        <v>2119</v>
      </c>
      <c r="F2320" s="15" t="s">
        <v>2120</v>
      </c>
      <c r="G2320" s="15" t="s">
        <v>2121</v>
      </c>
      <c r="H2320" s="15">
        <v>6879</v>
      </c>
      <c r="I2320" s="15">
        <v>1113.99</v>
      </c>
    </row>
    <row r="2321" spans="1:9">
      <c r="A2321" s="13">
        <v>45020</v>
      </c>
      <c r="B2321" s="91">
        <f t="shared" si="38"/>
        <v>2023</v>
      </c>
      <c r="C2321" s="15" t="s">
        <v>107</v>
      </c>
      <c r="D2321" s="15" t="s">
        <v>2114</v>
      </c>
      <c r="E2321" s="15" t="s">
        <v>2136</v>
      </c>
      <c r="F2321" s="15" t="s">
        <v>2138</v>
      </c>
      <c r="G2321" s="15" t="s">
        <v>2139</v>
      </c>
      <c r="H2321" s="15">
        <v>3977</v>
      </c>
      <c r="I2321" s="15">
        <v>1156.2</v>
      </c>
    </row>
    <row r="2322" spans="1:9">
      <c r="A2322" s="13">
        <v>45468</v>
      </c>
      <c r="B2322" s="91">
        <f t="shared" si="38"/>
        <v>2024</v>
      </c>
      <c r="C2322" s="15" t="s">
        <v>2141</v>
      </c>
      <c r="D2322" s="15" t="s">
        <v>2114</v>
      </c>
      <c r="E2322" s="15" t="s">
        <v>2136</v>
      </c>
      <c r="F2322" s="15" t="s">
        <v>2116</v>
      </c>
      <c r="G2322" s="15" t="s">
        <v>2117</v>
      </c>
      <c r="H2322" s="15">
        <v>9445</v>
      </c>
      <c r="I2322" s="15">
        <v>1088.22</v>
      </c>
    </row>
    <row r="2323" spans="1:9">
      <c r="A2323" s="13">
        <v>44989</v>
      </c>
      <c r="B2323" s="91">
        <f t="shared" si="38"/>
        <v>2023</v>
      </c>
      <c r="C2323" s="15" t="s">
        <v>107</v>
      </c>
      <c r="D2323" s="15" t="s">
        <v>2128</v>
      </c>
      <c r="E2323" s="15" t="s">
        <v>2143</v>
      </c>
      <c r="F2323" s="15" t="s">
        <v>2116</v>
      </c>
      <c r="G2323" s="15" t="s">
        <v>2117</v>
      </c>
      <c r="H2323" s="15">
        <v>4557</v>
      </c>
      <c r="I2323" s="15">
        <v>830.77</v>
      </c>
    </row>
    <row r="2324" spans="1:9">
      <c r="A2324" s="13">
        <v>44593</v>
      </c>
      <c r="B2324" s="91">
        <f t="shared" si="38"/>
        <v>2022</v>
      </c>
      <c r="C2324" s="15" t="s">
        <v>104</v>
      </c>
      <c r="D2324" s="15" t="s">
        <v>2148</v>
      </c>
      <c r="E2324" s="15" t="s">
        <v>2119</v>
      </c>
      <c r="F2324" s="15" t="s">
        <v>2138</v>
      </c>
      <c r="G2324" s="15" t="s">
        <v>2139</v>
      </c>
      <c r="H2324" s="15">
        <v>4251</v>
      </c>
      <c r="I2324" s="15">
        <v>1026.8</v>
      </c>
    </row>
    <row r="2325" spans="1:9">
      <c r="A2325" s="13">
        <v>44828</v>
      </c>
      <c r="B2325" s="91">
        <f t="shared" si="38"/>
        <v>2022</v>
      </c>
      <c r="C2325" s="15" t="s">
        <v>104</v>
      </c>
      <c r="D2325" s="15" t="s">
        <v>2126</v>
      </c>
      <c r="E2325" s="15" t="s">
        <v>2151</v>
      </c>
      <c r="F2325" s="15" t="s">
        <v>2138</v>
      </c>
      <c r="G2325" s="15" t="s">
        <v>2149</v>
      </c>
      <c r="H2325" s="15">
        <v>7128</v>
      </c>
      <c r="I2325" s="15">
        <v>1530.03</v>
      </c>
    </row>
    <row r="2326" spans="1:9">
      <c r="A2326" s="13">
        <v>45095</v>
      </c>
      <c r="B2326" s="91">
        <f t="shared" si="38"/>
        <v>2023</v>
      </c>
      <c r="C2326" s="15" t="s">
        <v>107</v>
      </c>
      <c r="D2326" s="15" t="s">
        <v>2118</v>
      </c>
      <c r="E2326" s="15" t="s">
        <v>2119</v>
      </c>
      <c r="F2326" s="15" t="s">
        <v>2116</v>
      </c>
      <c r="G2326" s="15" t="s">
        <v>2154</v>
      </c>
      <c r="H2326" s="15">
        <v>2469</v>
      </c>
      <c r="I2326" s="15">
        <v>479.17</v>
      </c>
    </row>
    <row r="2327" spans="1:9">
      <c r="A2327" s="13">
        <v>45648</v>
      </c>
      <c r="B2327" s="91">
        <f t="shared" si="38"/>
        <v>2024</v>
      </c>
      <c r="C2327" s="15" t="s">
        <v>2141</v>
      </c>
      <c r="D2327" s="15" t="s">
        <v>2153</v>
      </c>
      <c r="E2327" s="15" t="s">
        <v>2144</v>
      </c>
      <c r="F2327" s="15" t="s">
        <v>2116</v>
      </c>
      <c r="G2327" s="15" t="s">
        <v>2117</v>
      </c>
      <c r="H2327" s="15">
        <v>1917</v>
      </c>
      <c r="I2327" s="15">
        <v>249.28</v>
      </c>
    </row>
    <row r="2328" spans="1:9">
      <c r="A2328" s="13">
        <v>44630</v>
      </c>
      <c r="B2328" s="91">
        <f t="shared" si="38"/>
        <v>2022</v>
      </c>
      <c r="C2328" s="15" t="s">
        <v>2141</v>
      </c>
      <c r="D2328" s="15" t="s">
        <v>2128</v>
      </c>
      <c r="E2328" s="15" t="s">
        <v>2145</v>
      </c>
      <c r="F2328" s="15" t="s">
        <v>2124</v>
      </c>
      <c r="G2328" s="15" t="s">
        <v>2140</v>
      </c>
      <c r="H2328" s="15">
        <v>3550</v>
      </c>
      <c r="I2328" s="15">
        <v>732.67</v>
      </c>
    </row>
    <row r="2329" spans="1:9">
      <c r="A2329" s="13">
        <v>44959</v>
      </c>
      <c r="B2329" s="91">
        <f t="shared" si="38"/>
        <v>2023</v>
      </c>
      <c r="C2329" s="15" t="s">
        <v>2113</v>
      </c>
      <c r="D2329" s="15" t="s">
        <v>2152</v>
      </c>
      <c r="E2329" s="15" t="s">
        <v>2119</v>
      </c>
      <c r="F2329" s="15" t="s">
        <v>2124</v>
      </c>
      <c r="G2329" s="15" t="s">
        <v>2125</v>
      </c>
      <c r="H2329" s="15">
        <v>7134</v>
      </c>
      <c r="I2329" s="15">
        <v>713.66</v>
      </c>
    </row>
    <row r="2330" spans="1:9">
      <c r="A2330" s="13">
        <v>45054</v>
      </c>
      <c r="B2330" s="91">
        <f t="shared" si="38"/>
        <v>2023</v>
      </c>
      <c r="C2330" s="15" t="s">
        <v>2113</v>
      </c>
      <c r="D2330" s="15" t="s">
        <v>2142</v>
      </c>
      <c r="E2330" s="15" t="s">
        <v>2123</v>
      </c>
      <c r="F2330" s="15" t="s">
        <v>2116</v>
      </c>
      <c r="G2330" s="15" t="s">
        <v>2117</v>
      </c>
      <c r="H2330" s="15">
        <v>8051</v>
      </c>
      <c r="I2330" s="15">
        <v>2045.64</v>
      </c>
    </row>
    <row r="2331" spans="1:9">
      <c r="A2331" s="13">
        <v>45236</v>
      </c>
      <c r="B2331" s="91">
        <f t="shared" si="38"/>
        <v>2023</v>
      </c>
      <c r="C2331" s="15" t="s">
        <v>104</v>
      </c>
      <c r="D2331" s="15" t="s">
        <v>2126</v>
      </c>
      <c r="E2331" s="15" t="s">
        <v>2119</v>
      </c>
      <c r="F2331" s="15" t="s">
        <v>2120</v>
      </c>
      <c r="G2331" s="15" t="s">
        <v>2121</v>
      </c>
      <c r="H2331" s="15">
        <v>7294</v>
      </c>
      <c r="I2331" s="15">
        <v>1110.3399999999999</v>
      </c>
    </row>
    <row r="2332" spans="1:9">
      <c r="A2332" s="13">
        <v>44794</v>
      </c>
      <c r="B2332" s="91">
        <f t="shared" si="38"/>
        <v>2022</v>
      </c>
      <c r="C2332" s="15" t="s">
        <v>2113</v>
      </c>
      <c r="D2332" s="15" t="s">
        <v>2114</v>
      </c>
      <c r="E2332" s="15" t="s">
        <v>2144</v>
      </c>
      <c r="F2332" s="15" t="s">
        <v>2116</v>
      </c>
      <c r="G2332" s="15" t="s">
        <v>2154</v>
      </c>
      <c r="H2332" s="15">
        <v>1412</v>
      </c>
      <c r="I2332" s="15">
        <v>168.82</v>
      </c>
    </row>
    <row r="2333" spans="1:9">
      <c r="A2333" s="13">
        <v>44635</v>
      </c>
      <c r="B2333" s="91">
        <f t="shared" si="38"/>
        <v>2022</v>
      </c>
      <c r="C2333" s="15" t="s">
        <v>107</v>
      </c>
      <c r="D2333" s="15" t="s">
        <v>2153</v>
      </c>
      <c r="E2333" s="15" t="s">
        <v>2119</v>
      </c>
      <c r="F2333" s="15" t="s">
        <v>2124</v>
      </c>
      <c r="G2333" s="15" t="s">
        <v>2130</v>
      </c>
      <c r="H2333" s="15">
        <v>4644</v>
      </c>
      <c r="I2333" s="15">
        <v>787.65</v>
      </c>
    </row>
    <row r="2334" spans="1:9">
      <c r="A2334" s="13">
        <v>45176</v>
      </c>
      <c r="B2334" s="91">
        <f t="shared" si="38"/>
        <v>2023</v>
      </c>
      <c r="C2334" s="15" t="s">
        <v>2141</v>
      </c>
      <c r="D2334" s="15" t="s">
        <v>2148</v>
      </c>
      <c r="E2334" s="15" t="s">
        <v>2144</v>
      </c>
      <c r="F2334" s="15" t="s">
        <v>2116</v>
      </c>
      <c r="G2334" s="15" t="s">
        <v>2127</v>
      </c>
      <c r="H2334" s="15">
        <v>1469</v>
      </c>
      <c r="I2334" s="15">
        <v>310.74</v>
      </c>
    </row>
    <row r="2335" spans="1:9">
      <c r="A2335" s="13">
        <v>45510</v>
      </c>
      <c r="B2335" s="91">
        <f t="shared" si="38"/>
        <v>2024</v>
      </c>
      <c r="C2335" s="15" t="s">
        <v>2113</v>
      </c>
      <c r="D2335" s="15" t="s">
        <v>2135</v>
      </c>
      <c r="E2335" s="15" t="s">
        <v>2134</v>
      </c>
      <c r="F2335" s="15" t="s">
        <v>2116</v>
      </c>
      <c r="G2335" s="15" t="s">
        <v>2127</v>
      </c>
      <c r="H2335" s="15">
        <v>5937</v>
      </c>
      <c r="I2335" s="15">
        <v>1303.4100000000001</v>
      </c>
    </row>
    <row r="2336" spans="1:9">
      <c r="A2336" s="13">
        <v>44805</v>
      </c>
      <c r="B2336" s="91">
        <f t="shared" si="38"/>
        <v>2022</v>
      </c>
      <c r="C2336" s="15" t="s">
        <v>104</v>
      </c>
      <c r="D2336" s="15" t="s">
        <v>2126</v>
      </c>
      <c r="E2336" s="15" t="s">
        <v>2143</v>
      </c>
      <c r="F2336" s="15" t="s">
        <v>2120</v>
      </c>
      <c r="G2336" s="15" t="s">
        <v>2132</v>
      </c>
      <c r="H2336" s="15">
        <v>8032</v>
      </c>
      <c r="I2336" s="15">
        <v>1073.26</v>
      </c>
    </row>
    <row r="2337" spans="1:9">
      <c r="A2337" s="13">
        <v>45528</v>
      </c>
      <c r="B2337" s="91">
        <f t="shared" si="38"/>
        <v>2024</v>
      </c>
      <c r="C2337" s="15" t="s">
        <v>2141</v>
      </c>
      <c r="D2337" s="15" t="s">
        <v>2128</v>
      </c>
      <c r="E2337" s="15" t="s">
        <v>2134</v>
      </c>
      <c r="F2337" s="15" t="s">
        <v>2138</v>
      </c>
      <c r="G2337" s="15" t="s">
        <v>2149</v>
      </c>
      <c r="H2337" s="15">
        <v>1578</v>
      </c>
      <c r="I2337" s="15">
        <v>407.85</v>
      </c>
    </row>
    <row r="2338" spans="1:9">
      <c r="A2338" s="13">
        <v>45467</v>
      </c>
      <c r="B2338" s="91">
        <f t="shared" si="38"/>
        <v>2024</v>
      </c>
      <c r="C2338" s="15" t="s">
        <v>107</v>
      </c>
      <c r="D2338" s="15" t="s">
        <v>2142</v>
      </c>
      <c r="E2338" s="15" t="s">
        <v>2115</v>
      </c>
      <c r="F2338" s="15" t="s">
        <v>2124</v>
      </c>
      <c r="G2338" s="15" t="s">
        <v>2140</v>
      </c>
      <c r="H2338" s="15">
        <v>7916</v>
      </c>
      <c r="I2338" s="15">
        <v>837.74</v>
      </c>
    </row>
    <row r="2339" spans="1:9">
      <c r="A2339" s="13">
        <v>45319</v>
      </c>
      <c r="B2339" s="91">
        <f t="shared" si="38"/>
        <v>2024</v>
      </c>
      <c r="C2339" s="15" t="s">
        <v>2113</v>
      </c>
      <c r="D2339" s="15" t="s">
        <v>2153</v>
      </c>
      <c r="E2339" s="15" t="s">
        <v>2123</v>
      </c>
      <c r="F2339" s="15" t="s">
        <v>2124</v>
      </c>
      <c r="G2339" s="15" t="s">
        <v>2140</v>
      </c>
      <c r="H2339" s="15">
        <v>9951</v>
      </c>
      <c r="I2339" s="15">
        <v>2852.27</v>
      </c>
    </row>
    <row r="2340" spans="1:9">
      <c r="A2340" s="13">
        <v>45389</v>
      </c>
      <c r="B2340" s="91">
        <f t="shared" si="38"/>
        <v>2024</v>
      </c>
      <c r="C2340" s="15" t="s">
        <v>2141</v>
      </c>
      <c r="D2340" s="15" t="s">
        <v>2118</v>
      </c>
      <c r="E2340" s="15" t="s">
        <v>2144</v>
      </c>
      <c r="F2340" s="15" t="s">
        <v>2124</v>
      </c>
      <c r="G2340" s="15" t="s">
        <v>2125</v>
      </c>
      <c r="H2340" s="15">
        <v>7202</v>
      </c>
      <c r="I2340" s="15">
        <v>1856.38</v>
      </c>
    </row>
    <row r="2341" spans="1:9">
      <c r="A2341" s="13">
        <v>44951</v>
      </c>
      <c r="B2341" s="91">
        <f t="shared" si="38"/>
        <v>2023</v>
      </c>
      <c r="C2341" s="15" t="s">
        <v>2141</v>
      </c>
      <c r="D2341" s="15" t="s">
        <v>2142</v>
      </c>
      <c r="E2341" s="15" t="s">
        <v>2151</v>
      </c>
      <c r="F2341" s="15" t="s">
        <v>2124</v>
      </c>
      <c r="G2341" s="15" t="s">
        <v>2130</v>
      </c>
      <c r="H2341" s="15">
        <v>1169</v>
      </c>
      <c r="I2341" s="15">
        <v>246.76</v>
      </c>
    </row>
    <row r="2342" spans="1:9">
      <c r="A2342" s="13">
        <v>45377</v>
      </c>
      <c r="B2342" s="91">
        <f t="shared" si="38"/>
        <v>2024</v>
      </c>
      <c r="C2342" s="15" t="s">
        <v>2113</v>
      </c>
      <c r="D2342" s="15" t="s">
        <v>2128</v>
      </c>
      <c r="E2342" s="15" t="s">
        <v>2129</v>
      </c>
      <c r="F2342" s="15" t="s">
        <v>2120</v>
      </c>
      <c r="G2342" s="15" t="s">
        <v>2132</v>
      </c>
      <c r="H2342" s="15">
        <v>6248</v>
      </c>
      <c r="I2342" s="15">
        <v>1496.1</v>
      </c>
    </row>
    <row r="2343" spans="1:9">
      <c r="A2343" s="13">
        <v>45539</v>
      </c>
      <c r="B2343" s="91">
        <f t="shared" si="38"/>
        <v>2024</v>
      </c>
      <c r="C2343" s="15" t="s">
        <v>2113</v>
      </c>
      <c r="D2343" s="15" t="s">
        <v>2126</v>
      </c>
      <c r="E2343" s="15" t="s">
        <v>2143</v>
      </c>
      <c r="F2343" s="15" t="s">
        <v>2120</v>
      </c>
      <c r="G2343" s="15" t="s">
        <v>2121</v>
      </c>
      <c r="H2343" s="15">
        <v>7635</v>
      </c>
      <c r="I2343" s="15">
        <v>1091.23</v>
      </c>
    </row>
    <row r="2344" spans="1:9">
      <c r="A2344" s="13">
        <v>44569</v>
      </c>
      <c r="B2344" s="91">
        <f t="shared" si="38"/>
        <v>2022</v>
      </c>
      <c r="C2344" s="15" t="s">
        <v>104</v>
      </c>
      <c r="D2344" s="15" t="s">
        <v>2128</v>
      </c>
      <c r="E2344" s="15" t="s">
        <v>2143</v>
      </c>
      <c r="F2344" s="15" t="s">
        <v>2120</v>
      </c>
      <c r="G2344" s="15" t="s">
        <v>2121</v>
      </c>
      <c r="H2344" s="15">
        <v>1292</v>
      </c>
      <c r="I2344" s="15">
        <v>256.64999999999998</v>
      </c>
    </row>
    <row r="2345" spans="1:9">
      <c r="A2345" s="13">
        <v>44681</v>
      </c>
      <c r="B2345" s="91">
        <f t="shared" si="38"/>
        <v>2022</v>
      </c>
      <c r="C2345" s="15" t="s">
        <v>2141</v>
      </c>
      <c r="D2345" s="15" t="s">
        <v>2148</v>
      </c>
      <c r="E2345" s="15" t="s">
        <v>2115</v>
      </c>
      <c r="F2345" s="15" t="s">
        <v>2120</v>
      </c>
      <c r="G2345" s="15" t="s">
        <v>2132</v>
      </c>
      <c r="H2345" s="15">
        <v>7444</v>
      </c>
      <c r="I2345" s="15">
        <v>1818.56</v>
      </c>
    </row>
    <row r="2346" spans="1:9">
      <c r="A2346" s="13">
        <v>45602</v>
      </c>
      <c r="B2346" s="91">
        <f t="shared" si="38"/>
        <v>2024</v>
      </c>
      <c r="C2346" s="15" t="s">
        <v>107</v>
      </c>
      <c r="D2346" s="15" t="s">
        <v>2131</v>
      </c>
      <c r="E2346" s="15" t="s">
        <v>2144</v>
      </c>
      <c r="F2346" s="15" t="s">
        <v>2120</v>
      </c>
      <c r="G2346" s="15" t="s">
        <v>2132</v>
      </c>
      <c r="H2346" s="15">
        <v>2499</v>
      </c>
      <c r="I2346" s="15">
        <v>686.83</v>
      </c>
    </row>
    <row r="2347" spans="1:9">
      <c r="A2347" s="13">
        <v>44642</v>
      </c>
      <c r="B2347" s="91">
        <f t="shared" si="38"/>
        <v>2022</v>
      </c>
      <c r="C2347" s="15" t="s">
        <v>2113</v>
      </c>
      <c r="D2347" s="15" t="s">
        <v>2126</v>
      </c>
      <c r="E2347" s="15" t="s">
        <v>2144</v>
      </c>
      <c r="F2347" s="15" t="s">
        <v>2138</v>
      </c>
      <c r="G2347" s="15" t="s">
        <v>2139</v>
      </c>
      <c r="H2347" s="15">
        <v>4558</v>
      </c>
      <c r="I2347" s="15">
        <v>845.1</v>
      </c>
    </row>
    <row r="2348" spans="1:9">
      <c r="A2348" s="13">
        <v>45331</v>
      </c>
      <c r="B2348" s="91">
        <f t="shared" si="38"/>
        <v>2024</v>
      </c>
      <c r="C2348" s="15" t="s">
        <v>2113</v>
      </c>
      <c r="D2348" s="15" t="s">
        <v>2126</v>
      </c>
      <c r="E2348" s="15" t="s">
        <v>2145</v>
      </c>
      <c r="F2348" s="15" t="s">
        <v>2116</v>
      </c>
      <c r="G2348" s="15" t="s">
        <v>2117</v>
      </c>
      <c r="H2348" s="15">
        <v>9110</v>
      </c>
      <c r="I2348" s="15">
        <v>2525.7800000000002</v>
      </c>
    </row>
    <row r="2349" spans="1:9">
      <c r="A2349" s="13">
        <v>45506</v>
      </c>
      <c r="B2349" s="91">
        <f t="shared" si="38"/>
        <v>2024</v>
      </c>
      <c r="C2349" s="15" t="s">
        <v>104</v>
      </c>
      <c r="D2349" s="15" t="s">
        <v>2142</v>
      </c>
      <c r="E2349" s="15" t="s">
        <v>2119</v>
      </c>
      <c r="F2349" s="15" t="s">
        <v>2124</v>
      </c>
      <c r="G2349" s="15" t="s">
        <v>2130</v>
      </c>
      <c r="H2349" s="15">
        <v>9122</v>
      </c>
      <c r="I2349" s="15">
        <v>1709.83</v>
      </c>
    </row>
    <row r="2350" spans="1:9">
      <c r="A2350" s="13">
        <v>44650</v>
      </c>
      <c r="B2350" s="91">
        <f t="shared" si="38"/>
        <v>2022</v>
      </c>
      <c r="C2350" s="15" t="s">
        <v>2141</v>
      </c>
      <c r="D2350" s="15" t="s">
        <v>2153</v>
      </c>
      <c r="E2350" s="15" t="s">
        <v>2129</v>
      </c>
      <c r="F2350" s="15" t="s">
        <v>2120</v>
      </c>
      <c r="G2350" s="15" t="s">
        <v>2133</v>
      </c>
      <c r="H2350" s="15">
        <v>7351</v>
      </c>
      <c r="I2350" s="15">
        <v>1241.06</v>
      </c>
    </row>
    <row r="2351" spans="1:9">
      <c r="A2351" s="13">
        <v>44564</v>
      </c>
      <c r="B2351" s="91">
        <f t="shared" si="38"/>
        <v>2022</v>
      </c>
      <c r="C2351" s="15" t="s">
        <v>104</v>
      </c>
      <c r="D2351" s="15" t="s">
        <v>2128</v>
      </c>
      <c r="E2351" s="15" t="s">
        <v>2115</v>
      </c>
      <c r="F2351" s="15" t="s">
        <v>2124</v>
      </c>
      <c r="G2351" s="15" t="s">
        <v>2125</v>
      </c>
      <c r="H2351" s="15">
        <v>1078</v>
      </c>
      <c r="I2351" s="15">
        <v>244.67</v>
      </c>
    </row>
    <row r="2352" spans="1:9">
      <c r="A2352" s="13">
        <v>45103</v>
      </c>
      <c r="B2352" s="91">
        <f t="shared" si="38"/>
        <v>2023</v>
      </c>
      <c r="C2352" s="15" t="s">
        <v>104</v>
      </c>
      <c r="D2352" s="15" t="s">
        <v>2152</v>
      </c>
      <c r="E2352" s="15" t="s">
        <v>2151</v>
      </c>
      <c r="F2352" s="15" t="s">
        <v>2120</v>
      </c>
      <c r="G2352" s="15" t="s">
        <v>2132</v>
      </c>
      <c r="H2352" s="15">
        <v>6076</v>
      </c>
      <c r="I2352" s="15">
        <v>1107.67</v>
      </c>
    </row>
    <row r="2353" spans="1:9">
      <c r="A2353" s="13">
        <v>45599</v>
      </c>
      <c r="B2353" s="91">
        <f t="shared" si="38"/>
        <v>2024</v>
      </c>
      <c r="C2353" s="15" t="s">
        <v>104</v>
      </c>
      <c r="D2353" s="15" t="s">
        <v>2148</v>
      </c>
      <c r="E2353" s="15" t="s">
        <v>2115</v>
      </c>
      <c r="F2353" s="15" t="s">
        <v>2120</v>
      </c>
      <c r="G2353" s="15" t="s">
        <v>2132</v>
      </c>
      <c r="H2353" s="15">
        <v>6346</v>
      </c>
      <c r="I2353" s="15">
        <v>1209.45</v>
      </c>
    </row>
    <row r="2354" spans="1:9">
      <c r="A2354" s="13">
        <v>45026</v>
      </c>
      <c r="B2354" s="91">
        <f t="shared" si="38"/>
        <v>2023</v>
      </c>
      <c r="C2354" s="15" t="s">
        <v>2141</v>
      </c>
      <c r="D2354" s="15" t="s">
        <v>2142</v>
      </c>
      <c r="E2354" s="15" t="s">
        <v>2129</v>
      </c>
      <c r="F2354" s="15" t="s">
        <v>2124</v>
      </c>
      <c r="G2354" s="15" t="s">
        <v>2125</v>
      </c>
      <c r="H2354" s="15">
        <v>8255</v>
      </c>
      <c r="I2354" s="15">
        <v>1877.83</v>
      </c>
    </row>
    <row r="2355" spans="1:9">
      <c r="A2355" s="13">
        <v>44717</v>
      </c>
      <c r="B2355" s="91">
        <f t="shared" si="38"/>
        <v>2022</v>
      </c>
      <c r="C2355" s="15" t="s">
        <v>2113</v>
      </c>
      <c r="D2355" s="15" t="s">
        <v>2153</v>
      </c>
      <c r="E2355" s="15" t="s">
        <v>2151</v>
      </c>
      <c r="F2355" s="15" t="s">
        <v>2138</v>
      </c>
      <c r="G2355" s="15" t="s">
        <v>2146</v>
      </c>
      <c r="H2355" s="15">
        <v>2244</v>
      </c>
      <c r="I2355" s="15">
        <v>362.78</v>
      </c>
    </row>
    <row r="2356" spans="1:9">
      <c r="A2356" s="13">
        <v>45125</v>
      </c>
      <c r="B2356" s="91">
        <f t="shared" si="38"/>
        <v>2023</v>
      </c>
      <c r="C2356" s="15" t="s">
        <v>104</v>
      </c>
      <c r="D2356" s="15" t="s">
        <v>2118</v>
      </c>
      <c r="E2356" s="15" t="s">
        <v>2151</v>
      </c>
      <c r="F2356" s="15" t="s">
        <v>2120</v>
      </c>
      <c r="G2356" s="15" t="s">
        <v>2121</v>
      </c>
      <c r="H2356" s="15">
        <v>5393</v>
      </c>
      <c r="I2356" s="15">
        <v>1558.64</v>
      </c>
    </row>
    <row r="2357" spans="1:9">
      <c r="A2357" s="13">
        <v>45190</v>
      </c>
      <c r="B2357" s="91">
        <f t="shared" si="38"/>
        <v>2023</v>
      </c>
      <c r="C2357" s="15" t="s">
        <v>104</v>
      </c>
      <c r="D2357" s="15" t="s">
        <v>2131</v>
      </c>
      <c r="E2357" s="15" t="s">
        <v>2119</v>
      </c>
      <c r="F2357" s="15" t="s">
        <v>2138</v>
      </c>
      <c r="G2357" s="15" t="s">
        <v>2149</v>
      </c>
      <c r="H2357" s="15">
        <v>2629</v>
      </c>
      <c r="I2357" s="15">
        <v>520.33000000000004</v>
      </c>
    </row>
    <row r="2358" spans="1:9">
      <c r="A2358" s="13">
        <v>45615</v>
      </c>
      <c r="B2358" s="91">
        <f t="shared" si="38"/>
        <v>2024</v>
      </c>
      <c r="C2358" s="15" t="s">
        <v>2141</v>
      </c>
      <c r="D2358" s="15" t="s">
        <v>2131</v>
      </c>
      <c r="E2358" s="15" t="s">
        <v>2119</v>
      </c>
      <c r="F2358" s="15" t="s">
        <v>2138</v>
      </c>
      <c r="G2358" s="15" t="s">
        <v>2139</v>
      </c>
      <c r="H2358" s="15">
        <v>9882</v>
      </c>
      <c r="I2358" s="15">
        <v>1207.4000000000001</v>
      </c>
    </row>
    <row r="2359" spans="1:9">
      <c r="A2359" s="13">
        <v>45577</v>
      </c>
      <c r="B2359" s="91">
        <f t="shared" si="38"/>
        <v>2024</v>
      </c>
      <c r="C2359" s="15" t="s">
        <v>104</v>
      </c>
      <c r="D2359" s="15" t="s">
        <v>2131</v>
      </c>
      <c r="E2359" s="15" t="s">
        <v>2151</v>
      </c>
      <c r="F2359" s="15" t="s">
        <v>2124</v>
      </c>
      <c r="G2359" s="15" t="s">
        <v>2140</v>
      </c>
      <c r="H2359" s="15">
        <v>5129</v>
      </c>
      <c r="I2359" s="15">
        <v>653.05999999999995</v>
      </c>
    </row>
    <row r="2360" spans="1:9">
      <c r="A2360" s="13">
        <v>45137</v>
      </c>
      <c r="B2360" s="91">
        <f t="shared" si="38"/>
        <v>2023</v>
      </c>
      <c r="C2360" s="15" t="s">
        <v>2113</v>
      </c>
      <c r="D2360" s="15" t="s">
        <v>2131</v>
      </c>
      <c r="E2360" s="15" t="s">
        <v>2134</v>
      </c>
      <c r="F2360" s="15" t="s">
        <v>2138</v>
      </c>
      <c r="G2360" s="15" t="s">
        <v>2139</v>
      </c>
      <c r="H2360" s="15">
        <v>2822</v>
      </c>
      <c r="I2360" s="15">
        <v>535.67999999999995</v>
      </c>
    </row>
    <row r="2361" spans="1:9">
      <c r="A2361" s="13">
        <v>44898</v>
      </c>
      <c r="B2361" s="91">
        <f t="shared" si="38"/>
        <v>2022</v>
      </c>
      <c r="C2361" s="15" t="s">
        <v>2141</v>
      </c>
      <c r="D2361" s="15" t="s">
        <v>2126</v>
      </c>
      <c r="E2361" s="15" t="s">
        <v>2144</v>
      </c>
      <c r="F2361" s="15" t="s">
        <v>2124</v>
      </c>
      <c r="G2361" s="15" t="s">
        <v>2130</v>
      </c>
      <c r="H2361" s="15">
        <v>6413</v>
      </c>
      <c r="I2361" s="15">
        <v>1607.13</v>
      </c>
    </row>
    <row r="2362" spans="1:9">
      <c r="A2362" s="13">
        <v>44579</v>
      </c>
      <c r="B2362" s="91">
        <f t="shared" si="38"/>
        <v>2022</v>
      </c>
      <c r="C2362" s="15" t="s">
        <v>2141</v>
      </c>
      <c r="D2362" s="15" t="s">
        <v>2135</v>
      </c>
      <c r="E2362" s="15" t="s">
        <v>2151</v>
      </c>
      <c r="F2362" s="15" t="s">
        <v>2124</v>
      </c>
      <c r="G2362" s="15" t="s">
        <v>2125</v>
      </c>
      <c r="H2362" s="15">
        <v>8934</v>
      </c>
      <c r="I2362" s="15">
        <v>2597.29</v>
      </c>
    </row>
    <row r="2363" spans="1:9">
      <c r="A2363" s="13">
        <v>45455</v>
      </c>
      <c r="B2363" s="91">
        <f t="shared" si="38"/>
        <v>2024</v>
      </c>
      <c r="C2363" s="15" t="s">
        <v>2113</v>
      </c>
      <c r="D2363" s="15" t="s">
        <v>2114</v>
      </c>
      <c r="E2363" s="15" t="s">
        <v>2123</v>
      </c>
      <c r="F2363" s="15" t="s">
        <v>2116</v>
      </c>
      <c r="G2363" s="15" t="s">
        <v>2127</v>
      </c>
      <c r="H2363" s="15">
        <v>3145</v>
      </c>
      <c r="I2363" s="15">
        <v>866.61</v>
      </c>
    </row>
    <row r="2364" spans="1:9">
      <c r="A2364" s="13">
        <v>45266</v>
      </c>
      <c r="B2364" s="91">
        <f t="shared" si="38"/>
        <v>2023</v>
      </c>
      <c r="C2364" s="15" t="s">
        <v>104</v>
      </c>
      <c r="D2364" s="15" t="s">
        <v>2148</v>
      </c>
      <c r="E2364" s="15" t="s">
        <v>2144</v>
      </c>
      <c r="F2364" s="15" t="s">
        <v>2120</v>
      </c>
      <c r="G2364" s="15" t="s">
        <v>2133</v>
      </c>
      <c r="H2364" s="15">
        <v>5134</v>
      </c>
      <c r="I2364" s="15">
        <v>1016.65</v>
      </c>
    </row>
    <row r="2365" spans="1:9">
      <c r="A2365" s="13">
        <v>44959</v>
      </c>
      <c r="B2365" s="91">
        <f t="shared" si="38"/>
        <v>2023</v>
      </c>
      <c r="C2365" s="15" t="s">
        <v>104</v>
      </c>
      <c r="D2365" s="15" t="s">
        <v>2128</v>
      </c>
      <c r="E2365" s="15" t="s">
        <v>2136</v>
      </c>
      <c r="F2365" s="15" t="s">
        <v>2120</v>
      </c>
      <c r="G2365" s="15" t="s">
        <v>2121</v>
      </c>
      <c r="H2365" s="15">
        <v>6725</v>
      </c>
      <c r="I2365" s="15">
        <v>1917.22</v>
      </c>
    </row>
    <row r="2366" spans="1:9">
      <c r="A2366" s="13">
        <v>45019</v>
      </c>
      <c r="B2366" s="91">
        <f t="shared" si="38"/>
        <v>2023</v>
      </c>
      <c r="C2366" s="15" t="s">
        <v>2113</v>
      </c>
      <c r="D2366" s="15" t="s">
        <v>2126</v>
      </c>
      <c r="E2366" s="15" t="s">
        <v>2144</v>
      </c>
      <c r="F2366" s="15" t="s">
        <v>2138</v>
      </c>
      <c r="G2366" s="15" t="s">
        <v>2149</v>
      </c>
      <c r="H2366" s="15">
        <v>4943</v>
      </c>
      <c r="I2366" s="15">
        <v>1024.21</v>
      </c>
    </row>
    <row r="2367" spans="1:9">
      <c r="A2367" s="13">
        <v>45602</v>
      </c>
      <c r="B2367" s="91">
        <f t="shared" si="38"/>
        <v>2024</v>
      </c>
      <c r="C2367" s="15" t="s">
        <v>104</v>
      </c>
      <c r="D2367" s="15" t="s">
        <v>2126</v>
      </c>
      <c r="E2367" s="15" t="s">
        <v>2144</v>
      </c>
      <c r="F2367" s="15" t="s">
        <v>2138</v>
      </c>
      <c r="G2367" s="15" t="s">
        <v>2149</v>
      </c>
      <c r="H2367" s="15">
        <v>1101</v>
      </c>
      <c r="I2367" s="15">
        <v>148.06</v>
      </c>
    </row>
    <row r="2368" spans="1:9">
      <c r="A2368" s="13">
        <v>44656</v>
      </c>
      <c r="B2368" s="91">
        <f t="shared" si="38"/>
        <v>2022</v>
      </c>
      <c r="C2368" s="15" t="s">
        <v>107</v>
      </c>
      <c r="D2368" s="15" t="s">
        <v>2114</v>
      </c>
      <c r="E2368" s="15" t="s">
        <v>2144</v>
      </c>
      <c r="F2368" s="15" t="s">
        <v>2116</v>
      </c>
      <c r="G2368" s="15" t="s">
        <v>2117</v>
      </c>
      <c r="H2368" s="15">
        <v>9526</v>
      </c>
      <c r="I2368" s="15">
        <v>1017.68</v>
      </c>
    </row>
    <row r="2369" spans="1:9">
      <c r="A2369" s="13">
        <v>45282</v>
      </c>
      <c r="B2369" s="91">
        <f t="shared" si="38"/>
        <v>2023</v>
      </c>
      <c r="C2369" s="15" t="s">
        <v>107</v>
      </c>
      <c r="D2369" s="15" t="s">
        <v>2135</v>
      </c>
      <c r="E2369" s="15" t="s">
        <v>2115</v>
      </c>
      <c r="F2369" s="15" t="s">
        <v>2124</v>
      </c>
      <c r="G2369" s="15" t="s">
        <v>2125</v>
      </c>
      <c r="H2369" s="15">
        <v>3197</v>
      </c>
      <c r="I2369" s="15">
        <v>768.73</v>
      </c>
    </row>
    <row r="2370" spans="1:9">
      <c r="A2370" s="13">
        <v>45106</v>
      </c>
      <c r="B2370" s="91">
        <f t="shared" si="38"/>
        <v>2023</v>
      </c>
      <c r="C2370" s="15" t="s">
        <v>107</v>
      </c>
      <c r="D2370" s="15" t="s">
        <v>2114</v>
      </c>
      <c r="E2370" s="15" t="s">
        <v>2145</v>
      </c>
      <c r="F2370" s="15" t="s">
        <v>2138</v>
      </c>
      <c r="G2370" s="15" t="s">
        <v>2146</v>
      </c>
      <c r="H2370" s="15">
        <v>1256</v>
      </c>
      <c r="I2370" s="15">
        <v>348.28</v>
      </c>
    </row>
    <row r="2371" spans="1:9">
      <c r="A2371" s="13">
        <v>44647</v>
      </c>
      <c r="B2371" s="91">
        <f t="shared" ref="B2371:B2434" si="39">YEAR(A2371)</f>
        <v>2022</v>
      </c>
      <c r="C2371" s="15" t="s">
        <v>104</v>
      </c>
      <c r="D2371" s="15" t="s">
        <v>2152</v>
      </c>
      <c r="E2371" s="15" t="s">
        <v>2143</v>
      </c>
      <c r="F2371" s="15" t="s">
        <v>2124</v>
      </c>
      <c r="G2371" s="15" t="s">
        <v>2130</v>
      </c>
      <c r="H2371" s="15">
        <v>6842</v>
      </c>
      <c r="I2371" s="15">
        <v>1264.4100000000001</v>
      </c>
    </row>
    <row r="2372" spans="1:9">
      <c r="A2372" s="13">
        <v>45049</v>
      </c>
      <c r="B2372" s="91">
        <f t="shared" si="39"/>
        <v>2023</v>
      </c>
      <c r="C2372" s="15" t="s">
        <v>107</v>
      </c>
      <c r="D2372" s="15" t="s">
        <v>2152</v>
      </c>
      <c r="E2372" s="15" t="s">
        <v>2123</v>
      </c>
      <c r="F2372" s="15" t="s">
        <v>2120</v>
      </c>
      <c r="G2372" s="15" t="s">
        <v>2121</v>
      </c>
      <c r="H2372" s="15">
        <v>7491</v>
      </c>
      <c r="I2372" s="15">
        <v>908.46</v>
      </c>
    </row>
    <row r="2373" spans="1:9">
      <c r="A2373" s="13">
        <v>45008</v>
      </c>
      <c r="B2373" s="91">
        <f t="shared" si="39"/>
        <v>2023</v>
      </c>
      <c r="C2373" s="15" t="s">
        <v>104</v>
      </c>
      <c r="D2373" s="15" t="s">
        <v>2118</v>
      </c>
      <c r="E2373" s="15" t="s">
        <v>2144</v>
      </c>
      <c r="F2373" s="15" t="s">
        <v>2124</v>
      </c>
      <c r="G2373" s="15" t="s">
        <v>2130</v>
      </c>
      <c r="H2373" s="15">
        <v>7460</v>
      </c>
      <c r="I2373" s="15">
        <v>1571.25</v>
      </c>
    </row>
    <row r="2374" spans="1:9">
      <c r="A2374" s="13">
        <v>45325</v>
      </c>
      <c r="B2374" s="91">
        <f t="shared" si="39"/>
        <v>2024</v>
      </c>
      <c r="C2374" s="15" t="s">
        <v>2113</v>
      </c>
      <c r="D2374" s="15" t="s">
        <v>2148</v>
      </c>
      <c r="E2374" s="15" t="s">
        <v>2145</v>
      </c>
      <c r="F2374" s="15" t="s">
        <v>2138</v>
      </c>
      <c r="G2374" s="15" t="s">
        <v>2149</v>
      </c>
      <c r="H2374" s="15">
        <v>8616</v>
      </c>
      <c r="I2374" s="15">
        <v>980.59</v>
      </c>
    </row>
    <row r="2375" spans="1:9">
      <c r="A2375" s="13">
        <v>44977</v>
      </c>
      <c r="B2375" s="91">
        <f t="shared" si="39"/>
        <v>2023</v>
      </c>
      <c r="C2375" s="15" t="s">
        <v>104</v>
      </c>
      <c r="D2375" s="15" t="s">
        <v>2128</v>
      </c>
      <c r="E2375" s="15" t="s">
        <v>2129</v>
      </c>
      <c r="F2375" s="15" t="s">
        <v>2138</v>
      </c>
      <c r="G2375" s="15" t="s">
        <v>2146</v>
      </c>
      <c r="H2375" s="15">
        <v>5799</v>
      </c>
      <c r="I2375" s="15">
        <v>766.4</v>
      </c>
    </row>
    <row r="2376" spans="1:9">
      <c r="A2376" s="13">
        <v>45172</v>
      </c>
      <c r="B2376" s="91">
        <f t="shared" si="39"/>
        <v>2023</v>
      </c>
      <c r="C2376" s="15" t="s">
        <v>2141</v>
      </c>
      <c r="D2376" s="15" t="s">
        <v>2148</v>
      </c>
      <c r="E2376" s="15" t="s">
        <v>2143</v>
      </c>
      <c r="F2376" s="15" t="s">
        <v>2124</v>
      </c>
      <c r="G2376" s="15" t="s">
        <v>2125</v>
      </c>
      <c r="H2376" s="15">
        <v>5264</v>
      </c>
      <c r="I2376" s="15">
        <v>1467.02</v>
      </c>
    </row>
    <row r="2377" spans="1:9">
      <c r="A2377" s="13">
        <v>44753</v>
      </c>
      <c r="B2377" s="91">
        <f t="shared" si="39"/>
        <v>2022</v>
      </c>
      <c r="C2377" s="15" t="s">
        <v>104</v>
      </c>
      <c r="D2377" s="15" t="s">
        <v>2126</v>
      </c>
      <c r="E2377" s="15" t="s">
        <v>2144</v>
      </c>
      <c r="F2377" s="15" t="s">
        <v>2138</v>
      </c>
      <c r="G2377" s="15" t="s">
        <v>2139</v>
      </c>
      <c r="H2377" s="15">
        <v>6732</v>
      </c>
      <c r="I2377" s="15">
        <v>1498.71</v>
      </c>
    </row>
    <row r="2378" spans="1:9">
      <c r="A2378" s="13">
        <v>45097</v>
      </c>
      <c r="B2378" s="91">
        <f t="shared" si="39"/>
        <v>2023</v>
      </c>
      <c r="C2378" s="15" t="s">
        <v>107</v>
      </c>
      <c r="D2378" s="15" t="s">
        <v>2126</v>
      </c>
      <c r="E2378" s="15" t="s">
        <v>2136</v>
      </c>
      <c r="F2378" s="15" t="s">
        <v>2120</v>
      </c>
      <c r="G2378" s="15" t="s">
        <v>2132</v>
      </c>
      <c r="H2378" s="15">
        <v>5225</v>
      </c>
      <c r="I2378" s="15">
        <v>1385.86</v>
      </c>
    </row>
    <row r="2379" spans="1:9">
      <c r="A2379" s="13">
        <v>44579</v>
      </c>
      <c r="B2379" s="91">
        <f t="shared" si="39"/>
        <v>2022</v>
      </c>
      <c r="C2379" s="15" t="s">
        <v>107</v>
      </c>
      <c r="D2379" s="15" t="s">
        <v>2131</v>
      </c>
      <c r="E2379" s="15" t="s">
        <v>2115</v>
      </c>
      <c r="F2379" s="15" t="s">
        <v>2116</v>
      </c>
      <c r="G2379" s="15" t="s">
        <v>2154</v>
      </c>
      <c r="H2379" s="15">
        <v>2840</v>
      </c>
      <c r="I2379" s="15">
        <v>421.97</v>
      </c>
    </row>
    <row r="2380" spans="1:9">
      <c r="A2380" s="13">
        <v>45135</v>
      </c>
      <c r="B2380" s="91">
        <f t="shared" si="39"/>
        <v>2023</v>
      </c>
      <c r="C2380" s="15" t="s">
        <v>2113</v>
      </c>
      <c r="D2380" s="15" t="s">
        <v>2142</v>
      </c>
      <c r="E2380" s="15" t="s">
        <v>2143</v>
      </c>
      <c r="F2380" s="15" t="s">
        <v>2120</v>
      </c>
      <c r="G2380" s="15" t="s">
        <v>2132</v>
      </c>
      <c r="H2380" s="15">
        <v>7025</v>
      </c>
      <c r="I2380" s="15">
        <v>743.85</v>
      </c>
    </row>
    <row r="2381" spans="1:9">
      <c r="A2381" s="13">
        <v>45167</v>
      </c>
      <c r="B2381" s="91">
        <f t="shared" si="39"/>
        <v>2023</v>
      </c>
      <c r="C2381" s="15" t="s">
        <v>104</v>
      </c>
      <c r="D2381" s="15" t="s">
        <v>2148</v>
      </c>
      <c r="E2381" s="15" t="s">
        <v>2143</v>
      </c>
      <c r="F2381" s="15" t="s">
        <v>2124</v>
      </c>
      <c r="G2381" s="15" t="s">
        <v>2125</v>
      </c>
      <c r="H2381" s="15">
        <v>7938</v>
      </c>
      <c r="I2381" s="15">
        <v>886.5</v>
      </c>
    </row>
    <row r="2382" spans="1:9">
      <c r="A2382" s="13">
        <v>44876</v>
      </c>
      <c r="B2382" s="91">
        <f t="shared" si="39"/>
        <v>2022</v>
      </c>
      <c r="C2382" s="15" t="s">
        <v>2113</v>
      </c>
      <c r="D2382" s="15" t="s">
        <v>2118</v>
      </c>
      <c r="E2382" s="15" t="s">
        <v>2143</v>
      </c>
      <c r="F2382" s="15" t="s">
        <v>2124</v>
      </c>
      <c r="G2382" s="15" t="s">
        <v>2125</v>
      </c>
      <c r="H2382" s="15">
        <v>2092</v>
      </c>
      <c r="I2382" s="15">
        <v>540.1</v>
      </c>
    </row>
    <row r="2383" spans="1:9">
      <c r="A2383" s="13">
        <v>44876</v>
      </c>
      <c r="B2383" s="91">
        <f t="shared" si="39"/>
        <v>2022</v>
      </c>
      <c r="C2383" s="15" t="s">
        <v>2113</v>
      </c>
      <c r="D2383" s="15" t="s">
        <v>2128</v>
      </c>
      <c r="E2383" s="15" t="s">
        <v>2119</v>
      </c>
      <c r="F2383" s="15" t="s">
        <v>2138</v>
      </c>
      <c r="G2383" s="15" t="s">
        <v>2146</v>
      </c>
      <c r="H2383" s="15">
        <v>8052</v>
      </c>
      <c r="I2383" s="15">
        <v>925.28</v>
      </c>
    </row>
    <row r="2384" spans="1:9">
      <c r="A2384" s="13">
        <v>45322</v>
      </c>
      <c r="B2384" s="91">
        <f t="shared" si="39"/>
        <v>2024</v>
      </c>
      <c r="C2384" s="15" t="s">
        <v>107</v>
      </c>
      <c r="D2384" s="15" t="s">
        <v>2135</v>
      </c>
      <c r="E2384" s="15" t="s">
        <v>2123</v>
      </c>
      <c r="F2384" s="15" t="s">
        <v>2138</v>
      </c>
      <c r="G2384" s="15" t="s">
        <v>2146</v>
      </c>
      <c r="H2384" s="15">
        <v>9649</v>
      </c>
      <c r="I2384" s="15">
        <v>2266.7800000000002</v>
      </c>
    </row>
    <row r="2385" spans="1:9">
      <c r="A2385" s="13">
        <v>44673</v>
      </c>
      <c r="B2385" s="91">
        <f t="shared" si="39"/>
        <v>2022</v>
      </c>
      <c r="C2385" s="15" t="s">
        <v>107</v>
      </c>
      <c r="D2385" s="15" t="s">
        <v>2135</v>
      </c>
      <c r="E2385" s="15" t="s">
        <v>2134</v>
      </c>
      <c r="F2385" s="15" t="s">
        <v>2116</v>
      </c>
      <c r="G2385" s="15" t="s">
        <v>2154</v>
      </c>
      <c r="H2385" s="15">
        <v>8868</v>
      </c>
      <c r="I2385" s="15">
        <v>2037.85</v>
      </c>
    </row>
    <row r="2386" spans="1:9">
      <c r="A2386" s="13">
        <v>45190</v>
      </c>
      <c r="B2386" s="91">
        <f t="shared" si="39"/>
        <v>2023</v>
      </c>
      <c r="C2386" s="15" t="s">
        <v>107</v>
      </c>
      <c r="D2386" s="15" t="s">
        <v>2131</v>
      </c>
      <c r="E2386" s="15" t="s">
        <v>2129</v>
      </c>
      <c r="F2386" s="15" t="s">
        <v>2124</v>
      </c>
      <c r="G2386" s="15" t="s">
        <v>2140</v>
      </c>
      <c r="H2386" s="15">
        <v>9586</v>
      </c>
      <c r="I2386" s="15">
        <v>2552.56</v>
      </c>
    </row>
    <row r="2387" spans="1:9">
      <c r="A2387" s="13">
        <v>45555</v>
      </c>
      <c r="B2387" s="91">
        <f t="shared" si="39"/>
        <v>2024</v>
      </c>
      <c r="C2387" s="15" t="s">
        <v>2113</v>
      </c>
      <c r="D2387" s="15" t="s">
        <v>2148</v>
      </c>
      <c r="E2387" s="15" t="s">
        <v>2129</v>
      </c>
      <c r="F2387" s="15" t="s">
        <v>2138</v>
      </c>
      <c r="G2387" s="15" t="s">
        <v>2146</v>
      </c>
      <c r="H2387" s="15">
        <v>5847</v>
      </c>
      <c r="I2387" s="15">
        <v>924.61</v>
      </c>
    </row>
    <row r="2388" spans="1:9">
      <c r="A2388" s="13">
        <v>44916</v>
      </c>
      <c r="B2388" s="91">
        <f t="shared" si="39"/>
        <v>2022</v>
      </c>
      <c r="C2388" s="15" t="s">
        <v>107</v>
      </c>
      <c r="D2388" s="15" t="s">
        <v>2114</v>
      </c>
      <c r="E2388" s="15" t="s">
        <v>2129</v>
      </c>
      <c r="F2388" s="15" t="s">
        <v>2120</v>
      </c>
      <c r="G2388" s="15" t="s">
        <v>2132</v>
      </c>
      <c r="H2388" s="15">
        <v>1491</v>
      </c>
      <c r="I2388" s="15">
        <v>199.6</v>
      </c>
    </row>
    <row r="2389" spans="1:9">
      <c r="A2389" s="13">
        <v>45315</v>
      </c>
      <c r="B2389" s="91">
        <f t="shared" si="39"/>
        <v>2024</v>
      </c>
      <c r="C2389" s="15" t="s">
        <v>2141</v>
      </c>
      <c r="D2389" s="15" t="s">
        <v>2128</v>
      </c>
      <c r="E2389" s="15" t="s">
        <v>2119</v>
      </c>
      <c r="F2389" s="15" t="s">
        <v>2120</v>
      </c>
      <c r="G2389" s="15" t="s">
        <v>2121</v>
      </c>
      <c r="H2389" s="15">
        <v>3281</v>
      </c>
      <c r="I2389" s="15">
        <v>768.93</v>
      </c>
    </row>
    <row r="2390" spans="1:9">
      <c r="A2390" s="13">
        <v>44948</v>
      </c>
      <c r="B2390" s="91">
        <f t="shared" si="39"/>
        <v>2023</v>
      </c>
      <c r="C2390" s="15" t="s">
        <v>104</v>
      </c>
      <c r="D2390" s="15" t="s">
        <v>2135</v>
      </c>
      <c r="E2390" s="15" t="s">
        <v>2136</v>
      </c>
      <c r="F2390" s="15" t="s">
        <v>2124</v>
      </c>
      <c r="G2390" s="15" t="s">
        <v>2140</v>
      </c>
      <c r="H2390" s="15">
        <v>8114</v>
      </c>
      <c r="I2390" s="15">
        <v>1152.71</v>
      </c>
    </row>
    <row r="2391" spans="1:9">
      <c r="A2391" s="13">
        <v>45053</v>
      </c>
      <c r="B2391" s="91">
        <f t="shared" si="39"/>
        <v>2023</v>
      </c>
      <c r="C2391" s="15" t="s">
        <v>2141</v>
      </c>
      <c r="D2391" s="15" t="s">
        <v>2118</v>
      </c>
      <c r="E2391" s="15" t="s">
        <v>2123</v>
      </c>
      <c r="F2391" s="15" t="s">
        <v>2120</v>
      </c>
      <c r="G2391" s="15" t="s">
        <v>2133</v>
      </c>
      <c r="H2391" s="15">
        <v>9805</v>
      </c>
      <c r="I2391" s="15">
        <v>1606.51</v>
      </c>
    </row>
    <row r="2392" spans="1:9">
      <c r="A2392" s="13">
        <v>44753</v>
      </c>
      <c r="B2392" s="91">
        <f t="shared" si="39"/>
        <v>2022</v>
      </c>
      <c r="C2392" s="15" t="s">
        <v>104</v>
      </c>
      <c r="D2392" s="15" t="s">
        <v>2142</v>
      </c>
      <c r="E2392" s="15" t="s">
        <v>2136</v>
      </c>
      <c r="F2392" s="15" t="s">
        <v>2120</v>
      </c>
      <c r="G2392" s="15" t="s">
        <v>2121</v>
      </c>
      <c r="H2392" s="15">
        <v>7809</v>
      </c>
      <c r="I2392" s="15">
        <v>1614.79</v>
      </c>
    </row>
    <row r="2393" spans="1:9">
      <c r="A2393" s="13">
        <v>44960</v>
      </c>
      <c r="B2393" s="91">
        <f t="shared" si="39"/>
        <v>2023</v>
      </c>
      <c r="C2393" s="15" t="s">
        <v>107</v>
      </c>
      <c r="D2393" s="15" t="s">
        <v>2126</v>
      </c>
      <c r="E2393" s="15" t="s">
        <v>2136</v>
      </c>
      <c r="F2393" s="15" t="s">
        <v>2138</v>
      </c>
      <c r="G2393" s="15" t="s">
        <v>2149</v>
      </c>
      <c r="H2393" s="15">
        <v>2548</v>
      </c>
      <c r="I2393" s="15">
        <v>665.46</v>
      </c>
    </row>
    <row r="2394" spans="1:9">
      <c r="A2394" s="13">
        <v>45332</v>
      </c>
      <c r="B2394" s="91">
        <f t="shared" si="39"/>
        <v>2024</v>
      </c>
      <c r="C2394" s="15" t="s">
        <v>107</v>
      </c>
      <c r="D2394" s="15" t="s">
        <v>2135</v>
      </c>
      <c r="E2394" s="15" t="s">
        <v>2144</v>
      </c>
      <c r="F2394" s="15" t="s">
        <v>2120</v>
      </c>
      <c r="G2394" s="15" t="s">
        <v>2132</v>
      </c>
      <c r="H2394" s="15">
        <v>5210</v>
      </c>
      <c r="I2394" s="15">
        <v>1167.42</v>
      </c>
    </row>
    <row r="2395" spans="1:9">
      <c r="A2395" s="13">
        <v>45220</v>
      </c>
      <c r="B2395" s="91">
        <f t="shared" si="39"/>
        <v>2023</v>
      </c>
      <c r="C2395" s="15" t="s">
        <v>2141</v>
      </c>
      <c r="D2395" s="15" t="s">
        <v>2114</v>
      </c>
      <c r="E2395" s="15" t="s">
        <v>2143</v>
      </c>
      <c r="F2395" s="15" t="s">
        <v>2116</v>
      </c>
      <c r="G2395" s="15" t="s">
        <v>2127</v>
      </c>
      <c r="H2395" s="15">
        <v>9164</v>
      </c>
      <c r="I2395" s="15">
        <v>2477.8000000000002</v>
      </c>
    </row>
    <row r="2396" spans="1:9">
      <c r="A2396" s="13">
        <v>44876</v>
      </c>
      <c r="B2396" s="91">
        <f t="shared" si="39"/>
        <v>2022</v>
      </c>
      <c r="C2396" s="15" t="s">
        <v>107</v>
      </c>
      <c r="D2396" s="15" t="s">
        <v>2142</v>
      </c>
      <c r="E2396" s="15" t="s">
        <v>2119</v>
      </c>
      <c r="F2396" s="15" t="s">
        <v>2120</v>
      </c>
      <c r="G2396" s="15" t="s">
        <v>2133</v>
      </c>
      <c r="H2396" s="15">
        <v>3488</v>
      </c>
      <c r="I2396" s="15">
        <v>956.38</v>
      </c>
    </row>
    <row r="2397" spans="1:9">
      <c r="A2397" s="13">
        <v>45652</v>
      </c>
      <c r="B2397" s="91">
        <f t="shared" si="39"/>
        <v>2024</v>
      </c>
      <c r="C2397" s="15" t="s">
        <v>2141</v>
      </c>
      <c r="D2397" s="15" t="s">
        <v>2135</v>
      </c>
      <c r="E2397" s="15" t="s">
        <v>2119</v>
      </c>
      <c r="F2397" s="15" t="s">
        <v>2138</v>
      </c>
      <c r="G2397" s="15" t="s">
        <v>2139</v>
      </c>
      <c r="H2397" s="15">
        <v>7301</v>
      </c>
      <c r="I2397" s="15">
        <v>1836.98</v>
      </c>
    </row>
    <row r="2398" spans="1:9">
      <c r="A2398" s="13">
        <v>45268</v>
      </c>
      <c r="B2398" s="91">
        <f t="shared" si="39"/>
        <v>2023</v>
      </c>
      <c r="C2398" s="15" t="s">
        <v>2113</v>
      </c>
      <c r="D2398" s="15" t="s">
        <v>2118</v>
      </c>
      <c r="E2398" s="15" t="s">
        <v>2115</v>
      </c>
      <c r="F2398" s="15" t="s">
        <v>2124</v>
      </c>
      <c r="G2398" s="15" t="s">
        <v>2125</v>
      </c>
      <c r="H2398" s="15">
        <v>4667</v>
      </c>
      <c r="I2398" s="15">
        <v>1335.39</v>
      </c>
    </row>
    <row r="2399" spans="1:9">
      <c r="A2399" s="13">
        <v>44885</v>
      </c>
      <c r="B2399" s="91">
        <f t="shared" si="39"/>
        <v>2022</v>
      </c>
      <c r="C2399" s="15" t="s">
        <v>2141</v>
      </c>
      <c r="D2399" s="15" t="s">
        <v>2135</v>
      </c>
      <c r="E2399" s="15" t="s">
        <v>2143</v>
      </c>
      <c r="F2399" s="15" t="s">
        <v>2120</v>
      </c>
      <c r="G2399" s="15" t="s">
        <v>2121</v>
      </c>
      <c r="H2399" s="15">
        <v>9083</v>
      </c>
      <c r="I2399" s="15">
        <v>2407.6</v>
      </c>
    </row>
    <row r="2400" spans="1:9">
      <c r="A2400" s="13">
        <v>45224</v>
      </c>
      <c r="B2400" s="91">
        <f t="shared" si="39"/>
        <v>2023</v>
      </c>
      <c r="C2400" s="15" t="s">
        <v>2113</v>
      </c>
      <c r="D2400" s="15" t="s">
        <v>2128</v>
      </c>
      <c r="E2400" s="15" t="s">
        <v>2143</v>
      </c>
      <c r="F2400" s="15" t="s">
        <v>2116</v>
      </c>
      <c r="G2400" s="15" t="s">
        <v>2117</v>
      </c>
      <c r="H2400" s="15">
        <v>1741</v>
      </c>
      <c r="I2400" s="15">
        <v>206.83</v>
      </c>
    </row>
    <row r="2401" spans="1:9">
      <c r="A2401" s="13">
        <v>44806</v>
      </c>
      <c r="B2401" s="91">
        <f t="shared" si="39"/>
        <v>2022</v>
      </c>
      <c r="C2401" s="15" t="s">
        <v>104</v>
      </c>
      <c r="D2401" s="15" t="s">
        <v>2118</v>
      </c>
      <c r="E2401" s="15" t="s">
        <v>2115</v>
      </c>
      <c r="F2401" s="15" t="s">
        <v>2124</v>
      </c>
      <c r="G2401" s="15" t="s">
        <v>2130</v>
      </c>
      <c r="H2401" s="15">
        <v>3759</v>
      </c>
      <c r="I2401" s="15">
        <v>669.77</v>
      </c>
    </row>
    <row r="2402" spans="1:9">
      <c r="A2402" s="13">
        <v>45248</v>
      </c>
      <c r="B2402" s="91">
        <f t="shared" si="39"/>
        <v>2023</v>
      </c>
      <c r="C2402" s="15" t="s">
        <v>2141</v>
      </c>
      <c r="D2402" s="15" t="s">
        <v>2114</v>
      </c>
      <c r="E2402" s="15" t="s">
        <v>2143</v>
      </c>
      <c r="F2402" s="15" t="s">
        <v>2116</v>
      </c>
      <c r="G2402" s="15" t="s">
        <v>2154</v>
      </c>
      <c r="H2402" s="15">
        <v>8972</v>
      </c>
      <c r="I2402" s="15">
        <v>1650.37</v>
      </c>
    </row>
    <row r="2403" spans="1:9">
      <c r="A2403" s="13">
        <v>44565</v>
      </c>
      <c r="B2403" s="91">
        <f t="shared" si="39"/>
        <v>2022</v>
      </c>
      <c r="C2403" s="15" t="s">
        <v>2141</v>
      </c>
      <c r="D2403" s="15" t="s">
        <v>2118</v>
      </c>
      <c r="E2403" s="15" t="s">
        <v>2144</v>
      </c>
      <c r="F2403" s="15" t="s">
        <v>2120</v>
      </c>
      <c r="G2403" s="15" t="s">
        <v>2132</v>
      </c>
      <c r="H2403" s="15">
        <v>6791</v>
      </c>
      <c r="I2403" s="15">
        <v>1187.24</v>
      </c>
    </row>
    <row r="2404" spans="1:9">
      <c r="A2404" s="13">
        <v>45316</v>
      </c>
      <c r="B2404" s="91">
        <f t="shared" si="39"/>
        <v>2024</v>
      </c>
      <c r="C2404" s="15" t="s">
        <v>2141</v>
      </c>
      <c r="D2404" s="15" t="s">
        <v>2142</v>
      </c>
      <c r="E2404" s="15" t="s">
        <v>2134</v>
      </c>
      <c r="F2404" s="15" t="s">
        <v>2138</v>
      </c>
      <c r="G2404" s="15" t="s">
        <v>2146</v>
      </c>
      <c r="H2404" s="15">
        <v>5657</v>
      </c>
      <c r="I2404" s="15">
        <v>1444.89</v>
      </c>
    </row>
    <row r="2405" spans="1:9">
      <c r="A2405" s="13">
        <v>45230</v>
      </c>
      <c r="B2405" s="91">
        <f t="shared" si="39"/>
        <v>2023</v>
      </c>
      <c r="C2405" s="15" t="s">
        <v>107</v>
      </c>
      <c r="D2405" s="15" t="s">
        <v>2114</v>
      </c>
      <c r="E2405" s="15" t="s">
        <v>2134</v>
      </c>
      <c r="F2405" s="15" t="s">
        <v>2138</v>
      </c>
      <c r="G2405" s="15" t="s">
        <v>2149</v>
      </c>
      <c r="H2405" s="15">
        <v>6913</v>
      </c>
      <c r="I2405" s="15">
        <v>1598.32</v>
      </c>
    </row>
    <row r="2406" spans="1:9">
      <c r="A2406" s="13">
        <v>44786</v>
      </c>
      <c r="B2406" s="91">
        <f t="shared" si="39"/>
        <v>2022</v>
      </c>
      <c r="C2406" s="15" t="s">
        <v>107</v>
      </c>
      <c r="D2406" s="15" t="s">
        <v>2148</v>
      </c>
      <c r="E2406" s="15" t="s">
        <v>2144</v>
      </c>
      <c r="F2406" s="15" t="s">
        <v>2120</v>
      </c>
      <c r="G2406" s="15" t="s">
        <v>2133</v>
      </c>
      <c r="H2406" s="15">
        <v>7004</v>
      </c>
      <c r="I2406" s="15">
        <v>1459.83</v>
      </c>
    </row>
    <row r="2407" spans="1:9">
      <c r="A2407" s="13">
        <v>45395</v>
      </c>
      <c r="B2407" s="91">
        <f t="shared" si="39"/>
        <v>2024</v>
      </c>
      <c r="C2407" s="15" t="s">
        <v>2113</v>
      </c>
      <c r="D2407" s="15" t="s">
        <v>2126</v>
      </c>
      <c r="E2407" s="15" t="s">
        <v>2145</v>
      </c>
      <c r="F2407" s="15" t="s">
        <v>2116</v>
      </c>
      <c r="G2407" s="15" t="s">
        <v>2117</v>
      </c>
      <c r="H2407" s="15">
        <v>8602</v>
      </c>
      <c r="I2407" s="15">
        <v>1568.25</v>
      </c>
    </row>
    <row r="2408" spans="1:9">
      <c r="A2408" s="13">
        <v>45648</v>
      </c>
      <c r="B2408" s="91">
        <f t="shared" si="39"/>
        <v>2024</v>
      </c>
      <c r="C2408" s="15" t="s">
        <v>2113</v>
      </c>
      <c r="D2408" s="15" t="s">
        <v>2131</v>
      </c>
      <c r="E2408" s="15" t="s">
        <v>2136</v>
      </c>
      <c r="F2408" s="15" t="s">
        <v>2124</v>
      </c>
      <c r="G2408" s="15" t="s">
        <v>2125</v>
      </c>
      <c r="H2408" s="15">
        <v>7776</v>
      </c>
      <c r="I2408" s="15">
        <v>2268.2800000000002</v>
      </c>
    </row>
    <row r="2409" spans="1:9">
      <c r="A2409" s="13">
        <v>45121</v>
      </c>
      <c r="B2409" s="91">
        <f t="shared" si="39"/>
        <v>2023</v>
      </c>
      <c r="C2409" s="15" t="s">
        <v>107</v>
      </c>
      <c r="D2409" s="15" t="s">
        <v>2135</v>
      </c>
      <c r="E2409" s="15" t="s">
        <v>2119</v>
      </c>
      <c r="F2409" s="15" t="s">
        <v>2120</v>
      </c>
      <c r="G2409" s="15" t="s">
        <v>2132</v>
      </c>
      <c r="H2409" s="15">
        <v>9058</v>
      </c>
      <c r="I2409" s="15">
        <v>2303.0100000000002</v>
      </c>
    </row>
    <row r="2410" spans="1:9">
      <c r="A2410" s="13">
        <v>44877</v>
      </c>
      <c r="B2410" s="91">
        <f t="shared" si="39"/>
        <v>2022</v>
      </c>
      <c r="C2410" s="15" t="s">
        <v>2113</v>
      </c>
      <c r="D2410" s="15" t="s">
        <v>2153</v>
      </c>
      <c r="E2410" s="15" t="s">
        <v>2144</v>
      </c>
      <c r="F2410" s="15" t="s">
        <v>2116</v>
      </c>
      <c r="G2410" s="15" t="s">
        <v>2127</v>
      </c>
      <c r="H2410" s="15">
        <v>2971</v>
      </c>
      <c r="I2410" s="15">
        <v>511.36</v>
      </c>
    </row>
    <row r="2411" spans="1:9">
      <c r="A2411" s="13">
        <v>45079</v>
      </c>
      <c r="B2411" s="91">
        <f t="shared" si="39"/>
        <v>2023</v>
      </c>
      <c r="C2411" s="15" t="s">
        <v>2113</v>
      </c>
      <c r="D2411" s="15" t="s">
        <v>2131</v>
      </c>
      <c r="E2411" s="15" t="s">
        <v>2145</v>
      </c>
      <c r="F2411" s="15" t="s">
        <v>2116</v>
      </c>
      <c r="G2411" s="15" t="s">
        <v>2154</v>
      </c>
      <c r="H2411" s="15">
        <v>2094</v>
      </c>
      <c r="I2411" s="15">
        <v>433.1</v>
      </c>
    </row>
    <row r="2412" spans="1:9">
      <c r="A2412" s="13">
        <v>45423</v>
      </c>
      <c r="B2412" s="91">
        <f t="shared" si="39"/>
        <v>2024</v>
      </c>
      <c r="C2412" s="15" t="s">
        <v>107</v>
      </c>
      <c r="D2412" s="15" t="s">
        <v>2118</v>
      </c>
      <c r="E2412" s="15" t="s">
        <v>2136</v>
      </c>
      <c r="F2412" s="15" t="s">
        <v>2120</v>
      </c>
      <c r="G2412" s="15" t="s">
        <v>2121</v>
      </c>
      <c r="H2412" s="15">
        <v>2183</v>
      </c>
      <c r="I2412" s="15">
        <v>570.70000000000005</v>
      </c>
    </row>
    <row r="2413" spans="1:9">
      <c r="A2413" s="13">
        <v>44873</v>
      </c>
      <c r="B2413" s="91">
        <f t="shared" si="39"/>
        <v>2022</v>
      </c>
      <c r="C2413" s="15" t="s">
        <v>2113</v>
      </c>
      <c r="D2413" s="15" t="s">
        <v>2114</v>
      </c>
      <c r="E2413" s="15" t="s">
        <v>2134</v>
      </c>
      <c r="F2413" s="15" t="s">
        <v>2138</v>
      </c>
      <c r="G2413" s="15" t="s">
        <v>2139</v>
      </c>
      <c r="H2413" s="15">
        <v>5154</v>
      </c>
      <c r="I2413" s="15">
        <v>1138.92</v>
      </c>
    </row>
    <row r="2414" spans="1:9">
      <c r="A2414" s="13">
        <v>45149</v>
      </c>
      <c r="B2414" s="91">
        <f t="shared" si="39"/>
        <v>2023</v>
      </c>
      <c r="C2414" s="15" t="s">
        <v>107</v>
      </c>
      <c r="D2414" s="15" t="s">
        <v>2114</v>
      </c>
      <c r="E2414" s="15" t="s">
        <v>2151</v>
      </c>
      <c r="F2414" s="15" t="s">
        <v>2120</v>
      </c>
      <c r="G2414" s="15" t="s">
        <v>2132</v>
      </c>
      <c r="H2414" s="15">
        <v>4599</v>
      </c>
      <c r="I2414" s="15">
        <v>1009.47</v>
      </c>
    </row>
    <row r="2415" spans="1:9">
      <c r="A2415" s="13">
        <v>44885</v>
      </c>
      <c r="B2415" s="91">
        <f t="shared" si="39"/>
        <v>2022</v>
      </c>
      <c r="C2415" s="15" t="s">
        <v>2141</v>
      </c>
      <c r="D2415" s="15" t="s">
        <v>2148</v>
      </c>
      <c r="E2415" s="15" t="s">
        <v>2136</v>
      </c>
      <c r="F2415" s="15" t="s">
        <v>2138</v>
      </c>
      <c r="G2415" s="15" t="s">
        <v>2149</v>
      </c>
      <c r="H2415" s="15">
        <v>6263</v>
      </c>
      <c r="I2415" s="15">
        <v>1612.52</v>
      </c>
    </row>
    <row r="2416" spans="1:9">
      <c r="A2416" s="13">
        <v>45386</v>
      </c>
      <c r="B2416" s="91">
        <f t="shared" si="39"/>
        <v>2024</v>
      </c>
      <c r="C2416" s="15" t="s">
        <v>2113</v>
      </c>
      <c r="D2416" s="15" t="s">
        <v>2131</v>
      </c>
      <c r="E2416" s="15" t="s">
        <v>2145</v>
      </c>
      <c r="F2416" s="15" t="s">
        <v>2138</v>
      </c>
      <c r="G2416" s="15" t="s">
        <v>2146</v>
      </c>
      <c r="H2416" s="15">
        <v>8036</v>
      </c>
      <c r="I2416" s="15">
        <v>1140.95</v>
      </c>
    </row>
    <row r="2417" spans="1:9">
      <c r="A2417" s="13">
        <v>45204</v>
      </c>
      <c r="B2417" s="91">
        <f t="shared" si="39"/>
        <v>2023</v>
      </c>
      <c r="C2417" s="15" t="s">
        <v>104</v>
      </c>
      <c r="D2417" s="15" t="s">
        <v>2118</v>
      </c>
      <c r="E2417" s="15" t="s">
        <v>2123</v>
      </c>
      <c r="F2417" s="15" t="s">
        <v>2116</v>
      </c>
      <c r="G2417" s="15" t="s">
        <v>2127</v>
      </c>
      <c r="H2417" s="15">
        <v>7901</v>
      </c>
      <c r="I2417" s="15">
        <v>891.5</v>
      </c>
    </row>
    <row r="2418" spans="1:9">
      <c r="A2418" s="13">
        <v>44974</v>
      </c>
      <c r="B2418" s="91">
        <f t="shared" si="39"/>
        <v>2023</v>
      </c>
      <c r="C2418" s="15" t="s">
        <v>107</v>
      </c>
      <c r="D2418" s="15" t="s">
        <v>2128</v>
      </c>
      <c r="E2418" s="15" t="s">
        <v>2136</v>
      </c>
      <c r="F2418" s="15" t="s">
        <v>2124</v>
      </c>
      <c r="G2418" s="15" t="s">
        <v>2140</v>
      </c>
      <c r="H2418" s="15">
        <v>2202</v>
      </c>
      <c r="I2418" s="15">
        <v>447.68</v>
      </c>
    </row>
    <row r="2419" spans="1:9">
      <c r="A2419" s="13">
        <v>45221</v>
      </c>
      <c r="B2419" s="91">
        <f t="shared" si="39"/>
        <v>2023</v>
      </c>
      <c r="C2419" s="15" t="s">
        <v>104</v>
      </c>
      <c r="D2419" s="15" t="s">
        <v>2153</v>
      </c>
      <c r="E2419" s="15" t="s">
        <v>2115</v>
      </c>
      <c r="F2419" s="15" t="s">
        <v>2116</v>
      </c>
      <c r="G2419" s="15" t="s">
        <v>2117</v>
      </c>
      <c r="H2419" s="15">
        <v>1393</v>
      </c>
      <c r="I2419" s="15">
        <v>164.43</v>
      </c>
    </row>
    <row r="2420" spans="1:9">
      <c r="A2420" s="13">
        <v>45545</v>
      </c>
      <c r="B2420" s="91">
        <f t="shared" si="39"/>
        <v>2024</v>
      </c>
      <c r="C2420" s="15" t="s">
        <v>2141</v>
      </c>
      <c r="D2420" s="15" t="s">
        <v>2126</v>
      </c>
      <c r="E2420" s="15" t="s">
        <v>2143</v>
      </c>
      <c r="F2420" s="15" t="s">
        <v>2124</v>
      </c>
      <c r="G2420" s="15" t="s">
        <v>2125</v>
      </c>
      <c r="H2420" s="15">
        <v>2594</v>
      </c>
      <c r="I2420" s="15">
        <v>356.9</v>
      </c>
    </row>
    <row r="2421" spans="1:9">
      <c r="A2421" s="13">
        <v>44805</v>
      </c>
      <c r="B2421" s="91">
        <f t="shared" si="39"/>
        <v>2022</v>
      </c>
      <c r="C2421" s="15" t="s">
        <v>2141</v>
      </c>
      <c r="D2421" s="15" t="s">
        <v>2152</v>
      </c>
      <c r="E2421" s="15" t="s">
        <v>2145</v>
      </c>
      <c r="F2421" s="15" t="s">
        <v>2138</v>
      </c>
      <c r="G2421" s="15" t="s">
        <v>2146</v>
      </c>
      <c r="H2421" s="15">
        <v>2477</v>
      </c>
      <c r="I2421" s="15">
        <v>398.67</v>
      </c>
    </row>
    <row r="2422" spans="1:9">
      <c r="A2422" s="13">
        <v>45025</v>
      </c>
      <c r="B2422" s="91">
        <f t="shared" si="39"/>
        <v>2023</v>
      </c>
      <c r="C2422" s="15" t="s">
        <v>2113</v>
      </c>
      <c r="D2422" s="15" t="s">
        <v>2135</v>
      </c>
      <c r="E2422" s="15" t="s">
        <v>2145</v>
      </c>
      <c r="F2422" s="15" t="s">
        <v>2116</v>
      </c>
      <c r="G2422" s="15" t="s">
        <v>2127</v>
      </c>
      <c r="H2422" s="15">
        <v>5311</v>
      </c>
      <c r="I2422" s="15">
        <v>1079.25</v>
      </c>
    </row>
    <row r="2423" spans="1:9">
      <c r="A2423" s="13">
        <v>45274</v>
      </c>
      <c r="B2423" s="91">
        <f t="shared" si="39"/>
        <v>2023</v>
      </c>
      <c r="C2423" s="15" t="s">
        <v>2141</v>
      </c>
      <c r="D2423" s="15" t="s">
        <v>2135</v>
      </c>
      <c r="E2423" s="15" t="s">
        <v>2144</v>
      </c>
      <c r="F2423" s="15" t="s">
        <v>2138</v>
      </c>
      <c r="G2423" s="15" t="s">
        <v>2146</v>
      </c>
      <c r="H2423" s="15">
        <v>2059</v>
      </c>
      <c r="I2423" s="15">
        <v>435.39</v>
      </c>
    </row>
    <row r="2424" spans="1:9">
      <c r="A2424" s="13">
        <v>45519</v>
      </c>
      <c r="B2424" s="91">
        <f t="shared" si="39"/>
        <v>2024</v>
      </c>
      <c r="C2424" s="15" t="s">
        <v>107</v>
      </c>
      <c r="D2424" s="15" t="s">
        <v>2148</v>
      </c>
      <c r="E2424" s="15" t="s">
        <v>2123</v>
      </c>
      <c r="F2424" s="15" t="s">
        <v>2124</v>
      </c>
      <c r="G2424" s="15" t="s">
        <v>2130</v>
      </c>
      <c r="H2424" s="15">
        <v>7005</v>
      </c>
      <c r="I2424" s="15">
        <v>1976.8</v>
      </c>
    </row>
    <row r="2425" spans="1:9">
      <c r="A2425" s="13">
        <v>45251</v>
      </c>
      <c r="B2425" s="91">
        <f t="shared" si="39"/>
        <v>2023</v>
      </c>
      <c r="C2425" s="15" t="s">
        <v>104</v>
      </c>
      <c r="D2425" s="15" t="s">
        <v>2126</v>
      </c>
      <c r="E2425" s="15" t="s">
        <v>2129</v>
      </c>
      <c r="F2425" s="15" t="s">
        <v>2116</v>
      </c>
      <c r="G2425" s="15" t="s">
        <v>2127</v>
      </c>
      <c r="H2425" s="15">
        <v>4633</v>
      </c>
      <c r="I2425" s="15">
        <v>495.4</v>
      </c>
    </row>
    <row r="2426" spans="1:9">
      <c r="A2426" s="13">
        <v>45619</v>
      </c>
      <c r="B2426" s="91">
        <f t="shared" si="39"/>
        <v>2024</v>
      </c>
      <c r="C2426" s="15" t="s">
        <v>107</v>
      </c>
      <c r="D2426" s="15" t="s">
        <v>2126</v>
      </c>
      <c r="E2426" s="15" t="s">
        <v>2115</v>
      </c>
      <c r="F2426" s="15" t="s">
        <v>2138</v>
      </c>
      <c r="G2426" s="15" t="s">
        <v>2139</v>
      </c>
      <c r="H2426" s="15">
        <v>8903</v>
      </c>
      <c r="I2426" s="15">
        <v>2470.38</v>
      </c>
    </row>
    <row r="2427" spans="1:9">
      <c r="A2427" s="13">
        <v>44720</v>
      </c>
      <c r="B2427" s="91">
        <f t="shared" si="39"/>
        <v>2022</v>
      </c>
      <c r="C2427" s="15" t="s">
        <v>107</v>
      </c>
      <c r="D2427" s="15" t="s">
        <v>2126</v>
      </c>
      <c r="E2427" s="15" t="s">
        <v>2134</v>
      </c>
      <c r="F2427" s="15" t="s">
        <v>2116</v>
      </c>
      <c r="G2427" s="15" t="s">
        <v>2117</v>
      </c>
      <c r="H2427" s="15">
        <v>5130</v>
      </c>
      <c r="I2427" s="15">
        <v>1414.97</v>
      </c>
    </row>
    <row r="2428" spans="1:9">
      <c r="A2428" s="13">
        <v>45018</v>
      </c>
      <c r="B2428" s="91">
        <f t="shared" si="39"/>
        <v>2023</v>
      </c>
      <c r="C2428" s="15" t="s">
        <v>104</v>
      </c>
      <c r="D2428" s="15" t="s">
        <v>2131</v>
      </c>
      <c r="E2428" s="15" t="s">
        <v>2123</v>
      </c>
      <c r="F2428" s="15" t="s">
        <v>2116</v>
      </c>
      <c r="G2428" s="15" t="s">
        <v>2117</v>
      </c>
      <c r="H2428" s="15">
        <v>8130</v>
      </c>
      <c r="I2428" s="15">
        <v>2365.7600000000002</v>
      </c>
    </row>
    <row r="2429" spans="1:9">
      <c r="A2429" s="13">
        <v>44763</v>
      </c>
      <c r="B2429" s="91">
        <f t="shared" si="39"/>
        <v>2022</v>
      </c>
      <c r="C2429" s="15" t="s">
        <v>104</v>
      </c>
      <c r="D2429" s="15" t="s">
        <v>2142</v>
      </c>
      <c r="E2429" s="15" t="s">
        <v>2119</v>
      </c>
      <c r="F2429" s="15" t="s">
        <v>2138</v>
      </c>
      <c r="G2429" s="15" t="s">
        <v>2139</v>
      </c>
      <c r="H2429" s="15">
        <v>2389</v>
      </c>
      <c r="I2429" s="15">
        <v>556.86</v>
      </c>
    </row>
    <row r="2430" spans="1:9">
      <c r="A2430" s="13">
        <v>44855</v>
      </c>
      <c r="B2430" s="91">
        <f t="shared" si="39"/>
        <v>2022</v>
      </c>
      <c r="C2430" s="15" t="s">
        <v>107</v>
      </c>
      <c r="D2430" s="15" t="s">
        <v>2148</v>
      </c>
      <c r="E2430" s="15" t="s">
        <v>2143</v>
      </c>
      <c r="F2430" s="15" t="s">
        <v>2124</v>
      </c>
      <c r="G2430" s="15" t="s">
        <v>2140</v>
      </c>
      <c r="H2430" s="15">
        <v>7266</v>
      </c>
      <c r="I2430" s="15">
        <v>2090.4899999999998</v>
      </c>
    </row>
    <row r="2431" spans="1:9">
      <c r="A2431" s="13">
        <v>44995</v>
      </c>
      <c r="B2431" s="91">
        <f t="shared" si="39"/>
        <v>2023</v>
      </c>
      <c r="C2431" s="15" t="s">
        <v>2141</v>
      </c>
      <c r="D2431" s="15" t="s">
        <v>2126</v>
      </c>
      <c r="E2431" s="15" t="s">
        <v>2143</v>
      </c>
      <c r="F2431" s="15" t="s">
        <v>2124</v>
      </c>
      <c r="G2431" s="15" t="s">
        <v>2125</v>
      </c>
      <c r="H2431" s="15">
        <v>7422</v>
      </c>
      <c r="I2431" s="15">
        <v>1622.56</v>
      </c>
    </row>
    <row r="2432" spans="1:9">
      <c r="A2432" s="13">
        <v>44938</v>
      </c>
      <c r="B2432" s="91">
        <f t="shared" si="39"/>
        <v>2023</v>
      </c>
      <c r="C2432" s="15" t="s">
        <v>2141</v>
      </c>
      <c r="D2432" s="15" t="s">
        <v>2152</v>
      </c>
      <c r="E2432" s="15" t="s">
        <v>2134</v>
      </c>
      <c r="F2432" s="15" t="s">
        <v>2138</v>
      </c>
      <c r="G2432" s="15" t="s">
        <v>2149</v>
      </c>
      <c r="H2432" s="15">
        <v>9026</v>
      </c>
      <c r="I2432" s="15">
        <v>2269.9699999999998</v>
      </c>
    </row>
    <row r="2433" spans="1:9">
      <c r="A2433" s="13">
        <v>45503</v>
      </c>
      <c r="B2433" s="91">
        <f t="shared" si="39"/>
        <v>2024</v>
      </c>
      <c r="C2433" s="15" t="s">
        <v>2113</v>
      </c>
      <c r="D2433" s="15" t="s">
        <v>2142</v>
      </c>
      <c r="E2433" s="15" t="s">
        <v>2144</v>
      </c>
      <c r="F2433" s="15" t="s">
        <v>2138</v>
      </c>
      <c r="G2433" s="15" t="s">
        <v>2139</v>
      </c>
      <c r="H2433" s="15">
        <v>4172</v>
      </c>
      <c r="I2433" s="15">
        <v>905.44</v>
      </c>
    </row>
    <row r="2434" spans="1:9">
      <c r="A2434" s="13">
        <v>45452</v>
      </c>
      <c r="B2434" s="91">
        <f t="shared" si="39"/>
        <v>2024</v>
      </c>
      <c r="C2434" s="15" t="s">
        <v>104</v>
      </c>
      <c r="D2434" s="15" t="s">
        <v>2142</v>
      </c>
      <c r="E2434" s="15" t="s">
        <v>2151</v>
      </c>
      <c r="F2434" s="15" t="s">
        <v>2138</v>
      </c>
      <c r="G2434" s="15" t="s">
        <v>2139</v>
      </c>
      <c r="H2434" s="15">
        <v>2787</v>
      </c>
      <c r="I2434" s="15">
        <v>360.72</v>
      </c>
    </row>
    <row r="2435" spans="1:9">
      <c r="A2435" s="13">
        <v>44889</v>
      </c>
      <c r="B2435" s="91">
        <f t="shared" ref="B2435:B2498" si="40">YEAR(A2435)</f>
        <v>2022</v>
      </c>
      <c r="C2435" s="15" t="s">
        <v>2141</v>
      </c>
      <c r="D2435" s="15" t="s">
        <v>2128</v>
      </c>
      <c r="E2435" s="15" t="s">
        <v>2151</v>
      </c>
      <c r="F2435" s="15" t="s">
        <v>2120</v>
      </c>
      <c r="G2435" s="15" t="s">
        <v>2121</v>
      </c>
      <c r="H2435" s="15">
        <v>4325</v>
      </c>
      <c r="I2435" s="15">
        <v>973.51</v>
      </c>
    </row>
    <row r="2436" spans="1:9">
      <c r="A2436" s="13">
        <v>45248</v>
      </c>
      <c r="B2436" s="91">
        <f t="shared" si="40"/>
        <v>2023</v>
      </c>
      <c r="C2436" s="15" t="s">
        <v>2113</v>
      </c>
      <c r="D2436" s="15" t="s">
        <v>2126</v>
      </c>
      <c r="E2436" s="15" t="s">
        <v>2129</v>
      </c>
      <c r="F2436" s="15" t="s">
        <v>2120</v>
      </c>
      <c r="G2436" s="15" t="s">
        <v>2121</v>
      </c>
      <c r="H2436" s="15">
        <v>7092</v>
      </c>
      <c r="I2436" s="15">
        <v>1974.34</v>
      </c>
    </row>
    <row r="2437" spans="1:9">
      <c r="A2437" s="13">
        <v>45198</v>
      </c>
      <c r="B2437" s="91">
        <f t="shared" si="40"/>
        <v>2023</v>
      </c>
      <c r="C2437" s="15" t="s">
        <v>107</v>
      </c>
      <c r="D2437" s="15" t="s">
        <v>2152</v>
      </c>
      <c r="E2437" s="15" t="s">
        <v>2129</v>
      </c>
      <c r="F2437" s="15" t="s">
        <v>2120</v>
      </c>
      <c r="G2437" s="15" t="s">
        <v>2121</v>
      </c>
      <c r="H2437" s="15">
        <v>4008</v>
      </c>
      <c r="I2437" s="15">
        <v>605.15</v>
      </c>
    </row>
    <row r="2438" spans="1:9">
      <c r="A2438" s="13">
        <v>44646</v>
      </c>
      <c r="B2438" s="91">
        <f t="shared" si="40"/>
        <v>2022</v>
      </c>
      <c r="C2438" s="15" t="s">
        <v>104</v>
      </c>
      <c r="D2438" s="15" t="s">
        <v>2126</v>
      </c>
      <c r="E2438" s="15" t="s">
        <v>2119</v>
      </c>
      <c r="F2438" s="15" t="s">
        <v>2120</v>
      </c>
      <c r="G2438" s="15" t="s">
        <v>2132</v>
      </c>
      <c r="H2438" s="15">
        <v>3437</v>
      </c>
      <c r="I2438" s="15">
        <v>917.94</v>
      </c>
    </row>
    <row r="2439" spans="1:9">
      <c r="A2439" s="13">
        <v>45252</v>
      </c>
      <c r="B2439" s="91">
        <f t="shared" si="40"/>
        <v>2023</v>
      </c>
      <c r="C2439" s="15" t="s">
        <v>107</v>
      </c>
      <c r="D2439" s="15" t="s">
        <v>2152</v>
      </c>
      <c r="E2439" s="15" t="s">
        <v>2119</v>
      </c>
      <c r="F2439" s="15" t="s">
        <v>2124</v>
      </c>
      <c r="G2439" s="15" t="s">
        <v>2140</v>
      </c>
      <c r="H2439" s="15">
        <v>6811</v>
      </c>
      <c r="I2439" s="15">
        <v>699.9</v>
      </c>
    </row>
    <row r="2440" spans="1:9">
      <c r="A2440" s="13">
        <v>45439</v>
      </c>
      <c r="B2440" s="91">
        <f t="shared" si="40"/>
        <v>2024</v>
      </c>
      <c r="C2440" s="15" t="s">
        <v>104</v>
      </c>
      <c r="D2440" s="15" t="s">
        <v>2142</v>
      </c>
      <c r="E2440" s="15" t="s">
        <v>2136</v>
      </c>
      <c r="F2440" s="15" t="s">
        <v>2116</v>
      </c>
      <c r="G2440" s="15" t="s">
        <v>2127</v>
      </c>
      <c r="H2440" s="15">
        <v>9297</v>
      </c>
      <c r="I2440" s="15">
        <v>2336.91</v>
      </c>
    </row>
    <row r="2441" spans="1:9">
      <c r="A2441" s="13">
        <v>44844</v>
      </c>
      <c r="B2441" s="91">
        <f t="shared" si="40"/>
        <v>2022</v>
      </c>
      <c r="C2441" s="15" t="s">
        <v>104</v>
      </c>
      <c r="D2441" s="15" t="s">
        <v>2142</v>
      </c>
      <c r="E2441" s="15" t="s">
        <v>2143</v>
      </c>
      <c r="F2441" s="15" t="s">
        <v>2120</v>
      </c>
      <c r="G2441" s="15" t="s">
        <v>2132</v>
      </c>
      <c r="H2441" s="15">
        <v>7853</v>
      </c>
      <c r="I2441" s="15">
        <v>884.1</v>
      </c>
    </row>
    <row r="2442" spans="1:9">
      <c r="A2442" s="13">
        <v>45300</v>
      </c>
      <c r="B2442" s="91">
        <f t="shared" si="40"/>
        <v>2024</v>
      </c>
      <c r="C2442" s="15" t="s">
        <v>104</v>
      </c>
      <c r="D2442" s="15" t="s">
        <v>2152</v>
      </c>
      <c r="E2442" s="15" t="s">
        <v>2115</v>
      </c>
      <c r="F2442" s="15" t="s">
        <v>2120</v>
      </c>
      <c r="G2442" s="15" t="s">
        <v>2133</v>
      </c>
      <c r="H2442" s="15">
        <v>1228</v>
      </c>
      <c r="I2442" s="15">
        <v>176.09</v>
      </c>
    </row>
    <row r="2443" spans="1:9">
      <c r="A2443" s="13">
        <v>45070</v>
      </c>
      <c r="B2443" s="91">
        <f t="shared" si="40"/>
        <v>2023</v>
      </c>
      <c r="C2443" s="15" t="s">
        <v>107</v>
      </c>
      <c r="D2443" s="15" t="s">
        <v>2152</v>
      </c>
      <c r="E2443" s="15" t="s">
        <v>2134</v>
      </c>
      <c r="F2443" s="15" t="s">
        <v>2138</v>
      </c>
      <c r="G2443" s="15" t="s">
        <v>2139</v>
      </c>
      <c r="H2443" s="15">
        <v>5869</v>
      </c>
      <c r="I2443" s="15">
        <v>1718.28</v>
      </c>
    </row>
    <row r="2444" spans="1:9">
      <c r="A2444" s="13">
        <v>45226</v>
      </c>
      <c r="B2444" s="91">
        <f t="shared" si="40"/>
        <v>2023</v>
      </c>
      <c r="C2444" s="15" t="s">
        <v>104</v>
      </c>
      <c r="D2444" s="15" t="s">
        <v>2152</v>
      </c>
      <c r="E2444" s="15" t="s">
        <v>2134</v>
      </c>
      <c r="F2444" s="15" t="s">
        <v>2116</v>
      </c>
      <c r="G2444" s="15" t="s">
        <v>2127</v>
      </c>
      <c r="H2444" s="15">
        <v>6589</v>
      </c>
      <c r="I2444" s="15">
        <v>1756.6</v>
      </c>
    </row>
    <row r="2445" spans="1:9">
      <c r="A2445" s="13">
        <v>44741</v>
      </c>
      <c r="B2445" s="91">
        <f t="shared" si="40"/>
        <v>2022</v>
      </c>
      <c r="C2445" s="15" t="s">
        <v>2141</v>
      </c>
      <c r="D2445" s="15" t="s">
        <v>2126</v>
      </c>
      <c r="E2445" s="15" t="s">
        <v>2151</v>
      </c>
      <c r="F2445" s="15" t="s">
        <v>2120</v>
      </c>
      <c r="G2445" s="15" t="s">
        <v>2121</v>
      </c>
      <c r="H2445" s="15">
        <v>5364</v>
      </c>
      <c r="I2445" s="15">
        <v>632.52</v>
      </c>
    </row>
    <row r="2446" spans="1:9">
      <c r="A2446" s="13">
        <v>45251</v>
      </c>
      <c r="B2446" s="91">
        <f t="shared" si="40"/>
        <v>2023</v>
      </c>
      <c r="C2446" s="15" t="s">
        <v>104</v>
      </c>
      <c r="D2446" s="15" t="s">
        <v>2135</v>
      </c>
      <c r="E2446" s="15" t="s">
        <v>2129</v>
      </c>
      <c r="F2446" s="15" t="s">
        <v>2120</v>
      </c>
      <c r="G2446" s="15" t="s">
        <v>2133</v>
      </c>
      <c r="H2446" s="15">
        <v>3413</v>
      </c>
      <c r="I2446" s="15">
        <v>986.72</v>
      </c>
    </row>
    <row r="2447" spans="1:9">
      <c r="A2447" s="13">
        <v>45407</v>
      </c>
      <c r="B2447" s="91">
        <f t="shared" si="40"/>
        <v>2024</v>
      </c>
      <c r="C2447" s="15" t="s">
        <v>104</v>
      </c>
      <c r="D2447" s="15" t="s">
        <v>2118</v>
      </c>
      <c r="E2447" s="15" t="s">
        <v>2129</v>
      </c>
      <c r="F2447" s="15" t="s">
        <v>2116</v>
      </c>
      <c r="G2447" s="15" t="s">
        <v>2154</v>
      </c>
      <c r="H2447" s="15">
        <v>5287</v>
      </c>
      <c r="I2447" s="15">
        <v>642.24</v>
      </c>
    </row>
    <row r="2448" spans="1:9">
      <c r="A2448" s="13">
        <v>45272</v>
      </c>
      <c r="B2448" s="91">
        <f t="shared" si="40"/>
        <v>2023</v>
      </c>
      <c r="C2448" s="15" t="s">
        <v>2141</v>
      </c>
      <c r="D2448" s="15" t="s">
        <v>2114</v>
      </c>
      <c r="E2448" s="15" t="s">
        <v>2144</v>
      </c>
      <c r="F2448" s="15" t="s">
        <v>2120</v>
      </c>
      <c r="G2448" s="15" t="s">
        <v>2133</v>
      </c>
      <c r="H2448" s="15">
        <v>2162</v>
      </c>
      <c r="I2448" s="15">
        <v>478.05</v>
      </c>
    </row>
    <row r="2449" spans="1:9">
      <c r="A2449" s="13">
        <v>45224</v>
      </c>
      <c r="B2449" s="91">
        <f t="shared" si="40"/>
        <v>2023</v>
      </c>
      <c r="C2449" s="15" t="s">
        <v>104</v>
      </c>
      <c r="D2449" s="15" t="s">
        <v>2128</v>
      </c>
      <c r="E2449" s="15" t="s">
        <v>2144</v>
      </c>
      <c r="F2449" s="15" t="s">
        <v>2120</v>
      </c>
      <c r="G2449" s="15" t="s">
        <v>2121</v>
      </c>
      <c r="H2449" s="15">
        <v>6421</v>
      </c>
      <c r="I2449" s="15">
        <v>795.62</v>
      </c>
    </row>
    <row r="2450" spans="1:9">
      <c r="A2450" s="13">
        <v>45046</v>
      </c>
      <c r="B2450" s="91">
        <f t="shared" si="40"/>
        <v>2023</v>
      </c>
      <c r="C2450" s="15" t="s">
        <v>104</v>
      </c>
      <c r="D2450" s="15" t="s">
        <v>2131</v>
      </c>
      <c r="E2450" s="15" t="s">
        <v>2144</v>
      </c>
      <c r="F2450" s="15" t="s">
        <v>2116</v>
      </c>
      <c r="G2450" s="15" t="s">
        <v>2127</v>
      </c>
      <c r="H2450" s="15">
        <v>8088</v>
      </c>
      <c r="I2450" s="15">
        <v>1159.8699999999999</v>
      </c>
    </row>
    <row r="2451" spans="1:9">
      <c r="A2451" s="13">
        <v>45545</v>
      </c>
      <c r="B2451" s="91">
        <f t="shared" si="40"/>
        <v>2024</v>
      </c>
      <c r="C2451" s="15" t="s">
        <v>2113</v>
      </c>
      <c r="D2451" s="15" t="s">
        <v>2135</v>
      </c>
      <c r="E2451" s="15" t="s">
        <v>2119</v>
      </c>
      <c r="F2451" s="15" t="s">
        <v>2120</v>
      </c>
      <c r="G2451" s="15" t="s">
        <v>2133</v>
      </c>
      <c r="H2451" s="15">
        <v>5427</v>
      </c>
      <c r="I2451" s="15">
        <v>1569.69</v>
      </c>
    </row>
    <row r="2452" spans="1:9">
      <c r="A2452" s="13">
        <v>45202</v>
      </c>
      <c r="B2452" s="91">
        <f t="shared" si="40"/>
        <v>2023</v>
      </c>
      <c r="C2452" s="15" t="s">
        <v>2141</v>
      </c>
      <c r="D2452" s="15" t="s">
        <v>2135</v>
      </c>
      <c r="E2452" s="15" t="s">
        <v>2129</v>
      </c>
      <c r="F2452" s="15" t="s">
        <v>2124</v>
      </c>
      <c r="G2452" s="15" t="s">
        <v>2140</v>
      </c>
      <c r="H2452" s="15">
        <v>8056</v>
      </c>
      <c r="I2452" s="15">
        <v>824.73</v>
      </c>
    </row>
    <row r="2453" spans="1:9">
      <c r="A2453" s="13">
        <v>44725</v>
      </c>
      <c r="B2453" s="91">
        <f t="shared" si="40"/>
        <v>2022</v>
      </c>
      <c r="C2453" s="15" t="s">
        <v>2113</v>
      </c>
      <c r="D2453" s="15" t="s">
        <v>2128</v>
      </c>
      <c r="E2453" s="15" t="s">
        <v>2144</v>
      </c>
      <c r="F2453" s="15" t="s">
        <v>2138</v>
      </c>
      <c r="G2453" s="15" t="s">
        <v>2139</v>
      </c>
      <c r="H2453" s="15">
        <v>6037</v>
      </c>
      <c r="I2453" s="15">
        <v>1004.08</v>
      </c>
    </row>
    <row r="2454" spans="1:9">
      <c r="A2454" s="13">
        <v>45004</v>
      </c>
      <c r="B2454" s="91">
        <f t="shared" si="40"/>
        <v>2023</v>
      </c>
      <c r="C2454" s="15" t="s">
        <v>2141</v>
      </c>
      <c r="D2454" s="15" t="s">
        <v>2128</v>
      </c>
      <c r="E2454" s="15" t="s">
        <v>2145</v>
      </c>
      <c r="F2454" s="15" t="s">
        <v>2116</v>
      </c>
      <c r="G2454" s="15" t="s">
        <v>2127</v>
      </c>
      <c r="H2454" s="15">
        <v>8765</v>
      </c>
      <c r="I2454" s="15">
        <v>2133.54</v>
      </c>
    </row>
    <row r="2455" spans="1:9">
      <c r="A2455" s="13">
        <v>45184</v>
      </c>
      <c r="B2455" s="91">
        <f t="shared" si="40"/>
        <v>2023</v>
      </c>
      <c r="C2455" s="15" t="s">
        <v>2141</v>
      </c>
      <c r="D2455" s="15" t="s">
        <v>2131</v>
      </c>
      <c r="E2455" s="15" t="s">
        <v>2143</v>
      </c>
      <c r="F2455" s="15" t="s">
        <v>2124</v>
      </c>
      <c r="G2455" s="15" t="s">
        <v>2125</v>
      </c>
      <c r="H2455" s="15">
        <v>5158</v>
      </c>
      <c r="I2455" s="15">
        <v>797.89</v>
      </c>
    </row>
    <row r="2456" spans="1:9">
      <c r="A2456" s="13">
        <v>45527</v>
      </c>
      <c r="B2456" s="91">
        <f t="shared" si="40"/>
        <v>2024</v>
      </c>
      <c r="C2456" s="15" t="s">
        <v>2113</v>
      </c>
      <c r="D2456" s="15" t="s">
        <v>2153</v>
      </c>
      <c r="E2456" s="15" t="s">
        <v>2143</v>
      </c>
      <c r="F2456" s="15" t="s">
        <v>2138</v>
      </c>
      <c r="G2456" s="15" t="s">
        <v>2146</v>
      </c>
      <c r="H2456" s="15">
        <v>2031</v>
      </c>
      <c r="I2456" s="15">
        <v>558.73</v>
      </c>
    </row>
    <row r="2457" spans="1:9">
      <c r="A2457" s="13">
        <v>44857</v>
      </c>
      <c r="B2457" s="91">
        <f t="shared" si="40"/>
        <v>2022</v>
      </c>
      <c r="C2457" s="15" t="s">
        <v>107</v>
      </c>
      <c r="D2457" s="15" t="s">
        <v>2142</v>
      </c>
      <c r="E2457" s="15" t="s">
        <v>2119</v>
      </c>
      <c r="F2457" s="15" t="s">
        <v>2124</v>
      </c>
      <c r="G2457" s="15" t="s">
        <v>2140</v>
      </c>
      <c r="H2457" s="15">
        <v>7228</v>
      </c>
      <c r="I2457" s="15">
        <v>1613.81</v>
      </c>
    </row>
    <row r="2458" spans="1:9">
      <c r="A2458" s="13">
        <v>45226</v>
      </c>
      <c r="B2458" s="91">
        <f t="shared" si="40"/>
        <v>2023</v>
      </c>
      <c r="C2458" s="15" t="s">
        <v>104</v>
      </c>
      <c r="D2458" s="15" t="s">
        <v>2131</v>
      </c>
      <c r="E2458" s="15" t="s">
        <v>2151</v>
      </c>
      <c r="F2458" s="15" t="s">
        <v>2116</v>
      </c>
      <c r="G2458" s="15" t="s">
        <v>2127</v>
      </c>
      <c r="H2458" s="15">
        <v>1469</v>
      </c>
      <c r="I2458" s="15">
        <v>159.01</v>
      </c>
    </row>
    <row r="2459" spans="1:9">
      <c r="A2459" s="13">
        <v>45100</v>
      </c>
      <c r="B2459" s="91">
        <f t="shared" si="40"/>
        <v>2023</v>
      </c>
      <c r="C2459" s="15" t="s">
        <v>2113</v>
      </c>
      <c r="D2459" s="15" t="s">
        <v>2126</v>
      </c>
      <c r="E2459" s="15" t="s">
        <v>2134</v>
      </c>
      <c r="F2459" s="15" t="s">
        <v>2116</v>
      </c>
      <c r="G2459" s="15" t="s">
        <v>2154</v>
      </c>
      <c r="H2459" s="15">
        <v>4892</v>
      </c>
      <c r="I2459" s="15">
        <v>1038.78</v>
      </c>
    </row>
    <row r="2460" spans="1:9">
      <c r="A2460" s="13">
        <v>45035</v>
      </c>
      <c r="B2460" s="91">
        <f t="shared" si="40"/>
        <v>2023</v>
      </c>
      <c r="C2460" s="15" t="s">
        <v>107</v>
      </c>
      <c r="D2460" s="15" t="s">
        <v>2118</v>
      </c>
      <c r="E2460" s="15" t="s">
        <v>2123</v>
      </c>
      <c r="F2460" s="15" t="s">
        <v>2124</v>
      </c>
      <c r="G2460" s="15" t="s">
        <v>2125</v>
      </c>
      <c r="H2460" s="15">
        <v>2889</v>
      </c>
      <c r="I2460" s="15">
        <v>830.05</v>
      </c>
    </row>
    <row r="2461" spans="1:9">
      <c r="A2461" s="13">
        <v>45267</v>
      </c>
      <c r="B2461" s="91">
        <f t="shared" si="40"/>
        <v>2023</v>
      </c>
      <c r="C2461" s="15" t="s">
        <v>2113</v>
      </c>
      <c r="D2461" s="15" t="s">
        <v>2148</v>
      </c>
      <c r="E2461" s="15" t="s">
        <v>2144</v>
      </c>
      <c r="F2461" s="15" t="s">
        <v>2116</v>
      </c>
      <c r="G2461" s="15" t="s">
        <v>2154</v>
      </c>
      <c r="H2461" s="15">
        <v>3784</v>
      </c>
      <c r="I2461" s="15">
        <v>672.62</v>
      </c>
    </row>
    <row r="2462" spans="1:9">
      <c r="A2462" s="13">
        <v>45064</v>
      </c>
      <c r="B2462" s="91">
        <f t="shared" si="40"/>
        <v>2023</v>
      </c>
      <c r="C2462" s="15" t="s">
        <v>2113</v>
      </c>
      <c r="D2462" s="15" t="s">
        <v>2118</v>
      </c>
      <c r="E2462" s="15" t="s">
        <v>2134</v>
      </c>
      <c r="F2462" s="15" t="s">
        <v>2138</v>
      </c>
      <c r="G2462" s="15" t="s">
        <v>2146</v>
      </c>
      <c r="H2462" s="15">
        <v>5001</v>
      </c>
      <c r="I2462" s="15">
        <v>1229.4000000000001</v>
      </c>
    </row>
    <row r="2463" spans="1:9">
      <c r="A2463" s="13">
        <v>44805</v>
      </c>
      <c r="B2463" s="91">
        <f t="shared" si="40"/>
        <v>2022</v>
      </c>
      <c r="C2463" s="15" t="s">
        <v>2141</v>
      </c>
      <c r="D2463" s="15" t="s">
        <v>2152</v>
      </c>
      <c r="E2463" s="15" t="s">
        <v>2119</v>
      </c>
      <c r="F2463" s="15" t="s">
        <v>2138</v>
      </c>
      <c r="G2463" s="15" t="s">
        <v>2146</v>
      </c>
      <c r="H2463" s="15">
        <v>3079</v>
      </c>
      <c r="I2463" s="15">
        <v>700.26</v>
      </c>
    </row>
    <row r="2464" spans="1:9">
      <c r="A2464" s="13">
        <v>45173</v>
      </c>
      <c r="B2464" s="91">
        <f t="shared" si="40"/>
        <v>2023</v>
      </c>
      <c r="C2464" s="15" t="s">
        <v>107</v>
      </c>
      <c r="D2464" s="15" t="s">
        <v>2142</v>
      </c>
      <c r="E2464" s="15" t="s">
        <v>2145</v>
      </c>
      <c r="F2464" s="15" t="s">
        <v>2120</v>
      </c>
      <c r="G2464" s="15" t="s">
        <v>2133</v>
      </c>
      <c r="H2464" s="15">
        <v>7741</v>
      </c>
      <c r="I2464" s="15">
        <v>1191.6099999999999</v>
      </c>
    </row>
    <row r="2465" spans="1:9">
      <c r="A2465" s="13">
        <v>45525</v>
      </c>
      <c r="B2465" s="91">
        <f t="shared" si="40"/>
        <v>2024</v>
      </c>
      <c r="C2465" s="15" t="s">
        <v>2141</v>
      </c>
      <c r="D2465" s="15" t="s">
        <v>2135</v>
      </c>
      <c r="E2465" s="15" t="s">
        <v>2151</v>
      </c>
      <c r="F2465" s="15" t="s">
        <v>2120</v>
      </c>
      <c r="G2465" s="15" t="s">
        <v>2133</v>
      </c>
      <c r="H2465" s="15">
        <v>6532</v>
      </c>
      <c r="I2465" s="15">
        <v>1776.99</v>
      </c>
    </row>
    <row r="2466" spans="1:9">
      <c r="A2466" s="13">
        <v>44567</v>
      </c>
      <c r="B2466" s="91">
        <f t="shared" si="40"/>
        <v>2022</v>
      </c>
      <c r="C2466" s="15" t="s">
        <v>104</v>
      </c>
      <c r="D2466" s="15" t="s">
        <v>2114</v>
      </c>
      <c r="E2466" s="15" t="s">
        <v>2145</v>
      </c>
      <c r="F2466" s="15" t="s">
        <v>2138</v>
      </c>
      <c r="G2466" s="15" t="s">
        <v>2139</v>
      </c>
      <c r="H2466" s="15">
        <v>1690</v>
      </c>
      <c r="I2466" s="15">
        <v>333.46</v>
      </c>
    </row>
    <row r="2467" spans="1:9">
      <c r="A2467" s="13">
        <v>45515</v>
      </c>
      <c r="B2467" s="91">
        <f t="shared" si="40"/>
        <v>2024</v>
      </c>
      <c r="C2467" s="15" t="s">
        <v>107</v>
      </c>
      <c r="D2467" s="15" t="s">
        <v>2153</v>
      </c>
      <c r="E2467" s="15" t="s">
        <v>2134</v>
      </c>
      <c r="F2467" s="15" t="s">
        <v>2116</v>
      </c>
      <c r="G2467" s="15" t="s">
        <v>2154</v>
      </c>
      <c r="H2467" s="15">
        <v>5234</v>
      </c>
      <c r="I2467" s="15">
        <v>1281.23</v>
      </c>
    </row>
    <row r="2468" spans="1:9">
      <c r="A2468" s="13">
        <v>44575</v>
      </c>
      <c r="B2468" s="91">
        <f t="shared" si="40"/>
        <v>2022</v>
      </c>
      <c r="C2468" s="15" t="s">
        <v>107</v>
      </c>
      <c r="D2468" s="15" t="s">
        <v>2128</v>
      </c>
      <c r="E2468" s="15" t="s">
        <v>2115</v>
      </c>
      <c r="F2468" s="15" t="s">
        <v>2116</v>
      </c>
      <c r="G2468" s="15" t="s">
        <v>2127</v>
      </c>
      <c r="H2468" s="15">
        <v>8166</v>
      </c>
      <c r="I2468" s="15">
        <v>1626.45</v>
      </c>
    </row>
    <row r="2469" spans="1:9">
      <c r="A2469" s="13">
        <v>45296</v>
      </c>
      <c r="B2469" s="91">
        <f t="shared" si="40"/>
        <v>2024</v>
      </c>
      <c r="C2469" s="15" t="s">
        <v>107</v>
      </c>
      <c r="D2469" s="15" t="s">
        <v>2153</v>
      </c>
      <c r="E2469" s="15" t="s">
        <v>2134</v>
      </c>
      <c r="F2469" s="15" t="s">
        <v>2138</v>
      </c>
      <c r="G2469" s="15" t="s">
        <v>2149</v>
      </c>
      <c r="H2469" s="15">
        <v>4865</v>
      </c>
      <c r="I2469" s="15">
        <v>1198.24</v>
      </c>
    </row>
    <row r="2470" spans="1:9">
      <c r="A2470" s="13">
        <v>45501</v>
      </c>
      <c r="B2470" s="91">
        <f t="shared" si="40"/>
        <v>2024</v>
      </c>
      <c r="C2470" s="15" t="s">
        <v>2141</v>
      </c>
      <c r="D2470" s="15" t="s">
        <v>2135</v>
      </c>
      <c r="E2470" s="15" t="s">
        <v>2144</v>
      </c>
      <c r="F2470" s="15" t="s">
        <v>2116</v>
      </c>
      <c r="G2470" s="15" t="s">
        <v>2117</v>
      </c>
      <c r="H2470" s="15">
        <v>4348</v>
      </c>
      <c r="I2470" s="15">
        <v>897.66</v>
      </c>
    </row>
    <row r="2471" spans="1:9">
      <c r="A2471" s="13">
        <v>45180</v>
      </c>
      <c r="B2471" s="91">
        <f t="shared" si="40"/>
        <v>2023</v>
      </c>
      <c r="C2471" s="15" t="s">
        <v>2113</v>
      </c>
      <c r="D2471" s="15" t="s">
        <v>2152</v>
      </c>
      <c r="E2471" s="15" t="s">
        <v>2129</v>
      </c>
      <c r="F2471" s="15" t="s">
        <v>2138</v>
      </c>
      <c r="G2471" s="15" t="s">
        <v>2149</v>
      </c>
      <c r="H2471" s="15">
        <v>8486</v>
      </c>
      <c r="I2471" s="15">
        <v>2023.66</v>
      </c>
    </row>
    <row r="2472" spans="1:9">
      <c r="A2472" s="13">
        <v>45300</v>
      </c>
      <c r="B2472" s="91">
        <f t="shared" si="40"/>
        <v>2024</v>
      </c>
      <c r="C2472" s="15" t="s">
        <v>107</v>
      </c>
      <c r="D2472" s="15" t="s">
        <v>2153</v>
      </c>
      <c r="E2472" s="15" t="s">
        <v>2129</v>
      </c>
      <c r="F2472" s="15" t="s">
        <v>2120</v>
      </c>
      <c r="G2472" s="15" t="s">
        <v>2121</v>
      </c>
      <c r="H2472" s="15">
        <v>7512</v>
      </c>
      <c r="I2472" s="15">
        <v>1994.91</v>
      </c>
    </row>
    <row r="2473" spans="1:9">
      <c r="A2473" s="13">
        <v>45087</v>
      </c>
      <c r="B2473" s="91">
        <f t="shared" si="40"/>
        <v>2023</v>
      </c>
      <c r="C2473" s="15" t="s">
        <v>104</v>
      </c>
      <c r="D2473" s="15" t="s">
        <v>2131</v>
      </c>
      <c r="E2473" s="15" t="s">
        <v>2134</v>
      </c>
      <c r="F2473" s="15" t="s">
        <v>2120</v>
      </c>
      <c r="G2473" s="15" t="s">
        <v>2133</v>
      </c>
      <c r="H2473" s="15">
        <v>6271</v>
      </c>
      <c r="I2473" s="15">
        <v>1630.54</v>
      </c>
    </row>
    <row r="2474" spans="1:9">
      <c r="A2474" s="13">
        <v>45184</v>
      </c>
      <c r="B2474" s="91">
        <f t="shared" si="40"/>
        <v>2023</v>
      </c>
      <c r="C2474" s="15" t="s">
        <v>2113</v>
      </c>
      <c r="D2474" s="15" t="s">
        <v>2135</v>
      </c>
      <c r="E2474" s="15" t="s">
        <v>2129</v>
      </c>
      <c r="F2474" s="15" t="s">
        <v>2120</v>
      </c>
      <c r="G2474" s="15" t="s">
        <v>2121</v>
      </c>
      <c r="H2474" s="15">
        <v>4768</v>
      </c>
      <c r="I2474" s="15">
        <v>661.53</v>
      </c>
    </row>
    <row r="2475" spans="1:9">
      <c r="A2475" s="13">
        <v>45410</v>
      </c>
      <c r="B2475" s="91">
        <f t="shared" si="40"/>
        <v>2024</v>
      </c>
      <c r="C2475" s="15" t="s">
        <v>107</v>
      </c>
      <c r="D2475" s="15" t="s">
        <v>2118</v>
      </c>
      <c r="E2475" s="15" t="s">
        <v>2143</v>
      </c>
      <c r="F2475" s="15" t="s">
        <v>2120</v>
      </c>
      <c r="G2475" s="15" t="s">
        <v>2132</v>
      </c>
      <c r="H2475" s="15">
        <v>8019</v>
      </c>
      <c r="I2475" s="15">
        <v>1919.98</v>
      </c>
    </row>
    <row r="2476" spans="1:9">
      <c r="A2476" s="13">
        <v>45029</v>
      </c>
      <c r="B2476" s="91">
        <f t="shared" si="40"/>
        <v>2023</v>
      </c>
      <c r="C2476" s="15" t="s">
        <v>2113</v>
      </c>
      <c r="D2476" s="15" t="s">
        <v>2152</v>
      </c>
      <c r="E2476" s="15" t="s">
        <v>2134</v>
      </c>
      <c r="F2476" s="15" t="s">
        <v>2124</v>
      </c>
      <c r="G2476" s="15" t="s">
        <v>2140</v>
      </c>
      <c r="H2476" s="15">
        <v>2813</v>
      </c>
      <c r="I2476" s="15">
        <v>695.73</v>
      </c>
    </row>
    <row r="2477" spans="1:9">
      <c r="A2477" s="13">
        <v>45612</v>
      </c>
      <c r="B2477" s="91">
        <f t="shared" si="40"/>
        <v>2024</v>
      </c>
      <c r="C2477" s="15" t="s">
        <v>107</v>
      </c>
      <c r="D2477" s="15" t="s">
        <v>2118</v>
      </c>
      <c r="E2477" s="15" t="s">
        <v>2143</v>
      </c>
      <c r="F2477" s="15" t="s">
        <v>2116</v>
      </c>
      <c r="G2477" s="15" t="s">
        <v>2127</v>
      </c>
      <c r="H2477" s="15">
        <v>5298</v>
      </c>
      <c r="I2477" s="15">
        <v>693.29</v>
      </c>
    </row>
    <row r="2478" spans="1:9">
      <c r="A2478" s="13">
        <v>45227</v>
      </c>
      <c r="B2478" s="91">
        <f t="shared" si="40"/>
        <v>2023</v>
      </c>
      <c r="C2478" s="15" t="s">
        <v>2141</v>
      </c>
      <c r="D2478" s="15" t="s">
        <v>2153</v>
      </c>
      <c r="E2478" s="15" t="s">
        <v>2123</v>
      </c>
      <c r="F2478" s="15" t="s">
        <v>2116</v>
      </c>
      <c r="G2478" s="15" t="s">
        <v>2117</v>
      </c>
      <c r="H2478" s="15">
        <v>7041</v>
      </c>
      <c r="I2478" s="15">
        <v>1131.03</v>
      </c>
    </row>
    <row r="2479" spans="1:9">
      <c r="A2479" s="13">
        <v>45151</v>
      </c>
      <c r="B2479" s="91">
        <f t="shared" si="40"/>
        <v>2023</v>
      </c>
      <c r="C2479" s="15" t="s">
        <v>2141</v>
      </c>
      <c r="D2479" s="15" t="s">
        <v>2128</v>
      </c>
      <c r="E2479" s="15" t="s">
        <v>2134</v>
      </c>
      <c r="F2479" s="15" t="s">
        <v>2124</v>
      </c>
      <c r="G2479" s="15" t="s">
        <v>2130</v>
      </c>
      <c r="H2479" s="15">
        <v>9067</v>
      </c>
      <c r="I2479" s="15">
        <v>2194.1999999999998</v>
      </c>
    </row>
    <row r="2480" spans="1:9">
      <c r="A2480" s="13">
        <v>44713</v>
      </c>
      <c r="B2480" s="91">
        <f t="shared" si="40"/>
        <v>2022</v>
      </c>
      <c r="C2480" s="15" t="s">
        <v>107</v>
      </c>
      <c r="D2480" s="15" t="s">
        <v>2128</v>
      </c>
      <c r="E2480" s="15" t="s">
        <v>2119</v>
      </c>
      <c r="F2480" s="15" t="s">
        <v>2138</v>
      </c>
      <c r="G2480" s="15" t="s">
        <v>2146</v>
      </c>
      <c r="H2480" s="15">
        <v>3602</v>
      </c>
      <c r="I2480" s="15">
        <v>483.26</v>
      </c>
    </row>
    <row r="2481" spans="1:9">
      <c r="A2481" s="13">
        <v>45590</v>
      </c>
      <c r="B2481" s="91">
        <f t="shared" si="40"/>
        <v>2024</v>
      </c>
      <c r="C2481" s="15" t="s">
        <v>104</v>
      </c>
      <c r="D2481" s="15" t="s">
        <v>2128</v>
      </c>
      <c r="E2481" s="15" t="s">
        <v>2143</v>
      </c>
      <c r="F2481" s="15" t="s">
        <v>2124</v>
      </c>
      <c r="G2481" s="15" t="s">
        <v>2140</v>
      </c>
      <c r="H2481" s="15">
        <v>8488</v>
      </c>
      <c r="I2481" s="15">
        <v>1502.4</v>
      </c>
    </row>
    <row r="2482" spans="1:9">
      <c r="A2482" s="13">
        <v>44958</v>
      </c>
      <c r="B2482" s="91">
        <f t="shared" si="40"/>
        <v>2023</v>
      </c>
      <c r="C2482" s="15" t="s">
        <v>2141</v>
      </c>
      <c r="D2482" s="15" t="s">
        <v>2118</v>
      </c>
      <c r="E2482" s="15" t="s">
        <v>2134</v>
      </c>
      <c r="F2482" s="15" t="s">
        <v>2124</v>
      </c>
      <c r="G2482" s="15" t="s">
        <v>2140</v>
      </c>
      <c r="H2482" s="15">
        <v>5058</v>
      </c>
      <c r="I2482" s="15">
        <v>540.91999999999996</v>
      </c>
    </row>
    <row r="2483" spans="1:9">
      <c r="A2483" s="13">
        <v>44617</v>
      </c>
      <c r="B2483" s="91">
        <f t="shared" si="40"/>
        <v>2022</v>
      </c>
      <c r="C2483" s="15" t="s">
        <v>107</v>
      </c>
      <c r="D2483" s="15" t="s">
        <v>2131</v>
      </c>
      <c r="E2483" s="15" t="s">
        <v>2129</v>
      </c>
      <c r="F2483" s="15" t="s">
        <v>2116</v>
      </c>
      <c r="G2483" s="15" t="s">
        <v>2117</v>
      </c>
      <c r="H2483" s="15">
        <v>1055</v>
      </c>
      <c r="I2483" s="15">
        <v>107.23</v>
      </c>
    </row>
    <row r="2484" spans="1:9">
      <c r="A2484" s="13">
        <v>45057</v>
      </c>
      <c r="B2484" s="91">
        <f t="shared" si="40"/>
        <v>2023</v>
      </c>
      <c r="C2484" s="15" t="s">
        <v>2141</v>
      </c>
      <c r="D2484" s="15" t="s">
        <v>2142</v>
      </c>
      <c r="E2484" s="15" t="s">
        <v>2115</v>
      </c>
      <c r="F2484" s="15" t="s">
        <v>2138</v>
      </c>
      <c r="G2484" s="15" t="s">
        <v>2139</v>
      </c>
      <c r="H2484" s="15">
        <v>4261</v>
      </c>
      <c r="I2484" s="15">
        <v>877.24</v>
      </c>
    </row>
    <row r="2485" spans="1:9">
      <c r="A2485" s="13">
        <v>45287</v>
      </c>
      <c r="B2485" s="91">
        <f t="shared" si="40"/>
        <v>2023</v>
      </c>
      <c r="C2485" s="15" t="s">
        <v>104</v>
      </c>
      <c r="D2485" s="15" t="s">
        <v>2135</v>
      </c>
      <c r="E2485" s="15" t="s">
        <v>2143</v>
      </c>
      <c r="F2485" s="15" t="s">
        <v>2124</v>
      </c>
      <c r="G2485" s="15" t="s">
        <v>2140</v>
      </c>
      <c r="H2485" s="15">
        <v>5407</v>
      </c>
      <c r="I2485" s="15">
        <v>1361.33</v>
      </c>
    </row>
    <row r="2486" spans="1:9">
      <c r="A2486" s="13">
        <v>45398</v>
      </c>
      <c r="B2486" s="91">
        <f t="shared" si="40"/>
        <v>2024</v>
      </c>
      <c r="C2486" s="15" t="s">
        <v>107</v>
      </c>
      <c r="D2486" s="15" t="s">
        <v>2114</v>
      </c>
      <c r="E2486" s="15" t="s">
        <v>2136</v>
      </c>
      <c r="F2486" s="15" t="s">
        <v>2116</v>
      </c>
      <c r="G2486" s="15" t="s">
        <v>2154</v>
      </c>
      <c r="H2486" s="15">
        <v>2418</v>
      </c>
      <c r="I2486" s="15">
        <v>333.49</v>
      </c>
    </row>
    <row r="2487" spans="1:9">
      <c r="A2487" s="13">
        <v>45598</v>
      </c>
      <c r="B2487" s="91">
        <f t="shared" si="40"/>
        <v>2024</v>
      </c>
      <c r="C2487" s="15" t="s">
        <v>107</v>
      </c>
      <c r="D2487" s="15" t="s">
        <v>2148</v>
      </c>
      <c r="E2487" s="15" t="s">
        <v>2136</v>
      </c>
      <c r="F2487" s="15" t="s">
        <v>2124</v>
      </c>
      <c r="G2487" s="15" t="s">
        <v>2140</v>
      </c>
      <c r="H2487" s="15">
        <v>7546</v>
      </c>
      <c r="I2487" s="15">
        <v>1182.43</v>
      </c>
    </row>
    <row r="2488" spans="1:9">
      <c r="A2488" s="13">
        <v>44885</v>
      </c>
      <c r="B2488" s="91">
        <f t="shared" si="40"/>
        <v>2022</v>
      </c>
      <c r="C2488" s="15" t="s">
        <v>104</v>
      </c>
      <c r="D2488" s="15" t="s">
        <v>2135</v>
      </c>
      <c r="E2488" s="15" t="s">
        <v>2134</v>
      </c>
      <c r="F2488" s="15" t="s">
        <v>2116</v>
      </c>
      <c r="G2488" s="15" t="s">
        <v>2154</v>
      </c>
      <c r="H2488" s="15">
        <v>7766</v>
      </c>
      <c r="I2488" s="15">
        <v>1430.05</v>
      </c>
    </row>
    <row r="2489" spans="1:9">
      <c r="A2489" s="13">
        <v>45238</v>
      </c>
      <c r="B2489" s="91">
        <f t="shared" si="40"/>
        <v>2023</v>
      </c>
      <c r="C2489" s="15" t="s">
        <v>2141</v>
      </c>
      <c r="D2489" s="15" t="s">
        <v>2128</v>
      </c>
      <c r="E2489" s="15" t="s">
        <v>2134</v>
      </c>
      <c r="F2489" s="15" t="s">
        <v>2138</v>
      </c>
      <c r="G2489" s="15" t="s">
        <v>2149</v>
      </c>
      <c r="H2489" s="15">
        <v>3753</v>
      </c>
      <c r="I2489" s="15">
        <v>580.21</v>
      </c>
    </row>
    <row r="2490" spans="1:9">
      <c r="A2490" s="13">
        <v>44698</v>
      </c>
      <c r="B2490" s="91">
        <f t="shared" si="40"/>
        <v>2022</v>
      </c>
      <c r="C2490" s="15" t="s">
        <v>104</v>
      </c>
      <c r="D2490" s="15" t="s">
        <v>2153</v>
      </c>
      <c r="E2490" s="15" t="s">
        <v>2136</v>
      </c>
      <c r="F2490" s="15" t="s">
        <v>2124</v>
      </c>
      <c r="G2490" s="15" t="s">
        <v>2130</v>
      </c>
      <c r="H2490" s="15">
        <v>7251</v>
      </c>
      <c r="I2490" s="15">
        <v>1410.06</v>
      </c>
    </row>
    <row r="2491" spans="1:9">
      <c r="A2491" s="13">
        <v>45024</v>
      </c>
      <c r="B2491" s="91">
        <f t="shared" si="40"/>
        <v>2023</v>
      </c>
      <c r="C2491" s="15" t="s">
        <v>104</v>
      </c>
      <c r="D2491" s="15" t="s">
        <v>2142</v>
      </c>
      <c r="E2491" s="15" t="s">
        <v>2144</v>
      </c>
      <c r="F2491" s="15" t="s">
        <v>2124</v>
      </c>
      <c r="G2491" s="15" t="s">
        <v>2140</v>
      </c>
      <c r="H2491" s="15">
        <v>7196</v>
      </c>
      <c r="I2491" s="15">
        <v>761.14</v>
      </c>
    </row>
    <row r="2492" spans="1:9">
      <c r="A2492" s="13">
        <v>45213</v>
      </c>
      <c r="B2492" s="91">
        <f t="shared" si="40"/>
        <v>2023</v>
      </c>
      <c r="C2492" s="15" t="s">
        <v>104</v>
      </c>
      <c r="D2492" s="15" t="s">
        <v>2153</v>
      </c>
      <c r="E2492" s="15" t="s">
        <v>2134</v>
      </c>
      <c r="F2492" s="15" t="s">
        <v>2138</v>
      </c>
      <c r="G2492" s="15" t="s">
        <v>2139</v>
      </c>
      <c r="H2492" s="15">
        <v>8683</v>
      </c>
      <c r="I2492" s="15">
        <v>1992</v>
      </c>
    </row>
    <row r="2493" spans="1:9">
      <c r="A2493" s="13">
        <v>45039</v>
      </c>
      <c r="B2493" s="91">
        <f t="shared" si="40"/>
        <v>2023</v>
      </c>
      <c r="C2493" s="15" t="s">
        <v>104</v>
      </c>
      <c r="D2493" s="15" t="s">
        <v>2142</v>
      </c>
      <c r="E2493" s="15" t="s">
        <v>2144</v>
      </c>
      <c r="F2493" s="15" t="s">
        <v>2120</v>
      </c>
      <c r="G2493" s="15" t="s">
        <v>2132</v>
      </c>
      <c r="H2493" s="15">
        <v>9432</v>
      </c>
      <c r="I2493" s="15">
        <v>1643.23</v>
      </c>
    </row>
    <row r="2494" spans="1:9">
      <c r="A2494" s="13">
        <v>45128</v>
      </c>
      <c r="B2494" s="91">
        <f t="shared" si="40"/>
        <v>2023</v>
      </c>
      <c r="C2494" s="15" t="s">
        <v>2141</v>
      </c>
      <c r="D2494" s="15" t="s">
        <v>2118</v>
      </c>
      <c r="E2494" s="15" t="s">
        <v>2136</v>
      </c>
      <c r="F2494" s="15" t="s">
        <v>2124</v>
      </c>
      <c r="G2494" s="15" t="s">
        <v>2125</v>
      </c>
      <c r="H2494" s="15">
        <v>9179</v>
      </c>
      <c r="I2494" s="15">
        <v>2138.44</v>
      </c>
    </row>
    <row r="2495" spans="1:9">
      <c r="A2495" s="13">
        <v>44830</v>
      </c>
      <c r="B2495" s="91">
        <f t="shared" si="40"/>
        <v>2022</v>
      </c>
      <c r="C2495" s="15" t="s">
        <v>104</v>
      </c>
      <c r="D2495" s="15" t="s">
        <v>2153</v>
      </c>
      <c r="E2495" s="15" t="s">
        <v>2144</v>
      </c>
      <c r="F2495" s="15" t="s">
        <v>2116</v>
      </c>
      <c r="G2495" s="15" t="s">
        <v>2117</v>
      </c>
      <c r="H2495" s="15">
        <v>7996</v>
      </c>
      <c r="I2495" s="15">
        <v>1439.15</v>
      </c>
    </row>
    <row r="2496" spans="1:9">
      <c r="A2496" s="13">
        <v>44765</v>
      </c>
      <c r="B2496" s="91">
        <f t="shared" si="40"/>
        <v>2022</v>
      </c>
      <c r="C2496" s="15" t="s">
        <v>107</v>
      </c>
      <c r="D2496" s="15" t="s">
        <v>2152</v>
      </c>
      <c r="E2496" s="15" t="s">
        <v>2151</v>
      </c>
      <c r="F2496" s="15" t="s">
        <v>2124</v>
      </c>
      <c r="G2496" s="15" t="s">
        <v>2130</v>
      </c>
      <c r="H2496" s="15">
        <v>5793</v>
      </c>
      <c r="I2496" s="15">
        <v>1378.66</v>
      </c>
    </row>
    <row r="2497" spans="1:9">
      <c r="A2497" s="13">
        <v>44924</v>
      </c>
      <c r="B2497" s="91">
        <f t="shared" si="40"/>
        <v>2022</v>
      </c>
      <c r="C2497" s="15" t="s">
        <v>2141</v>
      </c>
      <c r="D2497" s="15" t="s">
        <v>2118</v>
      </c>
      <c r="E2497" s="15" t="s">
        <v>2129</v>
      </c>
      <c r="F2497" s="15" t="s">
        <v>2120</v>
      </c>
      <c r="G2497" s="15" t="s">
        <v>2121</v>
      </c>
      <c r="H2497" s="15">
        <v>9851</v>
      </c>
      <c r="I2497" s="15">
        <v>1047.49</v>
      </c>
    </row>
    <row r="2498" spans="1:9">
      <c r="A2498" s="13">
        <v>44862</v>
      </c>
      <c r="B2498" s="91">
        <f t="shared" si="40"/>
        <v>2022</v>
      </c>
      <c r="C2498" s="15" t="s">
        <v>2141</v>
      </c>
      <c r="D2498" s="15" t="s">
        <v>2131</v>
      </c>
      <c r="E2498" s="15" t="s">
        <v>2151</v>
      </c>
      <c r="F2498" s="15" t="s">
        <v>2120</v>
      </c>
      <c r="G2498" s="15" t="s">
        <v>2133</v>
      </c>
      <c r="H2498" s="15">
        <v>6996</v>
      </c>
      <c r="I2498" s="15">
        <v>1375.22</v>
      </c>
    </row>
    <row r="2499" spans="1:9">
      <c r="A2499" s="13">
        <v>44770</v>
      </c>
      <c r="B2499" s="91">
        <f t="shared" ref="B2499:B2562" si="41">YEAR(A2499)</f>
        <v>2022</v>
      </c>
      <c r="C2499" s="15" t="s">
        <v>2113</v>
      </c>
      <c r="D2499" s="15" t="s">
        <v>2131</v>
      </c>
      <c r="E2499" s="15" t="s">
        <v>2115</v>
      </c>
      <c r="F2499" s="15" t="s">
        <v>2124</v>
      </c>
      <c r="G2499" s="15" t="s">
        <v>2125</v>
      </c>
      <c r="H2499" s="15">
        <v>2694</v>
      </c>
      <c r="I2499" s="15">
        <v>380.56</v>
      </c>
    </row>
    <row r="2500" spans="1:9">
      <c r="A2500" s="13">
        <v>44782</v>
      </c>
      <c r="B2500" s="91">
        <f t="shared" si="41"/>
        <v>2022</v>
      </c>
      <c r="C2500" s="15" t="s">
        <v>107</v>
      </c>
      <c r="D2500" s="15" t="s">
        <v>2142</v>
      </c>
      <c r="E2500" s="15" t="s">
        <v>2136</v>
      </c>
      <c r="F2500" s="15" t="s">
        <v>2124</v>
      </c>
      <c r="G2500" s="15" t="s">
        <v>2125</v>
      </c>
      <c r="H2500" s="15">
        <v>2734</v>
      </c>
      <c r="I2500" s="15">
        <v>402.64</v>
      </c>
    </row>
    <row r="2501" spans="1:9">
      <c r="A2501" s="13">
        <v>44914</v>
      </c>
      <c r="B2501" s="91">
        <f t="shared" si="41"/>
        <v>2022</v>
      </c>
      <c r="C2501" s="15" t="s">
        <v>107</v>
      </c>
      <c r="D2501" s="15" t="s">
        <v>2114</v>
      </c>
      <c r="E2501" s="15" t="s">
        <v>2123</v>
      </c>
      <c r="F2501" s="15" t="s">
        <v>2120</v>
      </c>
      <c r="G2501" s="15" t="s">
        <v>2133</v>
      </c>
      <c r="H2501" s="15">
        <v>5423</v>
      </c>
      <c r="I2501" s="15">
        <v>1422.16</v>
      </c>
    </row>
    <row r="2502" spans="1:9">
      <c r="A2502" s="13">
        <v>45075</v>
      </c>
      <c r="B2502" s="91">
        <f t="shared" si="41"/>
        <v>2023</v>
      </c>
      <c r="C2502" s="15" t="s">
        <v>107</v>
      </c>
      <c r="D2502" s="15" t="s">
        <v>2126</v>
      </c>
      <c r="E2502" s="15" t="s">
        <v>2123</v>
      </c>
      <c r="F2502" s="15" t="s">
        <v>2120</v>
      </c>
      <c r="G2502" s="15" t="s">
        <v>2121</v>
      </c>
      <c r="H2502" s="15">
        <v>9745</v>
      </c>
      <c r="I2502" s="15">
        <v>2307.3000000000002</v>
      </c>
    </row>
    <row r="2503" spans="1:9">
      <c r="A2503" s="13">
        <v>45356</v>
      </c>
      <c r="B2503" s="91">
        <f t="shared" si="41"/>
        <v>2024</v>
      </c>
      <c r="C2503" s="15" t="s">
        <v>2141</v>
      </c>
      <c r="D2503" s="15" t="s">
        <v>2135</v>
      </c>
      <c r="E2503" s="15" t="s">
        <v>2144</v>
      </c>
      <c r="F2503" s="15" t="s">
        <v>2138</v>
      </c>
      <c r="G2503" s="15" t="s">
        <v>2146</v>
      </c>
      <c r="H2503" s="15">
        <v>9918</v>
      </c>
      <c r="I2503" s="15">
        <v>1983.43</v>
      </c>
    </row>
    <row r="2504" spans="1:9">
      <c r="A2504" s="13">
        <v>44935</v>
      </c>
      <c r="B2504" s="91">
        <f t="shared" si="41"/>
        <v>2023</v>
      </c>
      <c r="C2504" s="15" t="s">
        <v>104</v>
      </c>
      <c r="D2504" s="15" t="s">
        <v>2126</v>
      </c>
      <c r="E2504" s="15" t="s">
        <v>2144</v>
      </c>
      <c r="F2504" s="15" t="s">
        <v>2138</v>
      </c>
      <c r="G2504" s="15" t="s">
        <v>2139</v>
      </c>
      <c r="H2504" s="15">
        <v>8809</v>
      </c>
      <c r="I2504" s="15">
        <v>1025.82</v>
      </c>
    </row>
    <row r="2505" spans="1:9">
      <c r="A2505" s="13">
        <v>44865</v>
      </c>
      <c r="B2505" s="91">
        <f t="shared" si="41"/>
        <v>2022</v>
      </c>
      <c r="C2505" s="15" t="s">
        <v>2113</v>
      </c>
      <c r="D2505" s="15" t="s">
        <v>2114</v>
      </c>
      <c r="E2505" s="15" t="s">
        <v>2145</v>
      </c>
      <c r="F2505" s="15" t="s">
        <v>2116</v>
      </c>
      <c r="G2505" s="15" t="s">
        <v>2127</v>
      </c>
      <c r="H2505" s="15">
        <v>9583</v>
      </c>
      <c r="I2505" s="15">
        <v>2806.49</v>
      </c>
    </row>
    <row r="2506" spans="1:9">
      <c r="A2506" s="13">
        <v>44883</v>
      </c>
      <c r="B2506" s="91">
        <f t="shared" si="41"/>
        <v>2022</v>
      </c>
      <c r="C2506" s="15" t="s">
        <v>107</v>
      </c>
      <c r="D2506" s="15" t="s">
        <v>2135</v>
      </c>
      <c r="E2506" s="15" t="s">
        <v>2119</v>
      </c>
      <c r="F2506" s="15" t="s">
        <v>2116</v>
      </c>
      <c r="G2506" s="15" t="s">
        <v>2127</v>
      </c>
      <c r="H2506" s="15">
        <v>7030</v>
      </c>
      <c r="I2506" s="15">
        <v>1556.92</v>
      </c>
    </row>
    <row r="2507" spans="1:9">
      <c r="A2507" s="13">
        <v>45337</v>
      </c>
      <c r="B2507" s="91">
        <f t="shared" si="41"/>
        <v>2024</v>
      </c>
      <c r="C2507" s="15" t="s">
        <v>2141</v>
      </c>
      <c r="D2507" s="15" t="s">
        <v>2126</v>
      </c>
      <c r="E2507" s="15" t="s">
        <v>2145</v>
      </c>
      <c r="F2507" s="15" t="s">
        <v>2124</v>
      </c>
      <c r="G2507" s="15" t="s">
        <v>2125</v>
      </c>
      <c r="H2507" s="15">
        <v>7303</v>
      </c>
      <c r="I2507" s="15">
        <v>1934.97</v>
      </c>
    </row>
    <row r="2508" spans="1:9">
      <c r="A2508" s="13">
        <v>45461</v>
      </c>
      <c r="B2508" s="91">
        <f t="shared" si="41"/>
        <v>2024</v>
      </c>
      <c r="C2508" s="15" t="s">
        <v>2113</v>
      </c>
      <c r="D2508" s="15" t="s">
        <v>2135</v>
      </c>
      <c r="E2508" s="15" t="s">
        <v>2115</v>
      </c>
      <c r="F2508" s="15" t="s">
        <v>2124</v>
      </c>
      <c r="G2508" s="15" t="s">
        <v>2125</v>
      </c>
      <c r="H2508" s="15">
        <v>3536</v>
      </c>
      <c r="I2508" s="15">
        <v>650.26</v>
      </c>
    </row>
    <row r="2509" spans="1:9">
      <c r="A2509" s="13">
        <v>44563</v>
      </c>
      <c r="B2509" s="91">
        <f t="shared" si="41"/>
        <v>2022</v>
      </c>
      <c r="C2509" s="15" t="s">
        <v>2141</v>
      </c>
      <c r="D2509" s="15" t="s">
        <v>2118</v>
      </c>
      <c r="E2509" s="15" t="s">
        <v>2145</v>
      </c>
      <c r="F2509" s="15" t="s">
        <v>2138</v>
      </c>
      <c r="G2509" s="15" t="s">
        <v>2146</v>
      </c>
      <c r="H2509" s="15">
        <v>4239</v>
      </c>
      <c r="I2509" s="15">
        <v>737.08</v>
      </c>
    </row>
    <row r="2510" spans="1:9">
      <c r="A2510" s="13">
        <v>44851</v>
      </c>
      <c r="B2510" s="91">
        <f t="shared" si="41"/>
        <v>2022</v>
      </c>
      <c r="C2510" s="15" t="s">
        <v>2141</v>
      </c>
      <c r="D2510" s="15" t="s">
        <v>2118</v>
      </c>
      <c r="E2510" s="15" t="s">
        <v>2136</v>
      </c>
      <c r="F2510" s="15" t="s">
        <v>2138</v>
      </c>
      <c r="G2510" s="15" t="s">
        <v>2146</v>
      </c>
      <c r="H2510" s="15">
        <v>4103</v>
      </c>
      <c r="I2510" s="15">
        <v>1076.3</v>
      </c>
    </row>
    <row r="2511" spans="1:9">
      <c r="A2511" s="13">
        <v>44919</v>
      </c>
      <c r="B2511" s="91">
        <f t="shared" si="41"/>
        <v>2022</v>
      </c>
      <c r="C2511" s="15" t="s">
        <v>104</v>
      </c>
      <c r="D2511" s="15" t="s">
        <v>2114</v>
      </c>
      <c r="E2511" s="15" t="s">
        <v>2144</v>
      </c>
      <c r="F2511" s="15" t="s">
        <v>2124</v>
      </c>
      <c r="G2511" s="15" t="s">
        <v>2130</v>
      </c>
      <c r="H2511" s="15">
        <v>9360</v>
      </c>
      <c r="I2511" s="15">
        <v>2636.81</v>
      </c>
    </row>
    <row r="2512" spans="1:9">
      <c r="A2512" s="13">
        <v>44846</v>
      </c>
      <c r="B2512" s="91">
        <f t="shared" si="41"/>
        <v>2022</v>
      </c>
      <c r="C2512" s="15" t="s">
        <v>2141</v>
      </c>
      <c r="D2512" s="15" t="s">
        <v>2148</v>
      </c>
      <c r="E2512" s="15" t="s">
        <v>2136</v>
      </c>
      <c r="F2512" s="15" t="s">
        <v>2116</v>
      </c>
      <c r="G2512" s="15" t="s">
        <v>2127</v>
      </c>
      <c r="H2512" s="15">
        <v>4223</v>
      </c>
      <c r="I2512" s="15">
        <v>616.29</v>
      </c>
    </row>
    <row r="2513" spans="1:9">
      <c r="A2513" s="13">
        <v>44570</v>
      </c>
      <c r="B2513" s="91">
        <f t="shared" si="41"/>
        <v>2022</v>
      </c>
      <c r="C2513" s="15" t="s">
        <v>107</v>
      </c>
      <c r="D2513" s="15" t="s">
        <v>2114</v>
      </c>
      <c r="E2513" s="15" t="s">
        <v>2151</v>
      </c>
      <c r="F2513" s="15" t="s">
        <v>2120</v>
      </c>
      <c r="G2513" s="15" t="s">
        <v>2133</v>
      </c>
      <c r="H2513" s="15">
        <v>6471</v>
      </c>
      <c r="I2513" s="15">
        <v>1030.46</v>
      </c>
    </row>
    <row r="2514" spans="1:9">
      <c r="A2514" s="13">
        <v>44982</v>
      </c>
      <c r="B2514" s="91">
        <f t="shared" si="41"/>
        <v>2023</v>
      </c>
      <c r="C2514" s="15" t="s">
        <v>2141</v>
      </c>
      <c r="D2514" s="15" t="s">
        <v>2148</v>
      </c>
      <c r="E2514" s="15" t="s">
        <v>2144</v>
      </c>
      <c r="F2514" s="15" t="s">
        <v>2116</v>
      </c>
      <c r="G2514" s="15" t="s">
        <v>2117</v>
      </c>
      <c r="H2514" s="15">
        <v>7762</v>
      </c>
      <c r="I2514" s="15">
        <v>957.87</v>
      </c>
    </row>
    <row r="2515" spans="1:9">
      <c r="A2515" s="13">
        <v>44924</v>
      </c>
      <c r="B2515" s="91">
        <f t="shared" si="41"/>
        <v>2022</v>
      </c>
      <c r="C2515" s="15" t="s">
        <v>107</v>
      </c>
      <c r="D2515" s="15" t="s">
        <v>2142</v>
      </c>
      <c r="E2515" s="15" t="s">
        <v>2151</v>
      </c>
      <c r="F2515" s="15" t="s">
        <v>2124</v>
      </c>
      <c r="G2515" s="15" t="s">
        <v>2125</v>
      </c>
      <c r="H2515" s="15">
        <v>8404</v>
      </c>
      <c r="I2515" s="15">
        <v>1921.39</v>
      </c>
    </row>
    <row r="2516" spans="1:9">
      <c r="A2516" s="13">
        <v>45429</v>
      </c>
      <c r="B2516" s="91">
        <f t="shared" si="41"/>
        <v>2024</v>
      </c>
      <c r="C2516" s="15" t="s">
        <v>2113</v>
      </c>
      <c r="D2516" s="15" t="s">
        <v>2128</v>
      </c>
      <c r="E2516" s="15" t="s">
        <v>2134</v>
      </c>
      <c r="F2516" s="15" t="s">
        <v>2116</v>
      </c>
      <c r="G2516" s="15" t="s">
        <v>2117</v>
      </c>
      <c r="H2516" s="15">
        <v>9616</v>
      </c>
      <c r="I2516" s="15">
        <v>1498.15</v>
      </c>
    </row>
    <row r="2517" spans="1:9">
      <c r="A2517" s="13">
        <v>45000</v>
      </c>
      <c r="B2517" s="91">
        <f t="shared" si="41"/>
        <v>2023</v>
      </c>
      <c r="C2517" s="15" t="s">
        <v>107</v>
      </c>
      <c r="D2517" s="15" t="s">
        <v>2131</v>
      </c>
      <c r="E2517" s="15" t="s">
        <v>2134</v>
      </c>
      <c r="F2517" s="15" t="s">
        <v>2124</v>
      </c>
      <c r="G2517" s="15" t="s">
        <v>2140</v>
      </c>
      <c r="H2517" s="15">
        <v>7740</v>
      </c>
      <c r="I2517" s="15">
        <v>1490.22</v>
      </c>
    </row>
    <row r="2518" spans="1:9">
      <c r="A2518" s="13">
        <v>45542</v>
      </c>
      <c r="B2518" s="91">
        <f t="shared" si="41"/>
        <v>2024</v>
      </c>
      <c r="C2518" s="15" t="s">
        <v>2113</v>
      </c>
      <c r="D2518" s="15" t="s">
        <v>2128</v>
      </c>
      <c r="E2518" s="15" t="s">
        <v>2144</v>
      </c>
      <c r="F2518" s="15" t="s">
        <v>2116</v>
      </c>
      <c r="G2518" s="15" t="s">
        <v>2127</v>
      </c>
      <c r="H2518" s="15">
        <v>1842</v>
      </c>
      <c r="I2518" s="15">
        <v>246.29</v>
      </c>
    </row>
    <row r="2519" spans="1:9">
      <c r="A2519" s="13">
        <v>45560</v>
      </c>
      <c r="B2519" s="91">
        <f t="shared" si="41"/>
        <v>2024</v>
      </c>
      <c r="C2519" s="15" t="s">
        <v>2113</v>
      </c>
      <c r="D2519" s="15" t="s">
        <v>2128</v>
      </c>
      <c r="E2519" s="15" t="s">
        <v>2136</v>
      </c>
      <c r="F2519" s="15" t="s">
        <v>2124</v>
      </c>
      <c r="G2519" s="15" t="s">
        <v>2130</v>
      </c>
      <c r="H2519" s="15">
        <v>7491</v>
      </c>
      <c r="I2519" s="15">
        <v>2078.81</v>
      </c>
    </row>
    <row r="2520" spans="1:9">
      <c r="A2520" s="13">
        <v>44987</v>
      </c>
      <c r="B2520" s="91">
        <f t="shared" si="41"/>
        <v>2023</v>
      </c>
      <c r="C2520" s="15" t="s">
        <v>2141</v>
      </c>
      <c r="D2520" s="15" t="s">
        <v>2114</v>
      </c>
      <c r="E2520" s="15" t="s">
        <v>2143</v>
      </c>
      <c r="F2520" s="15" t="s">
        <v>2120</v>
      </c>
      <c r="G2520" s="15" t="s">
        <v>2133</v>
      </c>
      <c r="H2520" s="15">
        <v>7671</v>
      </c>
      <c r="I2520" s="15">
        <v>868.05</v>
      </c>
    </row>
    <row r="2521" spans="1:9">
      <c r="A2521" s="13">
        <v>45532</v>
      </c>
      <c r="B2521" s="91">
        <f t="shared" si="41"/>
        <v>2024</v>
      </c>
      <c r="C2521" s="15" t="s">
        <v>2113</v>
      </c>
      <c r="D2521" s="15" t="s">
        <v>2131</v>
      </c>
      <c r="E2521" s="15" t="s">
        <v>2123</v>
      </c>
      <c r="F2521" s="15" t="s">
        <v>2120</v>
      </c>
      <c r="G2521" s="15" t="s">
        <v>2121</v>
      </c>
      <c r="H2521" s="15">
        <v>5613</v>
      </c>
      <c r="I2521" s="15">
        <v>1221.24</v>
      </c>
    </row>
    <row r="2522" spans="1:9">
      <c r="A2522" s="13">
        <v>44768</v>
      </c>
      <c r="B2522" s="91">
        <f t="shared" si="41"/>
        <v>2022</v>
      </c>
      <c r="C2522" s="15" t="s">
        <v>104</v>
      </c>
      <c r="D2522" s="15" t="s">
        <v>2128</v>
      </c>
      <c r="E2522" s="15" t="s">
        <v>2143</v>
      </c>
      <c r="F2522" s="15" t="s">
        <v>2124</v>
      </c>
      <c r="G2522" s="15" t="s">
        <v>2130</v>
      </c>
      <c r="H2522" s="15">
        <v>2063</v>
      </c>
      <c r="I2522" s="15">
        <v>560.45000000000005</v>
      </c>
    </row>
    <row r="2523" spans="1:9">
      <c r="A2523" s="13">
        <v>45118</v>
      </c>
      <c r="B2523" s="91">
        <f t="shared" si="41"/>
        <v>2023</v>
      </c>
      <c r="C2523" s="15" t="s">
        <v>104</v>
      </c>
      <c r="D2523" s="15" t="s">
        <v>2114</v>
      </c>
      <c r="E2523" s="15" t="s">
        <v>2119</v>
      </c>
      <c r="F2523" s="15" t="s">
        <v>2116</v>
      </c>
      <c r="G2523" s="15" t="s">
        <v>2117</v>
      </c>
      <c r="H2523" s="15">
        <v>3360</v>
      </c>
      <c r="I2523" s="15">
        <v>899.85</v>
      </c>
    </row>
    <row r="2524" spans="1:9">
      <c r="A2524" s="13">
        <v>44600</v>
      </c>
      <c r="B2524" s="91">
        <f t="shared" si="41"/>
        <v>2022</v>
      </c>
      <c r="C2524" s="15" t="s">
        <v>104</v>
      </c>
      <c r="D2524" s="15" t="s">
        <v>2131</v>
      </c>
      <c r="E2524" s="15" t="s">
        <v>2119</v>
      </c>
      <c r="F2524" s="15" t="s">
        <v>2124</v>
      </c>
      <c r="G2524" s="15" t="s">
        <v>2140</v>
      </c>
      <c r="H2524" s="15">
        <v>2474</v>
      </c>
      <c r="I2524" s="15">
        <v>463.26</v>
      </c>
    </row>
    <row r="2525" spans="1:9">
      <c r="A2525" s="13">
        <v>45348</v>
      </c>
      <c r="B2525" s="91">
        <f t="shared" si="41"/>
        <v>2024</v>
      </c>
      <c r="C2525" s="15" t="s">
        <v>2141</v>
      </c>
      <c r="D2525" s="15" t="s">
        <v>2148</v>
      </c>
      <c r="E2525" s="15" t="s">
        <v>2119</v>
      </c>
      <c r="F2525" s="15" t="s">
        <v>2116</v>
      </c>
      <c r="G2525" s="15" t="s">
        <v>2154</v>
      </c>
      <c r="H2525" s="15">
        <v>4297</v>
      </c>
      <c r="I2525" s="15">
        <v>460.66</v>
      </c>
    </row>
    <row r="2526" spans="1:9">
      <c r="A2526" s="13">
        <v>45236</v>
      </c>
      <c r="B2526" s="91">
        <f t="shared" si="41"/>
        <v>2023</v>
      </c>
      <c r="C2526" s="15" t="s">
        <v>107</v>
      </c>
      <c r="D2526" s="15" t="s">
        <v>2148</v>
      </c>
      <c r="E2526" s="15" t="s">
        <v>2123</v>
      </c>
      <c r="F2526" s="15" t="s">
        <v>2124</v>
      </c>
      <c r="G2526" s="15" t="s">
        <v>2140</v>
      </c>
      <c r="H2526" s="15">
        <v>7140</v>
      </c>
      <c r="I2526" s="15">
        <v>1938.68</v>
      </c>
    </row>
    <row r="2527" spans="1:9">
      <c r="A2527" s="13">
        <v>44918</v>
      </c>
      <c r="B2527" s="91">
        <f t="shared" si="41"/>
        <v>2022</v>
      </c>
      <c r="C2527" s="15" t="s">
        <v>2113</v>
      </c>
      <c r="D2527" s="15" t="s">
        <v>2135</v>
      </c>
      <c r="E2527" s="15" t="s">
        <v>2136</v>
      </c>
      <c r="F2527" s="15" t="s">
        <v>2120</v>
      </c>
      <c r="G2527" s="15" t="s">
        <v>2121</v>
      </c>
      <c r="H2527" s="15">
        <v>6887</v>
      </c>
      <c r="I2527" s="15">
        <v>995.12</v>
      </c>
    </row>
    <row r="2528" spans="1:9">
      <c r="A2528" s="13">
        <v>45249</v>
      </c>
      <c r="B2528" s="91">
        <f t="shared" si="41"/>
        <v>2023</v>
      </c>
      <c r="C2528" s="15" t="s">
        <v>2141</v>
      </c>
      <c r="D2528" s="15" t="s">
        <v>2131</v>
      </c>
      <c r="E2528" s="15" t="s">
        <v>2123</v>
      </c>
      <c r="F2528" s="15" t="s">
        <v>2116</v>
      </c>
      <c r="G2528" s="15" t="s">
        <v>2127</v>
      </c>
      <c r="H2528" s="15">
        <v>5181</v>
      </c>
      <c r="I2528" s="15">
        <v>666.18</v>
      </c>
    </row>
    <row r="2529" spans="1:9">
      <c r="A2529" s="13">
        <v>44572</v>
      </c>
      <c r="B2529" s="91">
        <f t="shared" si="41"/>
        <v>2022</v>
      </c>
      <c r="C2529" s="15" t="s">
        <v>2141</v>
      </c>
      <c r="D2529" s="15" t="s">
        <v>2153</v>
      </c>
      <c r="E2529" s="15" t="s">
        <v>2143</v>
      </c>
      <c r="F2529" s="15" t="s">
        <v>2138</v>
      </c>
      <c r="G2529" s="15" t="s">
        <v>2146</v>
      </c>
      <c r="H2529" s="15">
        <v>3304</v>
      </c>
      <c r="I2529" s="15">
        <v>661.01</v>
      </c>
    </row>
    <row r="2530" spans="1:9">
      <c r="A2530" s="13">
        <v>45626</v>
      </c>
      <c r="B2530" s="91">
        <f t="shared" si="41"/>
        <v>2024</v>
      </c>
      <c r="C2530" s="15" t="s">
        <v>2141</v>
      </c>
      <c r="D2530" s="15" t="s">
        <v>2118</v>
      </c>
      <c r="E2530" s="15" t="s">
        <v>2119</v>
      </c>
      <c r="F2530" s="15" t="s">
        <v>2116</v>
      </c>
      <c r="G2530" s="15" t="s">
        <v>2154</v>
      </c>
      <c r="H2530" s="15">
        <v>1014</v>
      </c>
      <c r="I2530" s="15">
        <v>120.81</v>
      </c>
    </row>
    <row r="2531" spans="1:9">
      <c r="A2531" s="13">
        <v>44589</v>
      </c>
      <c r="B2531" s="91">
        <f t="shared" si="41"/>
        <v>2022</v>
      </c>
      <c r="C2531" s="15" t="s">
        <v>107</v>
      </c>
      <c r="D2531" s="15" t="s">
        <v>2135</v>
      </c>
      <c r="E2531" s="15" t="s">
        <v>2143</v>
      </c>
      <c r="F2531" s="15" t="s">
        <v>2116</v>
      </c>
      <c r="G2531" s="15" t="s">
        <v>2117</v>
      </c>
      <c r="H2531" s="15">
        <v>9368</v>
      </c>
      <c r="I2531" s="15">
        <v>2503.65</v>
      </c>
    </row>
    <row r="2532" spans="1:9">
      <c r="A2532" s="13">
        <v>44767</v>
      </c>
      <c r="B2532" s="91">
        <f t="shared" si="41"/>
        <v>2022</v>
      </c>
      <c r="C2532" s="15" t="s">
        <v>104</v>
      </c>
      <c r="D2532" s="15" t="s">
        <v>2126</v>
      </c>
      <c r="E2532" s="15" t="s">
        <v>2123</v>
      </c>
      <c r="F2532" s="15" t="s">
        <v>2120</v>
      </c>
      <c r="G2532" s="15" t="s">
        <v>2132</v>
      </c>
      <c r="H2532" s="15">
        <v>1747</v>
      </c>
      <c r="I2532" s="15">
        <v>425.15</v>
      </c>
    </row>
    <row r="2533" spans="1:9">
      <c r="A2533" s="13">
        <v>45296</v>
      </c>
      <c r="B2533" s="91">
        <f t="shared" si="41"/>
        <v>2024</v>
      </c>
      <c r="C2533" s="15" t="s">
        <v>2141</v>
      </c>
      <c r="D2533" s="15" t="s">
        <v>2148</v>
      </c>
      <c r="E2533" s="15" t="s">
        <v>2151</v>
      </c>
      <c r="F2533" s="15" t="s">
        <v>2124</v>
      </c>
      <c r="G2533" s="15" t="s">
        <v>2140</v>
      </c>
      <c r="H2533" s="15">
        <v>5325</v>
      </c>
      <c r="I2533" s="15">
        <v>1365.15</v>
      </c>
    </row>
    <row r="2534" spans="1:9">
      <c r="A2534" s="13">
        <v>44586</v>
      </c>
      <c r="B2534" s="91">
        <f t="shared" si="41"/>
        <v>2022</v>
      </c>
      <c r="C2534" s="15" t="s">
        <v>2113</v>
      </c>
      <c r="D2534" s="15" t="s">
        <v>2128</v>
      </c>
      <c r="E2534" s="15" t="s">
        <v>2151</v>
      </c>
      <c r="F2534" s="15" t="s">
        <v>2120</v>
      </c>
      <c r="G2534" s="15" t="s">
        <v>2133</v>
      </c>
      <c r="H2534" s="15">
        <v>7590</v>
      </c>
      <c r="I2534" s="15">
        <v>1099.22</v>
      </c>
    </row>
    <row r="2535" spans="1:9">
      <c r="A2535" s="13">
        <v>44788</v>
      </c>
      <c r="B2535" s="91">
        <f t="shared" si="41"/>
        <v>2022</v>
      </c>
      <c r="C2535" s="15" t="s">
        <v>107</v>
      </c>
      <c r="D2535" s="15" t="s">
        <v>2114</v>
      </c>
      <c r="E2535" s="15" t="s">
        <v>2115</v>
      </c>
      <c r="F2535" s="15" t="s">
        <v>2116</v>
      </c>
      <c r="G2535" s="15" t="s">
        <v>2117</v>
      </c>
      <c r="H2535" s="15">
        <v>5479</v>
      </c>
      <c r="I2535" s="15">
        <v>1523.96</v>
      </c>
    </row>
    <row r="2536" spans="1:9">
      <c r="A2536" s="13">
        <v>44614</v>
      </c>
      <c r="B2536" s="91">
        <f t="shared" si="41"/>
        <v>2022</v>
      </c>
      <c r="C2536" s="15" t="s">
        <v>104</v>
      </c>
      <c r="D2536" s="15" t="s">
        <v>2114</v>
      </c>
      <c r="E2536" s="15" t="s">
        <v>2115</v>
      </c>
      <c r="F2536" s="15" t="s">
        <v>2124</v>
      </c>
      <c r="G2536" s="15" t="s">
        <v>2125</v>
      </c>
      <c r="H2536" s="15">
        <v>8450</v>
      </c>
      <c r="I2536" s="15">
        <v>1056.6600000000001</v>
      </c>
    </row>
    <row r="2537" spans="1:9">
      <c r="A2537" s="13">
        <v>45215</v>
      </c>
      <c r="B2537" s="91">
        <f t="shared" si="41"/>
        <v>2023</v>
      </c>
      <c r="C2537" s="15" t="s">
        <v>107</v>
      </c>
      <c r="D2537" s="15" t="s">
        <v>2118</v>
      </c>
      <c r="E2537" s="15" t="s">
        <v>2115</v>
      </c>
      <c r="F2537" s="15" t="s">
        <v>2124</v>
      </c>
      <c r="G2537" s="15" t="s">
        <v>2140</v>
      </c>
      <c r="H2537" s="15">
        <v>4115</v>
      </c>
      <c r="I2537" s="15">
        <v>1194.3499999999999</v>
      </c>
    </row>
    <row r="2538" spans="1:9">
      <c r="A2538" s="13">
        <v>45636</v>
      </c>
      <c r="B2538" s="91">
        <f t="shared" si="41"/>
        <v>2024</v>
      </c>
      <c r="C2538" s="15" t="s">
        <v>107</v>
      </c>
      <c r="D2538" s="15" t="s">
        <v>2153</v>
      </c>
      <c r="E2538" s="15" t="s">
        <v>2134</v>
      </c>
      <c r="F2538" s="15" t="s">
        <v>2116</v>
      </c>
      <c r="G2538" s="15" t="s">
        <v>2117</v>
      </c>
      <c r="H2538" s="15">
        <v>6508</v>
      </c>
      <c r="I2538" s="15">
        <v>1611.96</v>
      </c>
    </row>
    <row r="2539" spans="1:9">
      <c r="A2539" s="13">
        <v>45283</v>
      </c>
      <c r="B2539" s="91">
        <f t="shared" si="41"/>
        <v>2023</v>
      </c>
      <c r="C2539" s="15" t="s">
        <v>104</v>
      </c>
      <c r="D2539" s="15" t="s">
        <v>2118</v>
      </c>
      <c r="E2539" s="15" t="s">
        <v>2115</v>
      </c>
      <c r="F2539" s="15" t="s">
        <v>2138</v>
      </c>
      <c r="G2539" s="15" t="s">
        <v>2149</v>
      </c>
      <c r="H2539" s="15">
        <v>6269</v>
      </c>
      <c r="I2539" s="15">
        <v>1565.63</v>
      </c>
    </row>
    <row r="2540" spans="1:9">
      <c r="A2540" s="13">
        <v>45554</v>
      </c>
      <c r="B2540" s="91">
        <f t="shared" si="41"/>
        <v>2024</v>
      </c>
      <c r="C2540" s="15" t="s">
        <v>104</v>
      </c>
      <c r="D2540" s="15" t="s">
        <v>2126</v>
      </c>
      <c r="E2540" s="15" t="s">
        <v>2123</v>
      </c>
      <c r="F2540" s="15" t="s">
        <v>2120</v>
      </c>
      <c r="G2540" s="15" t="s">
        <v>2132</v>
      </c>
      <c r="H2540" s="15">
        <v>9515</v>
      </c>
      <c r="I2540" s="15">
        <v>2250.8000000000002</v>
      </c>
    </row>
    <row r="2541" spans="1:9">
      <c r="A2541" s="13">
        <v>44793</v>
      </c>
      <c r="B2541" s="91">
        <f t="shared" si="41"/>
        <v>2022</v>
      </c>
      <c r="C2541" s="15" t="s">
        <v>107</v>
      </c>
      <c r="D2541" s="15" t="s">
        <v>2118</v>
      </c>
      <c r="E2541" s="15" t="s">
        <v>2136</v>
      </c>
      <c r="F2541" s="15" t="s">
        <v>2116</v>
      </c>
      <c r="G2541" s="15" t="s">
        <v>2154</v>
      </c>
      <c r="H2541" s="15">
        <v>8175</v>
      </c>
      <c r="I2541" s="15">
        <v>1699.5</v>
      </c>
    </row>
    <row r="2542" spans="1:9">
      <c r="A2542" s="13">
        <v>45540</v>
      </c>
      <c r="B2542" s="91">
        <f t="shared" si="41"/>
        <v>2024</v>
      </c>
      <c r="C2542" s="15" t="s">
        <v>104</v>
      </c>
      <c r="D2542" s="15" t="s">
        <v>2128</v>
      </c>
      <c r="E2542" s="15" t="s">
        <v>2151</v>
      </c>
      <c r="F2542" s="15" t="s">
        <v>2124</v>
      </c>
      <c r="G2542" s="15" t="s">
        <v>2125</v>
      </c>
      <c r="H2542" s="15">
        <v>6333</v>
      </c>
      <c r="I2542" s="15">
        <v>1576.66</v>
      </c>
    </row>
    <row r="2543" spans="1:9">
      <c r="A2543" s="13">
        <v>45433</v>
      </c>
      <c r="B2543" s="91">
        <f t="shared" si="41"/>
        <v>2024</v>
      </c>
      <c r="C2543" s="15" t="s">
        <v>2113</v>
      </c>
      <c r="D2543" s="15" t="s">
        <v>2148</v>
      </c>
      <c r="E2543" s="15" t="s">
        <v>2119</v>
      </c>
      <c r="F2543" s="15" t="s">
        <v>2138</v>
      </c>
      <c r="G2543" s="15" t="s">
        <v>2139</v>
      </c>
      <c r="H2543" s="15">
        <v>1388</v>
      </c>
      <c r="I2543" s="15">
        <v>198.35</v>
      </c>
    </row>
    <row r="2544" spans="1:9">
      <c r="A2544" s="13">
        <v>45230</v>
      </c>
      <c r="B2544" s="91">
        <f t="shared" si="41"/>
        <v>2023</v>
      </c>
      <c r="C2544" s="15" t="s">
        <v>107</v>
      </c>
      <c r="D2544" s="15" t="s">
        <v>2142</v>
      </c>
      <c r="E2544" s="15" t="s">
        <v>2123</v>
      </c>
      <c r="F2544" s="15" t="s">
        <v>2138</v>
      </c>
      <c r="G2544" s="15" t="s">
        <v>2149</v>
      </c>
      <c r="H2544" s="15">
        <v>4566</v>
      </c>
      <c r="I2544" s="15">
        <v>1332.77</v>
      </c>
    </row>
    <row r="2545" spans="1:9">
      <c r="A2545" s="13">
        <v>45453</v>
      </c>
      <c r="B2545" s="91">
        <f t="shared" si="41"/>
        <v>2024</v>
      </c>
      <c r="C2545" s="15" t="s">
        <v>107</v>
      </c>
      <c r="D2545" s="15" t="s">
        <v>2128</v>
      </c>
      <c r="E2545" s="15" t="s">
        <v>2144</v>
      </c>
      <c r="F2545" s="15" t="s">
        <v>2120</v>
      </c>
      <c r="G2545" s="15" t="s">
        <v>2121</v>
      </c>
      <c r="H2545" s="15">
        <v>9369</v>
      </c>
      <c r="I2545" s="15">
        <v>1153.82</v>
      </c>
    </row>
    <row r="2546" spans="1:9">
      <c r="A2546" s="13">
        <v>45315</v>
      </c>
      <c r="B2546" s="91">
        <f t="shared" si="41"/>
        <v>2024</v>
      </c>
      <c r="C2546" s="15" t="s">
        <v>2113</v>
      </c>
      <c r="D2546" s="15" t="s">
        <v>2142</v>
      </c>
      <c r="E2546" s="15" t="s">
        <v>2151</v>
      </c>
      <c r="F2546" s="15" t="s">
        <v>2124</v>
      </c>
      <c r="G2546" s="15" t="s">
        <v>2125</v>
      </c>
      <c r="H2546" s="15">
        <v>1911</v>
      </c>
      <c r="I2546" s="15">
        <v>534.29999999999995</v>
      </c>
    </row>
    <row r="2547" spans="1:9">
      <c r="A2547" s="13">
        <v>44948</v>
      </c>
      <c r="B2547" s="91">
        <f t="shared" si="41"/>
        <v>2023</v>
      </c>
      <c r="C2547" s="15" t="s">
        <v>107</v>
      </c>
      <c r="D2547" s="15" t="s">
        <v>2153</v>
      </c>
      <c r="E2547" s="15" t="s">
        <v>2119</v>
      </c>
      <c r="F2547" s="15" t="s">
        <v>2124</v>
      </c>
      <c r="G2547" s="15" t="s">
        <v>2125</v>
      </c>
      <c r="H2547" s="15">
        <v>3818</v>
      </c>
      <c r="I2547" s="15">
        <v>738.76</v>
      </c>
    </row>
    <row r="2548" spans="1:9">
      <c r="A2548" s="13">
        <v>45620</v>
      </c>
      <c r="B2548" s="91">
        <f t="shared" si="41"/>
        <v>2024</v>
      </c>
      <c r="C2548" s="15" t="s">
        <v>2113</v>
      </c>
      <c r="D2548" s="15" t="s">
        <v>2148</v>
      </c>
      <c r="E2548" s="15" t="s">
        <v>2145</v>
      </c>
      <c r="F2548" s="15" t="s">
        <v>2116</v>
      </c>
      <c r="G2548" s="15" t="s">
        <v>2127</v>
      </c>
      <c r="H2548" s="15">
        <v>1879</v>
      </c>
      <c r="I2548" s="15">
        <v>519.72</v>
      </c>
    </row>
    <row r="2549" spans="1:9">
      <c r="A2549" s="13">
        <v>45509</v>
      </c>
      <c r="B2549" s="91">
        <f t="shared" si="41"/>
        <v>2024</v>
      </c>
      <c r="C2549" s="15" t="s">
        <v>2141</v>
      </c>
      <c r="D2549" s="15" t="s">
        <v>2142</v>
      </c>
      <c r="E2549" s="15" t="s">
        <v>2136</v>
      </c>
      <c r="F2549" s="15" t="s">
        <v>2124</v>
      </c>
      <c r="G2549" s="15" t="s">
        <v>2125</v>
      </c>
      <c r="H2549" s="15">
        <v>8135</v>
      </c>
      <c r="I2549" s="15">
        <v>991.79</v>
      </c>
    </row>
    <row r="2550" spans="1:9">
      <c r="A2550" s="13">
        <v>45511</v>
      </c>
      <c r="B2550" s="91">
        <f t="shared" si="41"/>
        <v>2024</v>
      </c>
      <c r="C2550" s="15" t="s">
        <v>104</v>
      </c>
      <c r="D2550" s="15" t="s">
        <v>2114</v>
      </c>
      <c r="E2550" s="15" t="s">
        <v>2119</v>
      </c>
      <c r="F2550" s="15" t="s">
        <v>2138</v>
      </c>
      <c r="G2550" s="15" t="s">
        <v>2139</v>
      </c>
      <c r="H2550" s="15">
        <v>4203</v>
      </c>
      <c r="I2550" s="15">
        <v>810.04</v>
      </c>
    </row>
    <row r="2551" spans="1:9">
      <c r="A2551" s="13">
        <v>44765</v>
      </c>
      <c r="B2551" s="91">
        <f t="shared" si="41"/>
        <v>2022</v>
      </c>
      <c r="C2551" s="15" t="s">
        <v>107</v>
      </c>
      <c r="D2551" s="15" t="s">
        <v>2118</v>
      </c>
      <c r="E2551" s="15" t="s">
        <v>2151</v>
      </c>
      <c r="F2551" s="15" t="s">
        <v>2120</v>
      </c>
      <c r="G2551" s="15" t="s">
        <v>2121</v>
      </c>
      <c r="H2551" s="15">
        <v>4556</v>
      </c>
      <c r="I2551" s="15">
        <v>982.44</v>
      </c>
    </row>
    <row r="2552" spans="1:9">
      <c r="A2552" s="13">
        <v>45072</v>
      </c>
      <c r="B2552" s="91">
        <f t="shared" si="41"/>
        <v>2023</v>
      </c>
      <c r="C2552" s="15" t="s">
        <v>104</v>
      </c>
      <c r="D2552" s="15" t="s">
        <v>2126</v>
      </c>
      <c r="E2552" s="15" t="s">
        <v>2129</v>
      </c>
      <c r="F2552" s="15" t="s">
        <v>2116</v>
      </c>
      <c r="G2552" s="15" t="s">
        <v>2117</v>
      </c>
      <c r="H2552" s="15">
        <v>9809</v>
      </c>
      <c r="I2552" s="15">
        <v>2171.15</v>
      </c>
    </row>
    <row r="2553" spans="1:9">
      <c r="A2553" s="13">
        <v>45071</v>
      </c>
      <c r="B2553" s="91">
        <f t="shared" si="41"/>
        <v>2023</v>
      </c>
      <c r="C2553" s="15" t="s">
        <v>104</v>
      </c>
      <c r="D2553" s="15" t="s">
        <v>2114</v>
      </c>
      <c r="E2553" s="15" t="s">
        <v>2136</v>
      </c>
      <c r="F2553" s="15" t="s">
        <v>2124</v>
      </c>
      <c r="G2553" s="15" t="s">
        <v>2130</v>
      </c>
      <c r="H2553" s="15">
        <v>8399</v>
      </c>
      <c r="I2553" s="15">
        <v>1499.13</v>
      </c>
    </row>
    <row r="2554" spans="1:9">
      <c r="A2554" s="13">
        <v>44924</v>
      </c>
      <c r="B2554" s="91">
        <f t="shared" si="41"/>
        <v>2022</v>
      </c>
      <c r="C2554" s="15" t="s">
        <v>2141</v>
      </c>
      <c r="D2554" s="15" t="s">
        <v>2128</v>
      </c>
      <c r="E2554" s="15" t="s">
        <v>2119</v>
      </c>
      <c r="F2554" s="15" t="s">
        <v>2116</v>
      </c>
      <c r="G2554" s="15" t="s">
        <v>2154</v>
      </c>
      <c r="H2554" s="15">
        <v>6466</v>
      </c>
      <c r="I2554" s="15">
        <v>1493.21</v>
      </c>
    </row>
    <row r="2555" spans="1:9">
      <c r="A2555" s="13">
        <v>45129</v>
      </c>
      <c r="B2555" s="91">
        <f t="shared" si="41"/>
        <v>2023</v>
      </c>
      <c r="C2555" s="15" t="s">
        <v>2141</v>
      </c>
      <c r="D2555" s="15" t="s">
        <v>2128</v>
      </c>
      <c r="E2555" s="15" t="s">
        <v>2115</v>
      </c>
      <c r="F2555" s="15" t="s">
        <v>2120</v>
      </c>
      <c r="G2555" s="15" t="s">
        <v>2133</v>
      </c>
      <c r="H2555" s="15">
        <v>5649</v>
      </c>
      <c r="I2555" s="15">
        <v>1665.26</v>
      </c>
    </row>
    <row r="2556" spans="1:9">
      <c r="A2556" s="13">
        <v>45289</v>
      </c>
      <c r="B2556" s="91">
        <f t="shared" si="41"/>
        <v>2023</v>
      </c>
      <c r="C2556" s="15" t="s">
        <v>2141</v>
      </c>
      <c r="D2556" s="15" t="s">
        <v>2142</v>
      </c>
      <c r="E2556" s="15" t="s">
        <v>2144</v>
      </c>
      <c r="F2556" s="15" t="s">
        <v>2116</v>
      </c>
      <c r="G2556" s="15" t="s">
        <v>2127</v>
      </c>
      <c r="H2556" s="15">
        <v>6040</v>
      </c>
      <c r="I2556" s="15">
        <v>1693.71</v>
      </c>
    </row>
    <row r="2557" spans="1:9">
      <c r="A2557" s="13">
        <v>44767</v>
      </c>
      <c r="B2557" s="91">
        <f t="shared" si="41"/>
        <v>2022</v>
      </c>
      <c r="C2557" s="15" t="s">
        <v>104</v>
      </c>
      <c r="D2557" s="15" t="s">
        <v>2142</v>
      </c>
      <c r="E2557" s="15" t="s">
        <v>2115</v>
      </c>
      <c r="F2557" s="15" t="s">
        <v>2124</v>
      </c>
      <c r="G2557" s="15" t="s">
        <v>2125</v>
      </c>
      <c r="H2557" s="15">
        <v>2143</v>
      </c>
      <c r="I2557" s="15">
        <v>308.26</v>
      </c>
    </row>
    <row r="2558" spans="1:9">
      <c r="A2558" s="13">
        <v>45573</v>
      </c>
      <c r="B2558" s="91">
        <f t="shared" si="41"/>
        <v>2024</v>
      </c>
      <c r="C2558" s="15" t="s">
        <v>104</v>
      </c>
      <c r="D2558" s="15" t="s">
        <v>2148</v>
      </c>
      <c r="E2558" s="15" t="s">
        <v>2143</v>
      </c>
      <c r="F2558" s="15" t="s">
        <v>2138</v>
      </c>
      <c r="G2558" s="15" t="s">
        <v>2149</v>
      </c>
      <c r="H2558" s="15">
        <v>1141</v>
      </c>
      <c r="I2558" s="15">
        <v>307.41000000000003</v>
      </c>
    </row>
    <row r="2559" spans="1:9">
      <c r="A2559" s="13">
        <v>45372</v>
      </c>
      <c r="B2559" s="91">
        <f t="shared" si="41"/>
        <v>2024</v>
      </c>
      <c r="C2559" s="15" t="s">
        <v>2113</v>
      </c>
      <c r="D2559" s="15" t="s">
        <v>2148</v>
      </c>
      <c r="E2559" s="15" t="s">
        <v>2145</v>
      </c>
      <c r="F2559" s="15" t="s">
        <v>2124</v>
      </c>
      <c r="G2559" s="15" t="s">
        <v>2130</v>
      </c>
      <c r="H2559" s="15">
        <v>1255</v>
      </c>
      <c r="I2559" s="15">
        <v>206.24</v>
      </c>
    </row>
    <row r="2560" spans="1:9">
      <c r="A2560" s="13">
        <v>44729</v>
      </c>
      <c r="B2560" s="91">
        <f t="shared" si="41"/>
        <v>2022</v>
      </c>
      <c r="C2560" s="15" t="s">
        <v>104</v>
      </c>
      <c r="D2560" s="15" t="s">
        <v>2142</v>
      </c>
      <c r="E2560" s="15" t="s">
        <v>2143</v>
      </c>
      <c r="F2560" s="15" t="s">
        <v>2116</v>
      </c>
      <c r="G2560" s="15" t="s">
        <v>2127</v>
      </c>
      <c r="H2560" s="15">
        <v>8623</v>
      </c>
      <c r="I2560" s="15">
        <v>2252.64</v>
      </c>
    </row>
    <row r="2561" spans="1:9">
      <c r="A2561" s="13">
        <v>45037</v>
      </c>
      <c r="B2561" s="91">
        <f t="shared" si="41"/>
        <v>2023</v>
      </c>
      <c r="C2561" s="15" t="s">
        <v>2141</v>
      </c>
      <c r="D2561" s="15" t="s">
        <v>2128</v>
      </c>
      <c r="E2561" s="15" t="s">
        <v>2134</v>
      </c>
      <c r="F2561" s="15" t="s">
        <v>2138</v>
      </c>
      <c r="G2561" s="15" t="s">
        <v>2146</v>
      </c>
      <c r="H2561" s="15">
        <v>3909</v>
      </c>
      <c r="I2561" s="15">
        <v>430.27</v>
      </c>
    </row>
    <row r="2562" spans="1:9">
      <c r="A2562" s="13">
        <v>45386</v>
      </c>
      <c r="B2562" s="91">
        <f t="shared" si="41"/>
        <v>2024</v>
      </c>
      <c r="C2562" s="15" t="s">
        <v>104</v>
      </c>
      <c r="D2562" s="15" t="s">
        <v>2153</v>
      </c>
      <c r="E2562" s="15" t="s">
        <v>2119</v>
      </c>
      <c r="F2562" s="15" t="s">
        <v>2138</v>
      </c>
      <c r="G2562" s="15" t="s">
        <v>2149</v>
      </c>
      <c r="H2562" s="15">
        <v>6092</v>
      </c>
      <c r="I2562" s="15">
        <v>1507.25</v>
      </c>
    </row>
    <row r="2563" spans="1:9">
      <c r="A2563" s="13">
        <v>44672</v>
      </c>
      <c r="B2563" s="91">
        <f t="shared" ref="B2563:B2626" si="42">YEAR(A2563)</f>
        <v>2022</v>
      </c>
      <c r="C2563" s="15" t="s">
        <v>107</v>
      </c>
      <c r="D2563" s="15" t="s">
        <v>2142</v>
      </c>
      <c r="E2563" s="15" t="s">
        <v>2144</v>
      </c>
      <c r="F2563" s="15" t="s">
        <v>2124</v>
      </c>
      <c r="G2563" s="15" t="s">
        <v>2125</v>
      </c>
      <c r="H2563" s="15">
        <v>8780</v>
      </c>
      <c r="I2563" s="15">
        <v>1267.93</v>
      </c>
    </row>
    <row r="2564" spans="1:9">
      <c r="A2564" s="13">
        <v>45375</v>
      </c>
      <c r="B2564" s="91">
        <f t="shared" si="42"/>
        <v>2024</v>
      </c>
      <c r="C2564" s="15" t="s">
        <v>2113</v>
      </c>
      <c r="D2564" s="15" t="s">
        <v>2128</v>
      </c>
      <c r="E2564" s="15" t="s">
        <v>2119</v>
      </c>
      <c r="F2564" s="15" t="s">
        <v>2120</v>
      </c>
      <c r="G2564" s="15" t="s">
        <v>2132</v>
      </c>
      <c r="H2564" s="15">
        <v>4769</v>
      </c>
      <c r="I2564" s="15">
        <v>1032.79</v>
      </c>
    </row>
    <row r="2565" spans="1:9">
      <c r="A2565" s="13">
        <v>45381</v>
      </c>
      <c r="B2565" s="91">
        <f t="shared" si="42"/>
        <v>2024</v>
      </c>
      <c r="C2565" s="15" t="s">
        <v>104</v>
      </c>
      <c r="D2565" s="15" t="s">
        <v>2135</v>
      </c>
      <c r="E2565" s="15" t="s">
        <v>2134</v>
      </c>
      <c r="F2565" s="15" t="s">
        <v>2116</v>
      </c>
      <c r="G2565" s="15" t="s">
        <v>2154</v>
      </c>
      <c r="H2565" s="15">
        <v>7585</v>
      </c>
      <c r="I2565" s="15">
        <v>1595.45</v>
      </c>
    </row>
    <row r="2566" spans="1:9">
      <c r="A2566" s="13">
        <v>44731</v>
      </c>
      <c r="B2566" s="91">
        <f t="shared" si="42"/>
        <v>2022</v>
      </c>
      <c r="C2566" s="15" t="s">
        <v>2141</v>
      </c>
      <c r="D2566" s="15" t="s">
        <v>2114</v>
      </c>
      <c r="E2566" s="15" t="s">
        <v>2143</v>
      </c>
      <c r="F2566" s="15" t="s">
        <v>2138</v>
      </c>
      <c r="G2566" s="15" t="s">
        <v>2139</v>
      </c>
      <c r="H2566" s="15">
        <v>4463</v>
      </c>
      <c r="I2566" s="15">
        <v>546.29</v>
      </c>
    </row>
    <row r="2567" spans="1:9">
      <c r="A2567" s="13">
        <v>45510</v>
      </c>
      <c r="B2567" s="91">
        <f t="shared" si="42"/>
        <v>2024</v>
      </c>
      <c r="C2567" s="15" t="s">
        <v>2113</v>
      </c>
      <c r="D2567" s="15" t="s">
        <v>2142</v>
      </c>
      <c r="E2567" s="15" t="s">
        <v>2115</v>
      </c>
      <c r="F2567" s="15" t="s">
        <v>2124</v>
      </c>
      <c r="G2567" s="15" t="s">
        <v>2130</v>
      </c>
      <c r="H2567" s="15">
        <v>1448</v>
      </c>
      <c r="I2567" s="15">
        <v>319.48</v>
      </c>
    </row>
    <row r="2568" spans="1:9">
      <c r="A2568" s="13">
        <v>44705</v>
      </c>
      <c r="B2568" s="91">
        <f t="shared" si="42"/>
        <v>2022</v>
      </c>
      <c r="C2568" s="15" t="s">
        <v>2113</v>
      </c>
      <c r="D2568" s="15" t="s">
        <v>2114</v>
      </c>
      <c r="E2568" s="15" t="s">
        <v>2129</v>
      </c>
      <c r="F2568" s="15" t="s">
        <v>2124</v>
      </c>
      <c r="G2568" s="15" t="s">
        <v>2130</v>
      </c>
      <c r="H2568" s="15">
        <v>8287</v>
      </c>
      <c r="I2568" s="15">
        <v>2113.9299999999998</v>
      </c>
    </row>
    <row r="2569" spans="1:9">
      <c r="A2569" s="13">
        <v>45339</v>
      </c>
      <c r="B2569" s="91">
        <f t="shared" si="42"/>
        <v>2024</v>
      </c>
      <c r="C2569" s="15" t="s">
        <v>104</v>
      </c>
      <c r="D2569" s="15" t="s">
        <v>2142</v>
      </c>
      <c r="E2569" s="15" t="s">
        <v>2129</v>
      </c>
      <c r="F2569" s="15" t="s">
        <v>2120</v>
      </c>
      <c r="G2569" s="15" t="s">
        <v>2133</v>
      </c>
      <c r="H2569" s="15">
        <v>6257</v>
      </c>
      <c r="I2569" s="15">
        <v>1244.96</v>
      </c>
    </row>
    <row r="2570" spans="1:9">
      <c r="A2570" s="13">
        <v>45117</v>
      </c>
      <c r="B2570" s="91">
        <f t="shared" si="42"/>
        <v>2023</v>
      </c>
      <c r="C2570" s="15" t="s">
        <v>107</v>
      </c>
      <c r="D2570" s="15" t="s">
        <v>2128</v>
      </c>
      <c r="E2570" s="15" t="s">
        <v>2143</v>
      </c>
      <c r="F2570" s="15" t="s">
        <v>2138</v>
      </c>
      <c r="G2570" s="15" t="s">
        <v>2139</v>
      </c>
      <c r="H2570" s="15">
        <v>4900</v>
      </c>
      <c r="I2570" s="15">
        <v>1163.4000000000001</v>
      </c>
    </row>
    <row r="2571" spans="1:9">
      <c r="A2571" s="13">
        <v>45139</v>
      </c>
      <c r="B2571" s="91">
        <f t="shared" si="42"/>
        <v>2023</v>
      </c>
      <c r="C2571" s="15" t="s">
        <v>107</v>
      </c>
      <c r="D2571" s="15" t="s">
        <v>2148</v>
      </c>
      <c r="E2571" s="15" t="s">
        <v>2136</v>
      </c>
      <c r="F2571" s="15" t="s">
        <v>2138</v>
      </c>
      <c r="G2571" s="15" t="s">
        <v>2149</v>
      </c>
      <c r="H2571" s="15">
        <v>2555</v>
      </c>
      <c r="I2571" s="15">
        <v>520.52</v>
      </c>
    </row>
    <row r="2572" spans="1:9">
      <c r="A2572" s="13">
        <v>45049</v>
      </c>
      <c r="B2572" s="91">
        <f t="shared" si="42"/>
        <v>2023</v>
      </c>
      <c r="C2572" s="15" t="s">
        <v>107</v>
      </c>
      <c r="D2572" s="15" t="s">
        <v>2152</v>
      </c>
      <c r="E2572" s="15" t="s">
        <v>2119</v>
      </c>
      <c r="F2572" s="15" t="s">
        <v>2116</v>
      </c>
      <c r="G2572" s="15" t="s">
        <v>2127</v>
      </c>
      <c r="H2572" s="15">
        <v>4546</v>
      </c>
      <c r="I2572" s="15">
        <v>738.07</v>
      </c>
    </row>
    <row r="2573" spans="1:9">
      <c r="A2573" s="13">
        <v>45176</v>
      </c>
      <c r="B2573" s="91">
        <f t="shared" si="42"/>
        <v>2023</v>
      </c>
      <c r="C2573" s="15" t="s">
        <v>107</v>
      </c>
      <c r="D2573" s="15" t="s">
        <v>2152</v>
      </c>
      <c r="E2573" s="15" t="s">
        <v>2145</v>
      </c>
      <c r="F2573" s="15" t="s">
        <v>2120</v>
      </c>
      <c r="G2573" s="15" t="s">
        <v>2121</v>
      </c>
      <c r="H2573" s="15">
        <v>3909</v>
      </c>
      <c r="I2573" s="15">
        <v>909.52</v>
      </c>
    </row>
    <row r="2574" spans="1:9">
      <c r="A2574" s="13">
        <v>45251</v>
      </c>
      <c r="B2574" s="91">
        <f t="shared" si="42"/>
        <v>2023</v>
      </c>
      <c r="C2574" s="15" t="s">
        <v>104</v>
      </c>
      <c r="D2574" s="15" t="s">
        <v>2126</v>
      </c>
      <c r="E2574" s="15" t="s">
        <v>2145</v>
      </c>
      <c r="F2574" s="15" t="s">
        <v>2116</v>
      </c>
      <c r="G2574" s="15" t="s">
        <v>2117</v>
      </c>
      <c r="H2574" s="15">
        <v>4138</v>
      </c>
      <c r="I2574" s="15">
        <v>949.73</v>
      </c>
    </row>
    <row r="2575" spans="1:9">
      <c r="A2575" s="13">
        <v>45482</v>
      </c>
      <c r="B2575" s="91">
        <f t="shared" si="42"/>
        <v>2024</v>
      </c>
      <c r="C2575" s="15" t="s">
        <v>2141</v>
      </c>
      <c r="D2575" s="15" t="s">
        <v>2153</v>
      </c>
      <c r="E2575" s="15" t="s">
        <v>2145</v>
      </c>
      <c r="F2575" s="15" t="s">
        <v>2120</v>
      </c>
      <c r="G2575" s="15" t="s">
        <v>2132</v>
      </c>
      <c r="H2575" s="15">
        <v>8118</v>
      </c>
      <c r="I2575" s="15">
        <v>1576.73</v>
      </c>
    </row>
    <row r="2576" spans="1:9">
      <c r="A2576" s="13">
        <v>44888</v>
      </c>
      <c r="B2576" s="91">
        <f t="shared" si="42"/>
        <v>2022</v>
      </c>
      <c r="C2576" s="15" t="s">
        <v>107</v>
      </c>
      <c r="D2576" s="15" t="s">
        <v>2114</v>
      </c>
      <c r="E2576" s="15" t="s">
        <v>2134</v>
      </c>
      <c r="F2576" s="15" t="s">
        <v>2124</v>
      </c>
      <c r="G2576" s="15" t="s">
        <v>2125</v>
      </c>
      <c r="H2576" s="15">
        <v>7426</v>
      </c>
      <c r="I2576" s="15">
        <v>1641.28</v>
      </c>
    </row>
    <row r="2577" spans="1:9">
      <c r="A2577" s="13">
        <v>44871</v>
      </c>
      <c r="B2577" s="91">
        <f t="shared" si="42"/>
        <v>2022</v>
      </c>
      <c r="C2577" s="15" t="s">
        <v>2141</v>
      </c>
      <c r="D2577" s="15" t="s">
        <v>2152</v>
      </c>
      <c r="E2577" s="15" t="s">
        <v>2136</v>
      </c>
      <c r="F2577" s="15" t="s">
        <v>2138</v>
      </c>
      <c r="G2577" s="15" t="s">
        <v>2149</v>
      </c>
      <c r="H2577" s="15">
        <v>9619</v>
      </c>
      <c r="I2577" s="15">
        <v>2500.4</v>
      </c>
    </row>
    <row r="2578" spans="1:9">
      <c r="A2578" s="13">
        <v>44762</v>
      </c>
      <c r="B2578" s="91">
        <f t="shared" si="42"/>
        <v>2022</v>
      </c>
      <c r="C2578" s="15" t="s">
        <v>104</v>
      </c>
      <c r="D2578" s="15" t="s">
        <v>2128</v>
      </c>
      <c r="E2578" s="15" t="s">
        <v>2136</v>
      </c>
      <c r="F2578" s="15" t="s">
        <v>2116</v>
      </c>
      <c r="G2578" s="15" t="s">
        <v>2154</v>
      </c>
      <c r="H2578" s="15">
        <v>5088</v>
      </c>
      <c r="I2578" s="15">
        <v>744.19</v>
      </c>
    </row>
    <row r="2579" spans="1:9">
      <c r="A2579" s="13">
        <v>45052</v>
      </c>
      <c r="B2579" s="91">
        <f t="shared" si="42"/>
        <v>2023</v>
      </c>
      <c r="C2579" s="15" t="s">
        <v>107</v>
      </c>
      <c r="D2579" s="15" t="s">
        <v>2152</v>
      </c>
      <c r="E2579" s="15" t="s">
        <v>2129</v>
      </c>
      <c r="F2579" s="15" t="s">
        <v>2124</v>
      </c>
      <c r="G2579" s="15" t="s">
        <v>2130</v>
      </c>
      <c r="H2579" s="15">
        <v>9770</v>
      </c>
      <c r="I2579" s="15">
        <v>2091.02</v>
      </c>
    </row>
    <row r="2580" spans="1:9">
      <c r="A2580" s="13">
        <v>45258</v>
      </c>
      <c r="B2580" s="91">
        <f t="shared" si="42"/>
        <v>2023</v>
      </c>
      <c r="C2580" s="15" t="s">
        <v>104</v>
      </c>
      <c r="D2580" s="15" t="s">
        <v>2142</v>
      </c>
      <c r="E2580" s="15" t="s">
        <v>2143</v>
      </c>
      <c r="F2580" s="15" t="s">
        <v>2138</v>
      </c>
      <c r="G2580" s="15" t="s">
        <v>2146</v>
      </c>
      <c r="H2580" s="15">
        <v>4261</v>
      </c>
      <c r="I2580" s="15">
        <v>503.53</v>
      </c>
    </row>
    <row r="2581" spans="1:9">
      <c r="A2581" s="13">
        <v>45052</v>
      </c>
      <c r="B2581" s="91">
        <f t="shared" si="42"/>
        <v>2023</v>
      </c>
      <c r="C2581" s="15" t="s">
        <v>107</v>
      </c>
      <c r="D2581" s="15" t="s">
        <v>2131</v>
      </c>
      <c r="E2581" s="15" t="s">
        <v>2136</v>
      </c>
      <c r="F2581" s="15" t="s">
        <v>2120</v>
      </c>
      <c r="G2581" s="15" t="s">
        <v>2132</v>
      </c>
      <c r="H2581" s="15">
        <v>2799</v>
      </c>
      <c r="I2581" s="15">
        <v>396.97</v>
      </c>
    </row>
    <row r="2582" spans="1:9">
      <c r="A2582" s="13">
        <v>45569</v>
      </c>
      <c r="B2582" s="91">
        <f t="shared" si="42"/>
        <v>2024</v>
      </c>
      <c r="C2582" s="15" t="s">
        <v>104</v>
      </c>
      <c r="D2582" s="15" t="s">
        <v>2142</v>
      </c>
      <c r="E2582" s="15" t="s">
        <v>2119</v>
      </c>
      <c r="F2582" s="15" t="s">
        <v>2116</v>
      </c>
      <c r="G2582" s="15" t="s">
        <v>2127</v>
      </c>
      <c r="H2582" s="15">
        <v>6323</v>
      </c>
      <c r="I2582" s="15">
        <v>1580.67</v>
      </c>
    </row>
    <row r="2583" spans="1:9">
      <c r="A2583" s="13">
        <v>44797</v>
      </c>
      <c r="B2583" s="91">
        <f t="shared" si="42"/>
        <v>2022</v>
      </c>
      <c r="C2583" s="15" t="s">
        <v>2113</v>
      </c>
      <c r="D2583" s="15" t="s">
        <v>2148</v>
      </c>
      <c r="E2583" s="15" t="s">
        <v>2144</v>
      </c>
      <c r="F2583" s="15" t="s">
        <v>2120</v>
      </c>
      <c r="G2583" s="15" t="s">
        <v>2121</v>
      </c>
      <c r="H2583" s="15">
        <v>2260</v>
      </c>
      <c r="I2583" s="15">
        <v>270.45999999999998</v>
      </c>
    </row>
    <row r="2584" spans="1:9">
      <c r="A2584" s="13">
        <v>45162</v>
      </c>
      <c r="B2584" s="91">
        <f t="shared" si="42"/>
        <v>2023</v>
      </c>
      <c r="C2584" s="15" t="s">
        <v>2141</v>
      </c>
      <c r="D2584" s="15" t="s">
        <v>2131</v>
      </c>
      <c r="E2584" s="15" t="s">
        <v>2144</v>
      </c>
      <c r="F2584" s="15" t="s">
        <v>2116</v>
      </c>
      <c r="G2584" s="15" t="s">
        <v>2154</v>
      </c>
      <c r="H2584" s="15">
        <v>4176</v>
      </c>
      <c r="I2584" s="15">
        <v>609.71</v>
      </c>
    </row>
    <row r="2585" spans="1:9">
      <c r="A2585" s="13">
        <v>44915</v>
      </c>
      <c r="B2585" s="91">
        <f t="shared" si="42"/>
        <v>2022</v>
      </c>
      <c r="C2585" s="15" t="s">
        <v>2113</v>
      </c>
      <c r="D2585" s="15" t="s">
        <v>2114</v>
      </c>
      <c r="E2585" s="15" t="s">
        <v>2134</v>
      </c>
      <c r="F2585" s="15" t="s">
        <v>2120</v>
      </c>
      <c r="G2585" s="15" t="s">
        <v>2132</v>
      </c>
      <c r="H2585" s="15">
        <v>4655</v>
      </c>
      <c r="I2585" s="15">
        <v>1131.3900000000001</v>
      </c>
    </row>
    <row r="2586" spans="1:9">
      <c r="A2586" s="13">
        <v>44653</v>
      </c>
      <c r="B2586" s="91">
        <f t="shared" si="42"/>
        <v>2022</v>
      </c>
      <c r="C2586" s="15" t="s">
        <v>107</v>
      </c>
      <c r="D2586" s="15" t="s">
        <v>2152</v>
      </c>
      <c r="E2586" s="15" t="s">
        <v>2136</v>
      </c>
      <c r="F2586" s="15" t="s">
        <v>2138</v>
      </c>
      <c r="G2586" s="15" t="s">
        <v>2149</v>
      </c>
      <c r="H2586" s="15">
        <v>5330</v>
      </c>
      <c r="I2586" s="15">
        <v>797.36</v>
      </c>
    </row>
    <row r="2587" spans="1:9">
      <c r="A2587" s="13">
        <v>44723</v>
      </c>
      <c r="B2587" s="91">
        <f t="shared" si="42"/>
        <v>2022</v>
      </c>
      <c r="C2587" s="15" t="s">
        <v>2141</v>
      </c>
      <c r="D2587" s="15" t="s">
        <v>2126</v>
      </c>
      <c r="E2587" s="15" t="s">
        <v>2119</v>
      </c>
      <c r="F2587" s="15" t="s">
        <v>2116</v>
      </c>
      <c r="G2587" s="15" t="s">
        <v>2154</v>
      </c>
      <c r="H2587" s="15">
        <v>4731</v>
      </c>
      <c r="I2587" s="15">
        <v>819.67</v>
      </c>
    </row>
    <row r="2588" spans="1:9">
      <c r="A2588" s="13">
        <v>45128</v>
      </c>
      <c r="B2588" s="91">
        <f t="shared" si="42"/>
        <v>2023</v>
      </c>
      <c r="C2588" s="15" t="s">
        <v>2113</v>
      </c>
      <c r="D2588" s="15" t="s">
        <v>2118</v>
      </c>
      <c r="E2588" s="15" t="s">
        <v>2136</v>
      </c>
      <c r="F2588" s="15" t="s">
        <v>2124</v>
      </c>
      <c r="G2588" s="15" t="s">
        <v>2130</v>
      </c>
      <c r="H2588" s="15">
        <v>9400</v>
      </c>
      <c r="I2588" s="15">
        <v>2126.21</v>
      </c>
    </row>
    <row r="2589" spans="1:9">
      <c r="A2589" s="13">
        <v>45324</v>
      </c>
      <c r="B2589" s="91">
        <f t="shared" si="42"/>
        <v>2024</v>
      </c>
      <c r="C2589" s="15" t="s">
        <v>2141</v>
      </c>
      <c r="D2589" s="15" t="s">
        <v>2142</v>
      </c>
      <c r="E2589" s="15" t="s">
        <v>2145</v>
      </c>
      <c r="F2589" s="15" t="s">
        <v>2116</v>
      </c>
      <c r="G2589" s="15" t="s">
        <v>2154</v>
      </c>
      <c r="H2589" s="15">
        <v>5545</v>
      </c>
      <c r="I2589" s="15">
        <v>599.21</v>
      </c>
    </row>
    <row r="2590" spans="1:9">
      <c r="A2590" s="13">
        <v>45635</v>
      </c>
      <c r="B2590" s="91">
        <f t="shared" si="42"/>
        <v>2024</v>
      </c>
      <c r="C2590" s="15" t="s">
        <v>107</v>
      </c>
      <c r="D2590" s="15" t="s">
        <v>2153</v>
      </c>
      <c r="E2590" s="15" t="s">
        <v>2145</v>
      </c>
      <c r="F2590" s="15" t="s">
        <v>2124</v>
      </c>
      <c r="G2590" s="15" t="s">
        <v>2130</v>
      </c>
      <c r="H2590" s="15">
        <v>7110</v>
      </c>
      <c r="I2590" s="15">
        <v>1550.36</v>
      </c>
    </row>
    <row r="2591" spans="1:9">
      <c r="A2591" s="13">
        <v>44640</v>
      </c>
      <c r="B2591" s="91">
        <f t="shared" si="42"/>
        <v>2022</v>
      </c>
      <c r="C2591" s="15" t="s">
        <v>2113</v>
      </c>
      <c r="D2591" s="15" t="s">
        <v>2142</v>
      </c>
      <c r="E2591" s="15" t="s">
        <v>2134</v>
      </c>
      <c r="F2591" s="15" t="s">
        <v>2120</v>
      </c>
      <c r="G2591" s="15" t="s">
        <v>2132</v>
      </c>
      <c r="H2591" s="15">
        <v>3129</v>
      </c>
      <c r="I2591" s="15">
        <v>496.74</v>
      </c>
    </row>
    <row r="2592" spans="1:9">
      <c r="A2592" s="13">
        <v>45056</v>
      </c>
      <c r="B2592" s="91">
        <f t="shared" si="42"/>
        <v>2023</v>
      </c>
      <c r="C2592" s="15" t="s">
        <v>104</v>
      </c>
      <c r="D2592" s="15" t="s">
        <v>2135</v>
      </c>
      <c r="E2592" s="15" t="s">
        <v>2115</v>
      </c>
      <c r="F2592" s="15" t="s">
        <v>2120</v>
      </c>
      <c r="G2592" s="15" t="s">
        <v>2133</v>
      </c>
      <c r="H2592" s="15">
        <v>7517</v>
      </c>
      <c r="I2592" s="15">
        <v>992.9</v>
      </c>
    </row>
    <row r="2593" spans="1:9">
      <c r="A2593" s="13">
        <v>45034</v>
      </c>
      <c r="B2593" s="91">
        <f t="shared" si="42"/>
        <v>2023</v>
      </c>
      <c r="C2593" s="15" t="s">
        <v>104</v>
      </c>
      <c r="D2593" s="15" t="s">
        <v>2131</v>
      </c>
      <c r="E2593" s="15" t="s">
        <v>2115</v>
      </c>
      <c r="F2593" s="15" t="s">
        <v>2124</v>
      </c>
      <c r="G2593" s="15" t="s">
        <v>2140</v>
      </c>
      <c r="H2593" s="15">
        <v>2736</v>
      </c>
      <c r="I2593" s="15">
        <v>620.29999999999995</v>
      </c>
    </row>
    <row r="2594" spans="1:9">
      <c r="A2594" s="13">
        <v>45037</v>
      </c>
      <c r="B2594" s="91">
        <f t="shared" si="42"/>
        <v>2023</v>
      </c>
      <c r="C2594" s="15" t="s">
        <v>104</v>
      </c>
      <c r="D2594" s="15" t="s">
        <v>2142</v>
      </c>
      <c r="E2594" s="15" t="s">
        <v>2145</v>
      </c>
      <c r="F2594" s="15" t="s">
        <v>2138</v>
      </c>
      <c r="G2594" s="15" t="s">
        <v>2146</v>
      </c>
      <c r="H2594" s="15">
        <v>4521</v>
      </c>
      <c r="I2594" s="15">
        <v>827.95</v>
      </c>
    </row>
    <row r="2595" spans="1:9">
      <c r="A2595" s="13">
        <v>45230</v>
      </c>
      <c r="B2595" s="91">
        <f t="shared" si="42"/>
        <v>2023</v>
      </c>
      <c r="C2595" s="15" t="s">
        <v>107</v>
      </c>
      <c r="D2595" s="15" t="s">
        <v>2152</v>
      </c>
      <c r="E2595" s="15" t="s">
        <v>2119</v>
      </c>
      <c r="F2595" s="15" t="s">
        <v>2124</v>
      </c>
      <c r="G2595" s="15" t="s">
        <v>2130</v>
      </c>
      <c r="H2595" s="15">
        <v>3127</v>
      </c>
      <c r="I2595" s="15">
        <v>675.65</v>
      </c>
    </row>
    <row r="2596" spans="1:9">
      <c r="A2596" s="13">
        <v>45647</v>
      </c>
      <c r="B2596" s="91">
        <f t="shared" si="42"/>
        <v>2024</v>
      </c>
      <c r="C2596" s="15" t="s">
        <v>2141</v>
      </c>
      <c r="D2596" s="15" t="s">
        <v>2118</v>
      </c>
      <c r="E2596" s="15" t="s">
        <v>2145</v>
      </c>
      <c r="F2596" s="15" t="s">
        <v>2124</v>
      </c>
      <c r="G2596" s="15" t="s">
        <v>2130</v>
      </c>
      <c r="H2596" s="15">
        <v>4089</v>
      </c>
      <c r="I2596" s="15">
        <v>805.51</v>
      </c>
    </row>
    <row r="2597" spans="1:9">
      <c r="A2597" s="13">
        <v>45535</v>
      </c>
      <c r="B2597" s="91">
        <f t="shared" si="42"/>
        <v>2024</v>
      </c>
      <c r="C2597" s="15" t="s">
        <v>2113</v>
      </c>
      <c r="D2597" s="15" t="s">
        <v>2148</v>
      </c>
      <c r="E2597" s="15" t="s">
        <v>2136</v>
      </c>
      <c r="F2597" s="15" t="s">
        <v>2124</v>
      </c>
      <c r="G2597" s="15" t="s">
        <v>2125</v>
      </c>
      <c r="H2597" s="15">
        <v>5465</v>
      </c>
      <c r="I2597" s="15">
        <v>1062.48</v>
      </c>
    </row>
    <row r="2598" spans="1:9">
      <c r="A2598" s="13">
        <v>44778</v>
      </c>
      <c r="B2598" s="91">
        <f t="shared" si="42"/>
        <v>2022</v>
      </c>
      <c r="C2598" s="15" t="s">
        <v>107</v>
      </c>
      <c r="D2598" s="15" t="s">
        <v>2152</v>
      </c>
      <c r="E2598" s="15" t="s">
        <v>2136</v>
      </c>
      <c r="F2598" s="15" t="s">
        <v>2138</v>
      </c>
      <c r="G2598" s="15" t="s">
        <v>2149</v>
      </c>
      <c r="H2598" s="15">
        <v>1652</v>
      </c>
      <c r="I2598" s="15">
        <v>414.77</v>
      </c>
    </row>
    <row r="2599" spans="1:9">
      <c r="A2599" s="13">
        <v>44685</v>
      </c>
      <c r="B2599" s="91">
        <f t="shared" si="42"/>
        <v>2022</v>
      </c>
      <c r="C2599" s="15" t="s">
        <v>2141</v>
      </c>
      <c r="D2599" s="15" t="s">
        <v>2148</v>
      </c>
      <c r="E2599" s="15" t="s">
        <v>2145</v>
      </c>
      <c r="F2599" s="15" t="s">
        <v>2124</v>
      </c>
      <c r="G2599" s="15" t="s">
        <v>2140</v>
      </c>
      <c r="H2599" s="15">
        <v>3546</v>
      </c>
      <c r="I2599" s="15">
        <v>882.33</v>
      </c>
    </row>
    <row r="2600" spans="1:9">
      <c r="A2600" s="13">
        <v>45149</v>
      </c>
      <c r="B2600" s="91">
        <f t="shared" si="42"/>
        <v>2023</v>
      </c>
      <c r="C2600" s="15" t="s">
        <v>2113</v>
      </c>
      <c r="D2600" s="15" t="s">
        <v>2148</v>
      </c>
      <c r="E2600" s="15" t="s">
        <v>2143</v>
      </c>
      <c r="F2600" s="15" t="s">
        <v>2120</v>
      </c>
      <c r="G2600" s="15" t="s">
        <v>2132</v>
      </c>
      <c r="H2600" s="15">
        <v>9107</v>
      </c>
      <c r="I2600" s="15">
        <v>1053.05</v>
      </c>
    </row>
    <row r="2601" spans="1:9">
      <c r="A2601" s="13">
        <v>44839</v>
      </c>
      <c r="B2601" s="91">
        <f t="shared" si="42"/>
        <v>2022</v>
      </c>
      <c r="C2601" s="15" t="s">
        <v>107</v>
      </c>
      <c r="D2601" s="15" t="s">
        <v>2126</v>
      </c>
      <c r="E2601" s="15" t="s">
        <v>2134</v>
      </c>
      <c r="F2601" s="15" t="s">
        <v>2116</v>
      </c>
      <c r="G2601" s="15" t="s">
        <v>2127</v>
      </c>
      <c r="H2601" s="15">
        <v>7203</v>
      </c>
      <c r="I2601" s="15">
        <v>1503.75</v>
      </c>
    </row>
    <row r="2602" spans="1:9">
      <c r="A2602" s="13">
        <v>45593</v>
      </c>
      <c r="B2602" s="91">
        <f t="shared" si="42"/>
        <v>2024</v>
      </c>
      <c r="C2602" s="15" t="s">
        <v>104</v>
      </c>
      <c r="D2602" s="15" t="s">
        <v>2148</v>
      </c>
      <c r="E2602" s="15" t="s">
        <v>2134</v>
      </c>
      <c r="F2602" s="15" t="s">
        <v>2120</v>
      </c>
      <c r="G2602" s="15" t="s">
        <v>2132</v>
      </c>
      <c r="H2602" s="15">
        <v>7225</v>
      </c>
      <c r="I2602" s="15">
        <v>902.97</v>
      </c>
    </row>
    <row r="2603" spans="1:9">
      <c r="A2603" s="13">
        <v>44759</v>
      </c>
      <c r="B2603" s="91">
        <f t="shared" si="42"/>
        <v>2022</v>
      </c>
      <c r="C2603" s="15" t="s">
        <v>107</v>
      </c>
      <c r="D2603" s="15" t="s">
        <v>2128</v>
      </c>
      <c r="E2603" s="15" t="s">
        <v>2134</v>
      </c>
      <c r="F2603" s="15" t="s">
        <v>2138</v>
      </c>
      <c r="G2603" s="15" t="s">
        <v>2139</v>
      </c>
      <c r="H2603" s="15">
        <v>3018</v>
      </c>
      <c r="I2603" s="15">
        <v>393.57</v>
      </c>
    </row>
    <row r="2604" spans="1:9">
      <c r="A2604" s="13">
        <v>44874</v>
      </c>
      <c r="B2604" s="91">
        <f t="shared" si="42"/>
        <v>2022</v>
      </c>
      <c r="C2604" s="15" t="s">
        <v>2113</v>
      </c>
      <c r="D2604" s="15" t="s">
        <v>2128</v>
      </c>
      <c r="E2604" s="15" t="s">
        <v>2145</v>
      </c>
      <c r="F2604" s="15" t="s">
        <v>2120</v>
      </c>
      <c r="G2604" s="15" t="s">
        <v>2133</v>
      </c>
      <c r="H2604" s="15">
        <v>5187</v>
      </c>
      <c r="I2604" s="15">
        <v>1125.8800000000001</v>
      </c>
    </row>
    <row r="2605" spans="1:9">
      <c r="A2605" s="13">
        <v>44793</v>
      </c>
      <c r="B2605" s="91">
        <f t="shared" si="42"/>
        <v>2022</v>
      </c>
      <c r="C2605" s="15" t="s">
        <v>2113</v>
      </c>
      <c r="D2605" s="15" t="s">
        <v>2118</v>
      </c>
      <c r="E2605" s="15" t="s">
        <v>2144</v>
      </c>
      <c r="F2605" s="15" t="s">
        <v>2138</v>
      </c>
      <c r="G2605" s="15" t="s">
        <v>2149</v>
      </c>
      <c r="H2605" s="15">
        <v>5324</v>
      </c>
      <c r="I2605" s="15">
        <v>823.81</v>
      </c>
    </row>
    <row r="2606" spans="1:9">
      <c r="A2606" s="13">
        <v>45244</v>
      </c>
      <c r="B2606" s="91">
        <f t="shared" si="42"/>
        <v>2023</v>
      </c>
      <c r="C2606" s="15" t="s">
        <v>2113</v>
      </c>
      <c r="D2606" s="15" t="s">
        <v>2135</v>
      </c>
      <c r="E2606" s="15" t="s">
        <v>2145</v>
      </c>
      <c r="F2606" s="15" t="s">
        <v>2138</v>
      </c>
      <c r="G2606" s="15" t="s">
        <v>2139</v>
      </c>
      <c r="H2606" s="15">
        <v>5887</v>
      </c>
      <c r="I2606" s="15">
        <v>1292.21</v>
      </c>
    </row>
    <row r="2607" spans="1:9">
      <c r="A2607" s="13">
        <v>45388</v>
      </c>
      <c r="B2607" s="91">
        <f t="shared" si="42"/>
        <v>2024</v>
      </c>
      <c r="C2607" s="15" t="s">
        <v>107</v>
      </c>
      <c r="D2607" s="15" t="s">
        <v>2114</v>
      </c>
      <c r="E2607" s="15" t="s">
        <v>2145</v>
      </c>
      <c r="F2607" s="15" t="s">
        <v>2124</v>
      </c>
      <c r="G2607" s="15" t="s">
        <v>2140</v>
      </c>
      <c r="H2607" s="15">
        <v>9679</v>
      </c>
      <c r="I2607" s="15">
        <v>1922.25</v>
      </c>
    </row>
    <row r="2608" spans="1:9">
      <c r="A2608" s="13">
        <v>44684</v>
      </c>
      <c r="B2608" s="91">
        <f t="shared" si="42"/>
        <v>2022</v>
      </c>
      <c r="C2608" s="15" t="s">
        <v>2141</v>
      </c>
      <c r="D2608" s="15" t="s">
        <v>2152</v>
      </c>
      <c r="E2608" s="15" t="s">
        <v>2123</v>
      </c>
      <c r="F2608" s="15" t="s">
        <v>2124</v>
      </c>
      <c r="G2608" s="15" t="s">
        <v>2130</v>
      </c>
      <c r="H2608" s="15">
        <v>3366</v>
      </c>
      <c r="I2608" s="15">
        <v>560.88</v>
      </c>
    </row>
    <row r="2609" spans="1:9">
      <c r="A2609" s="13">
        <v>44664</v>
      </c>
      <c r="B2609" s="91">
        <f t="shared" si="42"/>
        <v>2022</v>
      </c>
      <c r="C2609" s="15" t="s">
        <v>2141</v>
      </c>
      <c r="D2609" s="15" t="s">
        <v>2131</v>
      </c>
      <c r="E2609" s="15" t="s">
        <v>2115</v>
      </c>
      <c r="F2609" s="15" t="s">
        <v>2116</v>
      </c>
      <c r="G2609" s="15" t="s">
        <v>2154</v>
      </c>
      <c r="H2609" s="15">
        <v>2488</v>
      </c>
      <c r="I2609" s="15">
        <v>624.16</v>
      </c>
    </row>
    <row r="2610" spans="1:9">
      <c r="A2610" s="13">
        <v>45282</v>
      </c>
      <c r="B2610" s="91">
        <f t="shared" si="42"/>
        <v>2023</v>
      </c>
      <c r="C2610" s="15" t="s">
        <v>107</v>
      </c>
      <c r="D2610" s="15" t="s">
        <v>2128</v>
      </c>
      <c r="E2610" s="15" t="s">
        <v>2145</v>
      </c>
      <c r="F2610" s="15" t="s">
        <v>2138</v>
      </c>
      <c r="G2610" s="15" t="s">
        <v>2146</v>
      </c>
      <c r="H2610" s="15">
        <v>6918</v>
      </c>
      <c r="I2610" s="15">
        <v>727.22</v>
      </c>
    </row>
    <row r="2611" spans="1:9">
      <c r="A2611" s="13">
        <v>45361</v>
      </c>
      <c r="B2611" s="91">
        <f t="shared" si="42"/>
        <v>2024</v>
      </c>
      <c r="C2611" s="15" t="s">
        <v>104</v>
      </c>
      <c r="D2611" s="15" t="s">
        <v>2126</v>
      </c>
      <c r="E2611" s="15" t="s">
        <v>2145</v>
      </c>
      <c r="F2611" s="15" t="s">
        <v>2138</v>
      </c>
      <c r="G2611" s="15" t="s">
        <v>2146</v>
      </c>
      <c r="H2611" s="15">
        <v>3368</v>
      </c>
      <c r="I2611" s="15">
        <v>398.36</v>
      </c>
    </row>
    <row r="2612" spans="1:9">
      <c r="A2612" s="13">
        <v>45127</v>
      </c>
      <c r="B2612" s="91">
        <f t="shared" si="42"/>
        <v>2023</v>
      </c>
      <c r="C2612" s="15" t="s">
        <v>107</v>
      </c>
      <c r="D2612" s="15" t="s">
        <v>2131</v>
      </c>
      <c r="E2612" s="15" t="s">
        <v>2134</v>
      </c>
      <c r="F2612" s="15" t="s">
        <v>2116</v>
      </c>
      <c r="G2612" s="15" t="s">
        <v>2154</v>
      </c>
      <c r="H2612" s="15">
        <v>1960</v>
      </c>
      <c r="I2612" s="15">
        <v>460.04</v>
      </c>
    </row>
    <row r="2613" spans="1:9">
      <c r="A2613" s="13">
        <v>45296</v>
      </c>
      <c r="B2613" s="91">
        <f t="shared" si="42"/>
        <v>2024</v>
      </c>
      <c r="C2613" s="15" t="s">
        <v>2113</v>
      </c>
      <c r="D2613" s="15" t="s">
        <v>2114</v>
      </c>
      <c r="E2613" s="15" t="s">
        <v>2123</v>
      </c>
      <c r="F2613" s="15" t="s">
        <v>2138</v>
      </c>
      <c r="G2613" s="15" t="s">
        <v>2149</v>
      </c>
      <c r="H2613" s="15">
        <v>2605</v>
      </c>
      <c r="I2613" s="15">
        <v>274.7</v>
      </c>
    </row>
    <row r="2614" spans="1:9">
      <c r="A2614" s="13">
        <v>45138</v>
      </c>
      <c r="B2614" s="91">
        <f t="shared" si="42"/>
        <v>2023</v>
      </c>
      <c r="C2614" s="15" t="s">
        <v>104</v>
      </c>
      <c r="D2614" s="15" t="s">
        <v>2128</v>
      </c>
      <c r="E2614" s="15" t="s">
        <v>2143</v>
      </c>
      <c r="F2614" s="15" t="s">
        <v>2138</v>
      </c>
      <c r="G2614" s="15" t="s">
        <v>2149</v>
      </c>
      <c r="H2614" s="15">
        <v>5205</v>
      </c>
      <c r="I2614" s="15">
        <v>1466.82</v>
      </c>
    </row>
    <row r="2615" spans="1:9">
      <c r="A2615" s="13">
        <v>45174</v>
      </c>
      <c r="B2615" s="91">
        <f t="shared" si="42"/>
        <v>2023</v>
      </c>
      <c r="C2615" s="15" t="s">
        <v>2141</v>
      </c>
      <c r="D2615" s="15" t="s">
        <v>2142</v>
      </c>
      <c r="E2615" s="15" t="s">
        <v>2143</v>
      </c>
      <c r="F2615" s="15" t="s">
        <v>2124</v>
      </c>
      <c r="G2615" s="15" t="s">
        <v>2140</v>
      </c>
      <c r="H2615" s="15">
        <v>4441</v>
      </c>
      <c r="I2615" s="15">
        <v>1178.6199999999999</v>
      </c>
    </row>
    <row r="2616" spans="1:9">
      <c r="A2616" s="13">
        <v>44985</v>
      </c>
      <c r="B2616" s="91">
        <f t="shared" si="42"/>
        <v>2023</v>
      </c>
      <c r="C2616" s="15" t="s">
        <v>2141</v>
      </c>
      <c r="D2616" s="15" t="s">
        <v>2148</v>
      </c>
      <c r="E2616" s="15" t="s">
        <v>2151</v>
      </c>
      <c r="F2616" s="15" t="s">
        <v>2124</v>
      </c>
      <c r="G2616" s="15" t="s">
        <v>2140</v>
      </c>
      <c r="H2616" s="15">
        <v>5468</v>
      </c>
      <c r="I2616" s="15">
        <v>683.59</v>
      </c>
    </row>
    <row r="2617" spans="1:9">
      <c r="A2617" s="13">
        <v>45510</v>
      </c>
      <c r="B2617" s="91">
        <f t="shared" si="42"/>
        <v>2024</v>
      </c>
      <c r="C2617" s="15" t="s">
        <v>104</v>
      </c>
      <c r="D2617" s="15" t="s">
        <v>2128</v>
      </c>
      <c r="E2617" s="15" t="s">
        <v>2134</v>
      </c>
      <c r="F2617" s="15" t="s">
        <v>2124</v>
      </c>
      <c r="G2617" s="15" t="s">
        <v>2130</v>
      </c>
      <c r="H2617" s="15">
        <v>8686</v>
      </c>
      <c r="I2617" s="15">
        <v>1761.34</v>
      </c>
    </row>
    <row r="2618" spans="1:9">
      <c r="A2618" s="13">
        <v>44590</v>
      </c>
      <c r="B2618" s="91">
        <f t="shared" si="42"/>
        <v>2022</v>
      </c>
      <c r="C2618" s="15" t="s">
        <v>2113</v>
      </c>
      <c r="D2618" s="15" t="s">
        <v>2135</v>
      </c>
      <c r="E2618" s="15" t="s">
        <v>2136</v>
      </c>
      <c r="F2618" s="15" t="s">
        <v>2120</v>
      </c>
      <c r="G2618" s="15" t="s">
        <v>2132</v>
      </c>
      <c r="H2618" s="15">
        <v>6759</v>
      </c>
      <c r="I2618" s="15">
        <v>931.48</v>
      </c>
    </row>
    <row r="2619" spans="1:9">
      <c r="A2619" s="13">
        <v>45414</v>
      </c>
      <c r="B2619" s="91">
        <f t="shared" si="42"/>
        <v>2024</v>
      </c>
      <c r="C2619" s="15" t="s">
        <v>107</v>
      </c>
      <c r="D2619" s="15" t="s">
        <v>2118</v>
      </c>
      <c r="E2619" s="15" t="s">
        <v>2123</v>
      </c>
      <c r="F2619" s="15" t="s">
        <v>2120</v>
      </c>
      <c r="G2619" s="15" t="s">
        <v>2132</v>
      </c>
      <c r="H2619" s="15">
        <v>9580</v>
      </c>
      <c r="I2619" s="15">
        <v>1427.05</v>
      </c>
    </row>
    <row r="2620" spans="1:9">
      <c r="A2620" s="13">
        <v>44579</v>
      </c>
      <c r="B2620" s="91">
        <f t="shared" si="42"/>
        <v>2022</v>
      </c>
      <c r="C2620" s="15" t="s">
        <v>2113</v>
      </c>
      <c r="D2620" s="15" t="s">
        <v>2114</v>
      </c>
      <c r="E2620" s="15" t="s">
        <v>2123</v>
      </c>
      <c r="F2620" s="15" t="s">
        <v>2138</v>
      </c>
      <c r="G2620" s="15" t="s">
        <v>2146</v>
      </c>
      <c r="H2620" s="15">
        <v>1972</v>
      </c>
      <c r="I2620" s="15">
        <v>432.56</v>
      </c>
    </row>
    <row r="2621" spans="1:9">
      <c r="A2621" s="13">
        <v>44991</v>
      </c>
      <c r="B2621" s="91">
        <f t="shared" si="42"/>
        <v>2023</v>
      </c>
      <c r="C2621" s="15" t="s">
        <v>107</v>
      </c>
      <c r="D2621" s="15" t="s">
        <v>2152</v>
      </c>
      <c r="E2621" s="15" t="s">
        <v>2151</v>
      </c>
      <c r="F2621" s="15" t="s">
        <v>2120</v>
      </c>
      <c r="G2621" s="15" t="s">
        <v>2121</v>
      </c>
      <c r="H2621" s="15">
        <v>5553</v>
      </c>
      <c r="I2621" s="15">
        <v>1237.76</v>
      </c>
    </row>
    <row r="2622" spans="1:9">
      <c r="A2622" s="13">
        <v>44741</v>
      </c>
      <c r="B2622" s="91">
        <f t="shared" si="42"/>
        <v>2022</v>
      </c>
      <c r="C2622" s="15" t="s">
        <v>104</v>
      </c>
      <c r="D2622" s="15" t="s">
        <v>2153</v>
      </c>
      <c r="E2622" s="15" t="s">
        <v>2115</v>
      </c>
      <c r="F2622" s="15" t="s">
        <v>2120</v>
      </c>
      <c r="G2622" s="15" t="s">
        <v>2132</v>
      </c>
      <c r="H2622" s="15">
        <v>2749</v>
      </c>
      <c r="I2622" s="15">
        <v>322.44</v>
      </c>
    </row>
    <row r="2623" spans="1:9">
      <c r="A2623" s="13">
        <v>44974</v>
      </c>
      <c r="B2623" s="91">
        <f t="shared" si="42"/>
        <v>2023</v>
      </c>
      <c r="C2623" s="15" t="s">
        <v>104</v>
      </c>
      <c r="D2623" s="15" t="s">
        <v>2135</v>
      </c>
      <c r="E2623" s="15" t="s">
        <v>2129</v>
      </c>
      <c r="F2623" s="15" t="s">
        <v>2138</v>
      </c>
      <c r="G2623" s="15" t="s">
        <v>2139</v>
      </c>
      <c r="H2623" s="15">
        <v>4843</v>
      </c>
      <c r="I2623" s="15">
        <v>982.55</v>
      </c>
    </row>
    <row r="2624" spans="1:9">
      <c r="A2624" s="13">
        <v>44764</v>
      </c>
      <c r="B2624" s="91">
        <f t="shared" si="42"/>
        <v>2022</v>
      </c>
      <c r="C2624" s="15" t="s">
        <v>2113</v>
      </c>
      <c r="D2624" s="15" t="s">
        <v>2128</v>
      </c>
      <c r="E2624" s="15" t="s">
        <v>2145</v>
      </c>
      <c r="F2624" s="15" t="s">
        <v>2124</v>
      </c>
      <c r="G2624" s="15" t="s">
        <v>2130</v>
      </c>
      <c r="H2624" s="15">
        <v>5082</v>
      </c>
      <c r="I2624" s="15">
        <v>904.97</v>
      </c>
    </row>
    <row r="2625" spans="1:9">
      <c r="A2625" s="13">
        <v>45598</v>
      </c>
      <c r="B2625" s="91">
        <f t="shared" si="42"/>
        <v>2024</v>
      </c>
      <c r="C2625" s="15" t="s">
        <v>104</v>
      </c>
      <c r="D2625" s="15" t="s">
        <v>2114</v>
      </c>
      <c r="E2625" s="15" t="s">
        <v>2151</v>
      </c>
      <c r="F2625" s="15" t="s">
        <v>2116</v>
      </c>
      <c r="G2625" s="15" t="s">
        <v>2127</v>
      </c>
      <c r="H2625" s="15">
        <v>6575</v>
      </c>
      <c r="I2625" s="15">
        <v>1517.79</v>
      </c>
    </row>
    <row r="2626" spans="1:9">
      <c r="A2626" s="13">
        <v>45050</v>
      </c>
      <c r="B2626" s="91">
        <f t="shared" si="42"/>
        <v>2023</v>
      </c>
      <c r="C2626" s="15" t="s">
        <v>107</v>
      </c>
      <c r="D2626" s="15" t="s">
        <v>2152</v>
      </c>
      <c r="E2626" s="15" t="s">
        <v>2115</v>
      </c>
      <c r="F2626" s="15" t="s">
        <v>2138</v>
      </c>
      <c r="G2626" s="15" t="s">
        <v>2139</v>
      </c>
      <c r="H2626" s="15">
        <v>9729</v>
      </c>
      <c r="I2626" s="15">
        <v>1455.15</v>
      </c>
    </row>
    <row r="2627" spans="1:9">
      <c r="A2627" s="13">
        <v>44665</v>
      </c>
      <c r="B2627" s="91">
        <f t="shared" ref="B2627:B2690" si="43">YEAR(A2627)</f>
        <v>2022</v>
      </c>
      <c r="C2627" s="15" t="s">
        <v>2141</v>
      </c>
      <c r="D2627" s="15" t="s">
        <v>2152</v>
      </c>
      <c r="E2627" s="15" t="s">
        <v>2123</v>
      </c>
      <c r="F2627" s="15" t="s">
        <v>2120</v>
      </c>
      <c r="G2627" s="15" t="s">
        <v>2133</v>
      </c>
      <c r="H2627" s="15">
        <v>6098</v>
      </c>
      <c r="I2627" s="15">
        <v>882.13</v>
      </c>
    </row>
    <row r="2628" spans="1:9">
      <c r="A2628" s="13">
        <v>45362</v>
      </c>
      <c r="B2628" s="91">
        <f t="shared" si="43"/>
        <v>2024</v>
      </c>
      <c r="C2628" s="15" t="s">
        <v>104</v>
      </c>
      <c r="D2628" s="15" t="s">
        <v>2152</v>
      </c>
      <c r="E2628" s="15" t="s">
        <v>2144</v>
      </c>
      <c r="F2628" s="15" t="s">
        <v>2120</v>
      </c>
      <c r="G2628" s="15" t="s">
        <v>2133</v>
      </c>
      <c r="H2628" s="15">
        <v>3947</v>
      </c>
      <c r="I2628" s="15">
        <v>493.31</v>
      </c>
    </row>
    <row r="2629" spans="1:9">
      <c r="A2629" s="13">
        <v>44598</v>
      </c>
      <c r="B2629" s="91">
        <f t="shared" si="43"/>
        <v>2022</v>
      </c>
      <c r="C2629" s="15" t="s">
        <v>107</v>
      </c>
      <c r="D2629" s="15" t="s">
        <v>2131</v>
      </c>
      <c r="E2629" s="15" t="s">
        <v>2151</v>
      </c>
      <c r="F2629" s="15" t="s">
        <v>2120</v>
      </c>
      <c r="G2629" s="15" t="s">
        <v>2121</v>
      </c>
      <c r="H2629" s="15">
        <v>5115</v>
      </c>
      <c r="I2629" s="15">
        <v>696.8</v>
      </c>
    </row>
    <row r="2630" spans="1:9">
      <c r="A2630" s="13">
        <v>45138</v>
      </c>
      <c r="B2630" s="91">
        <f t="shared" si="43"/>
        <v>2023</v>
      </c>
      <c r="C2630" s="15" t="s">
        <v>2141</v>
      </c>
      <c r="D2630" s="15" t="s">
        <v>2118</v>
      </c>
      <c r="E2630" s="15" t="s">
        <v>2129</v>
      </c>
      <c r="F2630" s="15" t="s">
        <v>2138</v>
      </c>
      <c r="G2630" s="15" t="s">
        <v>2139</v>
      </c>
      <c r="H2630" s="15">
        <v>6485</v>
      </c>
      <c r="I2630" s="15">
        <v>1245.52</v>
      </c>
    </row>
    <row r="2631" spans="1:9">
      <c r="A2631" s="13">
        <v>45226</v>
      </c>
      <c r="B2631" s="91">
        <f t="shared" si="43"/>
        <v>2023</v>
      </c>
      <c r="C2631" s="15" t="s">
        <v>104</v>
      </c>
      <c r="D2631" s="15" t="s">
        <v>2118</v>
      </c>
      <c r="E2631" s="15" t="s">
        <v>2145</v>
      </c>
      <c r="F2631" s="15" t="s">
        <v>2116</v>
      </c>
      <c r="G2631" s="15" t="s">
        <v>2117</v>
      </c>
      <c r="H2631" s="15">
        <v>8254</v>
      </c>
      <c r="I2631" s="15">
        <v>1658.9</v>
      </c>
    </row>
    <row r="2632" spans="1:9">
      <c r="A2632" s="13">
        <v>44933</v>
      </c>
      <c r="B2632" s="91">
        <f t="shared" si="43"/>
        <v>2023</v>
      </c>
      <c r="C2632" s="15" t="s">
        <v>2141</v>
      </c>
      <c r="D2632" s="15" t="s">
        <v>2118</v>
      </c>
      <c r="E2632" s="15" t="s">
        <v>2143</v>
      </c>
      <c r="F2632" s="15" t="s">
        <v>2138</v>
      </c>
      <c r="G2632" s="15" t="s">
        <v>2139</v>
      </c>
      <c r="H2632" s="15">
        <v>3502</v>
      </c>
      <c r="I2632" s="15">
        <v>673.21</v>
      </c>
    </row>
    <row r="2633" spans="1:9">
      <c r="A2633" s="13">
        <v>45099</v>
      </c>
      <c r="B2633" s="91">
        <f t="shared" si="43"/>
        <v>2023</v>
      </c>
      <c r="C2633" s="15" t="s">
        <v>104</v>
      </c>
      <c r="D2633" s="15" t="s">
        <v>2131</v>
      </c>
      <c r="E2633" s="15" t="s">
        <v>2151</v>
      </c>
      <c r="F2633" s="15" t="s">
        <v>2124</v>
      </c>
      <c r="G2633" s="15" t="s">
        <v>2140</v>
      </c>
      <c r="H2633" s="15">
        <v>7237</v>
      </c>
      <c r="I2633" s="15">
        <v>1166.67</v>
      </c>
    </row>
    <row r="2634" spans="1:9">
      <c r="A2634" s="13">
        <v>44801</v>
      </c>
      <c r="B2634" s="91">
        <f t="shared" si="43"/>
        <v>2022</v>
      </c>
      <c r="C2634" s="15" t="s">
        <v>107</v>
      </c>
      <c r="D2634" s="15" t="s">
        <v>2153</v>
      </c>
      <c r="E2634" s="15" t="s">
        <v>2134</v>
      </c>
      <c r="F2634" s="15" t="s">
        <v>2138</v>
      </c>
      <c r="G2634" s="15" t="s">
        <v>2146</v>
      </c>
      <c r="H2634" s="15">
        <v>9980</v>
      </c>
      <c r="I2634" s="15">
        <v>2272.04</v>
      </c>
    </row>
    <row r="2635" spans="1:9">
      <c r="A2635" s="13">
        <v>45406</v>
      </c>
      <c r="B2635" s="91">
        <f t="shared" si="43"/>
        <v>2024</v>
      </c>
      <c r="C2635" s="15" t="s">
        <v>107</v>
      </c>
      <c r="D2635" s="15" t="s">
        <v>2142</v>
      </c>
      <c r="E2635" s="15" t="s">
        <v>2123</v>
      </c>
      <c r="F2635" s="15" t="s">
        <v>2124</v>
      </c>
      <c r="G2635" s="15" t="s">
        <v>2140</v>
      </c>
      <c r="H2635" s="15">
        <v>9271</v>
      </c>
      <c r="I2635" s="15">
        <v>2501.7600000000002</v>
      </c>
    </row>
    <row r="2636" spans="1:9">
      <c r="A2636" s="13">
        <v>44581</v>
      </c>
      <c r="B2636" s="91">
        <f t="shared" si="43"/>
        <v>2022</v>
      </c>
      <c r="C2636" s="15" t="s">
        <v>104</v>
      </c>
      <c r="D2636" s="15" t="s">
        <v>2148</v>
      </c>
      <c r="E2636" s="15" t="s">
        <v>2151</v>
      </c>
      <c r="F2636" s="15" t="s">
        <v>2116</v>
      </c>
      <c r="G2636" s="15" t="s">
        <v>2154</v>
      </c>
      <c r="H2636" s="15">
        <v>4969</v>
      </c>
      <c r="I2636" s="15">
        <v>751.16</v>
      </c>
    </row>
    <row r="2637" spans="1:9">
      <c r="A2637" s="13">
        <v>45122</v>
      </c>
      <c r="B2637" s="91">
        <f t="shared" si="43"/>
        <v>2023</v>
      </c>
      <c r="C2637" s="15" t="s">
        <v>104</v>
      </c>
      <c r="D2637" s="15" t="s">
        <v>2114</v>
      </c>
      <c r="E2637" s="15" t="s">
        <v>2134</v>
      </c>
      <c r="F2637" s="15" t="s">
        <v>2138</v>
      </c>
      <c r="G2637" s="15" t="s">
        <v>2149</v>
      </c>
      <c r="H2637" s="15">
        <v>6427</v>
      </c>
      <c r="I2637" s="15">
        <v>1558.99</v>
      </c>
    </row>
    <row r="2638" spans="1:9">
      <c r="A2638" s="13">
        <v>45331</v>
      </c>
      <c r="B2638" s="91">
        <f t="shared" si="43"/>
        <v>2024</v>
      </c>
      <c r="C2638" s="15" t="s">
        <v>104</v>
      </c>
      <c r="D2638" s="15" t="s">
        <v>2142</v>
      </c>
      <c r="E2638" s="15" t="s">
        <v>2123</v>
      </c>
      <c r="F2638" s="15" t="s">
        <v>2124</v>
      </c>
      <c r="G2638" s="15" t="s">
        <v>2130</v>
      </c>
      <c r="H2638" s="15">
        <v>2432</v>
      </c>
      <c r="I2638" s="15">
        <v>376.47</v>
      </c>
    </row>
    <row r="2639" spans="1:9">
      <c r="A2639" s="13">
        <v>44567</v>
      </c>
      <c r="B2639" s="91">
        <f t="shared" si="43"/>
        <v>2022</v>
      </c>
      <c r="C2639" s="15" t="s">
        <v>107</v>
      </c>
      <c r="D2639" s="15" t="s">
        <v>2118</v>
      </c>
      <c r="E2639" s="15" t="s">
        <v>2151</v>
      </c>
      <c r="F2639" s="15" t="s">
        <v>2120</v>
      </c>
      <c r="G2639" s="15" t="s">
        <v>2133</v>
      </c>
      <c r="H2639" s="15">
        <v>1906</v>
      </c>
      <c r="I2639" s="15">
        <v>552.16</v>
      </c>
    </row>
    <row r="2640" spans="1:9">
      <c r="A2640" s="13">
        <v>44894</v>
      </c>
      <c r="B2640" s="91">
        <f t="shared" si="43"/>
        <v>2022</v>
      </c>
      <c r="C2640" s="15" t="s">
        <v>107</v>
      </c>
      <c r="D2640" s="15" t="s">
        <v>2148</v>
      </c>
      <c r="E2640" s="15" t="s">
        <v>2143</v>
      </c>
      <c r="F2640" s="15" t="s">
        <v>2138</v>
      </c>
      <c r="G2640" s="15" t="s">
        <v>2139</v>
      </c>
      <c r="H2640" s="15">
        <v>4930</v>
      </c>
      <c r="I2640" s="15">
        <v>777.35</v>
      </c>
    </row>
    <row r="2641" spans="1:9">
      <c r="A2641" s="13">
        <v>45481</v>
      </c>
      <c r="B2641" s="91">
        <f t="shared" si="43"/>
        <v>2024</v>
      </c>
      <c r="C2641" s="15" t="s">
        <v>104</v>
      </c>
      <c r="D2641" s="15" t="s">
        <v>2152</v>
      </c>
      <c r="E2641" s="15" t="s">
        <v>2129</v>
      </c>
      <c r="F2641" s="15" t="s">
        <v>2138</v>
      </c>
      <c r="G2641" s="15" t="s">
        <v>2139</v>
      </c>
      <c r="H2641" s="15">
        <v>5411</v>
      </c>
      <c r="I2641" s="15">
        <v>1244.8499999999999</v>
      </c>
    </row>
    <row r="2642" spans="1:9">
      <c r="A2642" s="13">
        <v>45331</v>
      </c>
      <c r="B2642" s="91">
        <f t="shared" si="43"/>
        <v>2024</v>
      </c>
      <c r="C2642" s="15" t="s">
        <v>2113</v>
      </c>
      <c r="D2642" s="15" t="s">
        <v>2148</v>
      </c>
      <c r="E2642" s="15" t="s">
        <v>2119</v>
      </c>
      <c r="F2642" s="15" t="s">
        <v>2120</v>
      </c>
      <c r="G2642" s="15" t="s">
        <v>2132</v>
      </c>
      <c r="H2642" s="15">
        <v>2266</v>
      </c>
      <c r="I2642" s="15">
        <v>568.91999999999996</v>
      </c>
    </row>
    <row r="2643" spans="1:9">
      <c r="A2643" s="13">
        <v>44807</v>
      </c>
      <c r="B2643" s="91">
        <f t="shared" si="43"/>
        <v>2022</v>
      </c>
      <c r="C2643" s="15" t="s">
        <v>2141</v>
      </c>
      <c r="D2643" s="15" t="s">
        <v>2142</v>
      </c>
      <c r="E2643" s="15" t="s">
        <v>2144</v>
      </c>
      <c r="F2643" s="15" t="s">
        <v>2138</v>
      </c>
      <c r="G2643" s="15" t="s">
        <v>2139</v>
      </c>
      <c r="H2643" s="15">
        <v>3680</v>
      </c>
      <c r="I2643" s="15">
        <v>885.63</v>
      </c>
    </row>
    <row r="2644" spans="1:9">
      <c r="A2644" s="13">
        <v>45557</v>
      </c>
      <c r="B2644" s="91">
        <f t="shared" si="43"/>
        <v>2024</v>
      </c>
      <c r="C2644" s="15" t="s">
        <v>104</v>
      </c>
      <c r="D2644" s="15" t="s">
        <v>2131</v>
      </c>
      <c r="E2644" s="15" t="s">
        <v>2123</v>
      </c>
      <c r="F2644" s="15" t="s">
        <v>2124</v>
      </c>
      <c r="G2644" s="15" t="s">
        <v>2140</v>
      </c>
      <c r="H2644" s="15">
        <v>8005</v>
      </c>
      <c r="I2644" s="15">
        <v>950.17</v>
      </c>
    </row>
    <row r="2645" spans="1:9">
      <c r="A2645" s="13">
        <v>44999</v>
      </c>
      <c r="B2645" s="91">
        <f t="shared" si="43"/>
        <v>2023</v>
      </c>
      <c r="C2645" s="15" t="s">
        <v>2113</v>
      </c>
      <c r="D2645" s="15" t="s">
        <v>2152</v>
      </c>
      <c r="E2645" s="15" t="s">
        <v>2123</v>
      </c>
      <c r="F2645" s="15" t="s">
        <v>2138</v>
      </c>
      <c r="G2645" s="15" t="s">
        <v>2149</v>
      </c>
      <c r="H2645" s="15">
        <v>4740</v>
      </c>
      <c r="I2645" s="15">
        <v>975.63</v>
      </c>
    </row>
    <row r="2646" spans="1:9">
      <c r="A2646" s="13">
        <v>45473</v>
      </c>
      <c r="B2646" s="91">
        <f t="shared" si="43"/>
        <v>2024</v>
      </c>
      <c r="C2646" s="15" t="s">
        <v>2113</v>
      </c>
      <c r="D2646" s="15" t="s">
        <v>2118</v>
      </c>
      <c r="E2646" s="15" t="s">
        <v>2151</v>
      </c>
      <c r="F2646" s="15" t="s">
        <v>2116</v>
      </c>
      <c r="G2646" s="15" t="s">
        <v>2117</v>
      </c>
      <c r="H2646" s="15">
        <v>9239</v>
      </c>
      <c r="I2646" s="15">
        <v>1338.49</v>
      </c>
    </row>
    <row r="2647" spans="1:9">
      <c r="A2647" s="13">
        <v>45506</v>
      </c>
      <c r="B2647" s="91">
        <f t="shared" si="43"/>
        <v>2024</v>
      </c>
      <c r="C2647" s="15" t="s">
        <v>2141</v>
      </c>
      <c r="D2647" s="15" t="s">
        <v>2126</v>
      </c>
      <c r="E2647" s="15" t="s">
        <v>2151</v>
      </c>
      <c r="F2647" s="15" t="s">
        <v>2120</v>
      </c>
      <c r="G2647" s="15" t="s">
        <v>2133</v>
      </c>
      <c r="H2647" s="15">
        <v>2156</v>
      </c>
      <c r="I2647" s="15">
        <v>511.54</v>
      </c>
    </row>
    <row r="2648" spans="1:9">
      <c r="A2648" s="13">
        <v>44625</v>
      </c>
      <c r="B2648" s="91">
        <f t="shared" si="43"/>
        <v>2022</v>
      </c>
      <c r="C2648" s="15" t="s">
        <v>107</v>
      </c>
      <c r="D2648" s="15" t="s">
        <v>2153</v>
      </c>
      <c r="E2648" s="15" t="s">
        <v>2145</v>
      </c>
      <c r="F2648" s="15" t="s">
        <v>2124</v>
      </c>
      <c r="G2648" s="15" t="s">
        <v>2130</v>
      </c>
      <c r="H2648" s="15">
        <v>5683</v>
      </c>
      <c r="I2648" s="15">
        <v>841.82</v>
      </c>
    </row>
    <row r="2649" spans="1:9">
      <c r="A2649" s="13">
        <v>45201</v>
      </c>
      <c r="B2649" s="91">
        <f t="shared" si="43"/>
        <v>2023</v>
      </c>
      <c r="C2649" s="15" t="s">
        <v>2141</v>
      </c>
      <c r="D2649" s="15" t="s">
        <v>2148</v>
      </c>
      <c r="E2649" s="15" t="s">
        <v>2115</v>
      </c>
      <c r="F2649" s="15" t="s">
        <v>2124</v>
      </c>
      <c r="G2649" s="15" t="s">
        <v>2140</v>
      </c>
      <c r="H2649" s="15">
        <v>8158</v>
      </c>
      <c r="I2649" s="15">
        <v>1357.95</v>
      </c>
    </row>
    <row r="2650" spans="1:9">
      <c r="A2650" s="13">
        <v>44982</v>
      </c>
      <c r="B2650" s="91">
        <f t="shared" si="43"/>
        <v>2023</v>
      </c>
      <c r="C2650" s="15" t="s">
        <v>107</v>
      </c>
      <c r="D2650" s="15" t="s">
        <v>2131</v>
      </c>
      <c r="E2650" s="15" t="s">
        <v>2143</v>
      </c>
      <c r="F2650" s="15" t="s">
        <v>2120</v>
      </c>
      <c r="G2650" s="15" t="s">
        <v>2133</v>
      </c>
      <c r="H2650" s="15">
        <v>2594</v>
      </c>
      <c r="I2650" s="15">
        <v>608.55999999999995</v>
      </c>
    </row>
    <row r="2651" spans="1:9">
      <c r="A2651" s="13">
        <v>44738</v>
      </c>
      <c r="B2651" s="91">
        <f t="shared" si="43"/>
        <v>2022</v>
      </c>
      <c r="C2651" s="15" t="s">
        <v>2113</v>
      </c>
      <c r="D2651" s="15" t="s">
        <v>2153</v>
      </c>
      <c r="E2651" s="15" t="s">
        <v>2134</v>
      </c>
      <c r="F2651" s="15" t="s">
        <v>2124</v>
      </c>
      <c r="G2651" s="15" t="s">
        <v>2125</v>
      </c>
      <c r="H2651" s="15">
        <v>1289</v>
      </c>
      <c r="I2651" s="15">
        <v>385.22</v>
      </c>
    </row>
    <row r="2652" spans="1:9">
      <c r="A2652" s="13">
        <v>44688</v>
      </c>
      <c r="B2652" s="91">
        <f t="shared" si="43"/>
        <v>2022</v>
      </c>
      <c r="C2652" s="15" t="s">
        <v>104</v>
      </c>
      <c r="D2652" s="15" t="s">
        <v>2142</v>
      </c>
      <c r="E2652" s="15" t="s">
        <v>2119</v>
      </c>
      <c r="F2652" s="15" t="s">
        <v>2124</v>
      </c>
      <c r="G2652" s="15" t="s">
        <v>2130</v>
      </c>
      <c r="H2652" s="15">
        <v>3677</v>
      </c>
      <c r="I2652" s="15">
        <v>412.8</v>
      </c>
    </row>
    <row r="2653" spans="1:9">
      <c r="A2653" s="13">
        <v>45068</v>
      </c>
      <c r="B2653" s="91">
        <f t="shared" si="43"/>
        <v>2023</v>
      </c>
      <c r="C2653" s="15" t="s">
        <v>104</v>
      </c>
      <c r="D2653" s="15" t="s">
        <v>2114</v>
      </c>
      <c r="E2653" s="15" t="s">
        <v>2123</v>
      </c>
      <c r="F2653" s="15" t="s">
        <v>2120</v>
      </c>
      <c r="G2653" s="15" t="s">
        <v>2121</v>
      </c>
      <c r="H2653" s="15">
        <v>7320</v>
      </c>
      <c r="I2653" s="15">
        <v>1434.96</v>
      </c>
    </row>
    <row r="2654" spans="1:9">
      <c r="A2654" s="13">
        <v>45358</v>
      </c>
      <c r="B2654" s="91">
        <f t="shared" si="43"/>
        <v>2024</v>
      </c>
      <c r="C2654" s="15" t="s">
        <v>104</v>
      </c>
      <c r="D2654" s="15" t="s">
        <v>2152</v>
      </c>
      <c r="E2654" s="15" t="s">
        <v>2119</v>
      </c>
      <c r="F2654" s="15" t="s">
        <v>2124</v>
      </c>
      <c r="G2654" s="15" t="s">
        <v>2130</v>
      </c>
      <c r="H2654" s="15">
        <v>1798</v>
      </c>
      <c r="I2654" s="15">
        <v>271.27999999999997</v>
      </c>
    </row>
    <row r="2655" spans="1:9">
      <c r="A2655" s="13">
        <v>45542</v>
      </c>
      <c r="B2655" s="91">
        <f t="shared" si="43"/>
        <v>2024</v>
      </c>
      <c r="C2655" s="15" t="s">
        <v>104</v>
      </c>
      <c r="D2655" s="15" t="s">
        <v>2131</v>
      </c>
      <c r="E2655" s="15" t="s">
        <v>2134</v>
      </c>
      <c r="F2655" s="15" t="s">
        <v>2138</v>
      </c>
      <c r="G2655" s="15" t="s">
        <v>2149</v>
      </c>
      <c r="H2655" s="15">
        <v>2377</v>
      </c>
      <c r="I2655" s="15">
        <v>691.95</v>
      </c>
    </row>
    <row r="2656" spans="1:9">
      <c r="A2656" s="13">
        <v>45436</v>
      </c>
      <c r="B2656" s="91">
        <f t="shared" si="43"/>
        <v>2024</v>
      </c>
      <c r="C2656" s="15" t="s">
        <v>2141</v>
      </c>
      <c r="D2656" s="15" t="s">
        <v>2131</v>
      </c>
      <c r="E2656" s="15" t="s">
        <v>2143</v>
      </c>
      <c r="F2656" s="15" t="s">
        <v>2138</v>
      </c>
      <c r="G2656" s="15" t="s">
        <v>2139</v>
      </c>
      <c r="H2656" s="15">
        <v>7069</v>
      </c>
      <c r="I2656" s="15">
        <v>1710.65</v>
      </c>
    </row>
    <row r="2657" spans="1:9">
      <c r="A2657" s="13">
        <v>45549</v>
      </c>
      <c r="B2657" s="91">
        <f t="shared" si="43"/>
        <v>2024</v>
      </c>
      <c r="C2657" s="15" t="s">
        <v>104</v>
      </c>
      <c r="D2657" s="15" t="s">
        <v>2135</v>
      </c>
      <c r="E2657" s="15" t="s">
        <v>2145</v>
      </c>
      <c r="F2657" s="15" t="s">
        <v>2120</v>
      </c>
      <c r="G2657" s="15" t="s">
        <v>2132</v>
      </c>
      <c r="H2657" s="15">
        <v>9047</v>
      </c>
      <c r="I2657" s="15">
        <v>1207.92</v>
      </c>
    </row>
    <row r="2658" spans="1:9">
      <c r="A2658" s="13">
        <v>45188</v>
      </c>
      <c r="B2658" s="91">
        <f t="shared" si="43"/>
        <v>2023</v>
      </c>
      <c r="C2658" s="15" t="s">
        <v>104</v>
      </c>
      <c r="D2658" s="15" t="s">
        <v>2128</v>
      </c>
      <c r="E2658" s="15" t="s">
        <v>2134</v>
      </c>
      <c r="F2658" s="15" t="s">
        <v>2138</v>
      </c>
      <c r="G2658" s="15" t="s">
        <v>2149</v>
      </c>
      <c r="H2658" s="15">
        <v>8622</v>
      </c>
      <c r="I2658" s="15">
        <v>2374.08</v>
      </c>
    </row>
    <row r="2659" spans="1:9">
      <c r="A2659" s="13">
        <v>45634</v>
      </c>
      <c r="B2659" s="91">
        <f t="shared" si="43"/>
        <v>2024</v>
      </c>
      <c r="C2659" s="15" t="s">
        <v>2113</v>
      </c>
      <c r="D2659" s="15" t="s">
        <v>2148</v>
      </c>
      <c r="E2659" s="15" t="s">
        <v>2144</v>
      </c>
      <c r="F2659" s="15" t="s">
        <v>2120</v>
      </c>
      <c r="G2659" s="15" t="s">
        <v>2133</v>
      </c>
      <c r="H2659" s="15">
        <v>7870</v>
      </c>
      <c r="I2659" s="15">
        <v>2342.9</v>
      </c>
    </row>
    <row r="2660" spans="1:9">
      <c r="A2660" s="13">
        <v>45160</v>
      </c>
      <c r="B2660" s="91">
        <f t="shared" si="43"/>
        <v>2023</v>
      </c>
      <c r="C2660" s="15" t="s">
        <v>2113</v>
      </c>
      <c r="D2660" s="15" t="s">
        <v>2114</v>
      </c>
      <c r="E2660" s="15" t="s">
        <v>2119</v>
      </c>
      <c r="F2660" s="15" t="s">
        <v>2116</v>
      </c>
      <c r="G2660" s="15" t="s">
        <v>2117</v>
      </c>
      <c r="H2660" s="15">
        <v>2389</v>
      </c>
      <c r="I2660" s="15">
        <v>302.08999999999997</v>
      </c>
    </row>
    <row r="2661" spans="1:9">
      <c r="A2661" s="13">
        <v>45028</v>
      </c>
      <c r="B2661" s="91">
        <f t="shared" si="43"/>
        <v>2023</v>
      </c>
      <c r="C2661" s="15" t="s">
        <v>107</v>
      </c>
      <c r="D2661" s="15" t="s">
        <v>2142</v>
      </c>
      <c r="E2661" s="15" t="s">
        <v>2145</v>
      </c>
      <c r="F2661" s="15" t="s">
        <v>2124</v>
      </c>
      <c r="G2661" s="15" t="s">
        <v>2140</v>
      </c>
      <c r="H2661" s="15">
        <v>5899</v>
      </c>
      <c r="I2661" s="15">
        <v>1062.95</v>
      </c>
    </row>
    <row r="2662" spans="1:9">
      <c r="A2662" s="13">
        <v>44714</v>
      </c>
      <c r="B2662" s="91">
        <f t="shared" si="43"/>
        <v>2022</v>
      </c>
      <c r="C2662" s="15" t="s">
        <v>2113</v>
      </c>
      <c r="D2662" s="15" t="s">
        <v>2142</v>
      </c>
      <c r="E2662" s="15" t="s">
        <v>2144</v>
      </c>
      <c r="F2662" s="15" t="s">
        <v>2116</v>
      </c>
      <c r="G2662" s="15" t="s">
        <v>2154</v>
      </c>
      <c r="H2662" s="15">
        <v>9630</v>
      </c>
      <c r="I2662" s="15">
        <v>1480.53</v>
      </c>
    </row>
    <row r="2663" spans="1:9">
      <c r="A2663" s="13">
        <v>45162</v>
      </c>
      <c r="B2663" s="91">
        <f t="shared" si="43"/>
        <v>2023</v>
      </c>
      <c r="C2663" s="15" t="s">
        <v>104</v>
      </c>
      <c r="D2663" s="15" t="s">
        <v>2118</v>
      </c>
      <c r="E2663" s="15" t="s">
        <v>2119</v>
      </c>
      <c r="F2663" s="15" t="s">
        <v>2124</v>
      </c>
      <c r="G2663" s="15" t="s">
        <v>2140</v>
      </c>
      <c r="H2663" s="15">
        <v>3666</v>
      </c>
      <c r="I2663" s="15">
        <v>748.86</v>
      </c>
    </row>
    <row r="2664" spans="1:9">
      <c r="A2664" s="13">
        <v>44668</v>
      </c>
      <c r="B2664" s="91">
        <f t="shared" si="43"/>
        <v>2022</v>
      </c>
      <c r="C2664" s="15" t="s">
        <v>2141</v>
      </c>
      <c r="D2664" s="15" t="s">
        <v>2152</v>
      </c>
      <c r="E2664" s="15" t="s">
        <v>2123</v>
      </c>
      <c r="F2664" s="15" t="s">
        <v>2116</v>
      </c>
      <c r="G2664" s="15" t="s">
        <v>2117</v>
      </c>
      <c r="H2664" s="15">
        <v>1399</v>
      </c>
      <c r="I2664" s="15">
        <v>352.66</v>
      </c>
    </row>
    <row r="2665" spans="1:9">
      <c r="A2665" s="13">
        <v>45060</v>
      </c>
      <c r="B2665" s="91">
        <f t="shared" si="43"/>
        <v>2023</v>
      </c>
      <c r="C2665" s="15" t="s">
        <v>104</v>
      </c>
      <c r="D2665" s="15" t="s">
        <v>2118</v>
      </c>
      <c r="E2665" s="15" t="s">
        <v>2119</v>
      </c>
      <c r="F2665" s="15" t="s">
        <v>2120</v>
      </c>
      <c r="G2665" s="15" t="s">
        <v>2132</v>
      </c>
      <c r="H2665" s="15">
        <v>6749</v>
      </c>
      <c r="I2665" s="15">
        <v>1958.07</v>
      </c>
    </row>
    <row r="2666" spans="1:9">
      <c r="A2666" s="13">
        <v>45404</v>
      </c>
      <c r="B2666" s="91">
        <f t="shared" si="43"/>
        <v>2024</v>
      </c>
      <c r="C2666" s="15" t="s">
        <v>2113</v>
      </c>
      <c r="D2666" s="15" t="s">
        <v>2131</v>
      </c>
      <c r="E2666" s="15" t="s">
        <v>2129</v>
      </c>
      <c r="F2666" s="15" t="s">
        <v>2138</v>
      </c>
      <c r="G2666" s="15" t="s">
        <v>2149</v>
      </c>
      <c r="H2666" s="15">
        <v>7677</v>
      </c>
      <c r="I2666" s="15">
        <v>1835.43</v>
      </c>
    </row>
    <row r="2667" spans="1:9">
      <c r="A2667" s="13">
        <v>44725</v>
      </c>
      <c r="B2667" s="91">
        <f t="shared" si="43"/>
        <v>2022</v>
      </c>
      <c r="C2667" s="15" t="s">
        <v>2113</v>
      </c>
      <c r="D2667" s="15" t="s">
        <v>2142</v>
      </c>
      <c r="E2667" s="15" t="s">
        <v>2145</v>
      </c>
      <c r="F2667" s="15" t="s">
        <v>2124</v>
      </c>
      <c r="G2667" s="15" t="s">
        <v>2130</v>
      </c>
      <c r="H2667" s="15">
        <v>9647</v>
      </c>
      <c r="I2667" s="15">
        <v>2753.55</v>
      </c>
    </row>
    <row r="2668" spans="1:9">
      <c r="A2668" s="13">
        <v>45144</v>
      </c>
      <c r="B2668" s="91">
        <f t="shared" si="43"/>
        <v>2023</v>
      </c>
      <c r="C2668" s="15" t="s">
        <v>2113</v>
      </c>
      <c r="D2668" s="15" t="s">
        <v>2153</v>
      </c>
      <c r="E2668" s="15" t="s">
        <v>2136</v>
      </c>
      <c r="F2668" s="15" t="s">
        <v>2116</v>
      </c>
      <c r="G2668" s="15" t="s">
        <v>2154</v>
      </c>
      <c r="H2668" s="15">
        <v>8229</v>
      </c>
      <c r="I2668" s="15">
        <v>2240.1799999999998</v>
      </c>
    </row>
    <row r="2669" spans="1:9">
      <c r="A2669" s="13">
        <v>44662</v>
      </c>
      <c r="B2669" s="91">
        <f t="shared" si="43"/>
        <v>2022</v>
      </c>
      <c r="C2669" s="15" t="s">
        <v>2141</v>
      </c>
      <c r="D2669" s="15" t="s">
        <v>2135</v>
      </c>
      <c r="E2669" s="15" t="s">
        <v>2129</v>
      </c>
      <c r="F2669" s="15" t="s">
        <v>2124</v>
      </c>
      <c r="G2669" s="15" t="s">
        <v>2140</v>
      </c>
      <c r="H2669" s="15">
        <v>3044</v>
      </c>
      <c r="I2669" s="15">
        <v>366.5</v>
      </c>
    </row>
    <row r="2670" spans="1:9">
      <c r="A2670" s="13">
        <v>45179</v>
      </c>
      <c r="B2670" s="91">
        <f t="shared" si="43"/>
        <v>2023</v>
      </c>
      <c r="C2670" s="15" t="s">
        <v>2113</v>
      </c>
      <c r="D2670" s="15" t="s">
        <v>2118</v>
      </c>
      <c r="E2670" s="15" t="s">
        <v>2115</v>
      </c>
      <c r="F2670" s="15" t="s">
        <v>2138</v>
      </c>
      <c r="G2670" s="15" t="s">
        <v>2149</v>
      </c>
      <c r="H2670" s="15">
        <v>4511</v>
      </c>
      <c r="I2670" s="15">
        <v>1235.94</v>
      </c>
    </row>
    <row r="2671" spans="1:9">
      <c r="A2671" s="13">
        <v>44879</v>
      </c>
      <c r="B2671" s="91">
        <f t="shared" si="43"/>
        <v>2022</v>
      </c>
      <c r="C2671" s="15" t="s">
        <v>107</v>
      </c>
      <c r="D2671" s="15" t="s">
        <v>2128</v>
      </c>
      <c r="E2671" s="15" t="s">
        <v>2151</v>
      </c>
      <c r="F2671" s="15" t="s">
        <v>2120</v>
      </c>
      <c r="G2671" s="15" t="s">
        <v>2132</v>
      </c>
      <c r="H2671" s="15">
        <v>7300</v>
      </c>
      <c r="I2671" s="15">
        <v>740.21</v>
      </c>
    </row>
    <row r="2672" spans="1:9">
      <c r="A2672" s="13">
        <v>45148</v>
      </c>
      <c r="B2672" s="91">
        <f t="shared" si="43"/>
        <v>2023</v>
      </c>
      <c r="C2672" s="15" t="s">
        <v>104</v>
      </c>
      <c r="D2672" s="15" t="s">
        <v>2131</v>
      </c>
      <c r="E2672" s="15" t="s">
        <v>2123</v>
      </c>
      <c r="F2672" s="15" t="s">
        <v>2120</v>
      </c>
      <c r="G2672" s="15" t="s">
        <v>2132</v>
      </c>
      <c r="H2672" s="15">
        <v>8044</v>
      </c>
      <c r="I2672" s="15">
        <v>2396.77</v>
      </c>
    </row>
    <row r="2673" spans="1:9">
      <c r="A2673" s="13">
        <v>44962</v>
      </c>
      <c r="B2673" s="91">
        <f t="shared" si="43"/>
        <v>2023</v>
      </c>
      <c r="C2673" s="15" t="s">
        <v>104</v>
      </c>
      <c r="D2673" s="15" t="s">
        <v>2135</v>
      </c>
      <c r="E2673" s="15" t="s">
        <v>2134</v>
      </c>
      <c r="F2673" s="15" t="s">
        <v>2124</v>
      </c>
      <c r="G2673" s="15" t="s">
        <v>2125</v>
      </c>
      <c r="H2673" s="15">
        <v>4166</v>
      </c>
      <c r="I2673" s="15">
        <v>584.32000000000005</v>
      </c>
    </row>
    <row r="2674" spans="1:9">
      <c r="A2674" s="13">
        <v>45594</v>
      </c>
      <c r="B2674" s="91">
        <f t="shared" si="43"/>
        <v>2024</v>
      </c>
      <c r="C2674" s="15" t="s">
        <v>104</v>
      </c>
      <c r="D2674" s="15" t="s">
        <v>2128</v>
      </c>
      <c r="E2674" s="15" t="s">
        <v>2144</v>
      </c>
      <c r="F2674" s="15" t="s">
        <v>2138</v>
      </c>
      <c r="G2674" s="15" t="s">
        <v>2139</v>
      </c>
      <c r="H2674" s="15">
        <v>8202</v>
      </c>
      <c r="I2674" s="15">
        <v>1876.09</v>
      </c>
    </row>
    <row r="2675" spans="1:9">
      <c r="A2675" s="13">
        <v>44968</v>
      </c>
      <c r="B2675" s="91">
        <f t="shared" si="43"/>
        <v>2023</v>
      </c>
      <c r="C2675" s="15" t="s">
        <v>104</v>
      </c>
      <c r="D2675" s="15" t="s">
        <v>2152</v>
      </c>
      <c r="E2675" s="15" t="s">
        <v>2144</v>
      </c>
      <c r="F2675" s="15" t="s">
        <v>2124</v>
      </c>
      <c r="G2675" s="15" t="s">
        <v>2130</v>
      </c>
      <c r="H2675" s="15">
        <v>6261</v>
      </c>
      <c r="I2675" s="15">
        <v>807.51</v>
      </c>
    </row>
    <row r="2676" spans="1:9">
      <c r="A2676" s="13">
        <v>44995</v>
      </c>
      <c r="B2676" s="91">
        <f t="shared" si="43"/>
        <v>2023</v>
      </c>
      <c r="C2676" s="15" t="s">
        <v>2113</v>
      </c>
      <c r="D2676" s="15" t="s">
        <v>2118</v>
      </c>
      <c r="E2676" s="15" t="s">
        <v>2136</v>
      </c>
      <c r="F2676" s="15" t="s">
        <v>2120</v>
      </c>
      <c r="G2676" s="15" t="s">
        <v>2133</v>
      </c>
      <c r="H2676" s="15">
        <v>4310</v>
      </c>
      <c r="I2676" s="15">
        <v>646.89</v>
      </c>
    </row>
    <row r="2677" spans="1:9">
      <c r="A2677" s="13">
        <v>44592</v>
      </c>
      <c r="B2677" s="91">
        <f t="shared" si="43"/>
        <v>2022</v>
      </c>
      <c r="C2677" s="15" t="s">
        <v>2141</v>
      </c>
      <c r="D2677" s="15" t="s">
        <v>2128</v>
      </c>
      <c r="E2677" s="15" t="s">
        <v>2145</v>
      </c>
      <c r="F2677" s="15" t="s">
        <v>2120</v>
      </c>
      <c r="G2677" s="15" t="s">
        <v>2133</v>
      </c>
      <c r="H2677" s="15">
        <v>1541</v>
      </c>
      <c r="I2677" s="15">
        <v>285.67</v>
      </c>
    </row>
    <row r="2678" spans="1:9">
      <c r="A2678" s="13">
        <v>45454</v>
      </c>
      <c r="B2678" s="91">
        <f t="shared" si="43"/>
        <v>2024</v>
      </c>
      <c r="C2678" s="15" t="s">
        <v>2141</v>
      </c>
      <c r="D2678" s="15" t="s">
        <v>2153</v>
      </c>
      <c r="E2678" s="15" t="s">
        <v>2119</v>
      </c>
      <c r="F2678" s="15" t="s">
        <v>2120</v>
      </c>
      <c r="G2678" s="15" t="s">
        <v>2132</v>
      </c>
      <c r="H2678" s="15">
        <v>3447</v>
      </c>
      <c r="I2678" s="15">
        <v>375.28</v>
      </c>
    </row>
    <row r="2679" spans="1:9">
      <c r="A2679" s="13">
        <v>44630</v>
      </c>
      <c r="B2679" s="91">
        <f t="shared" si="43"/>
        <v>2022</v>
      </c>
      <c r="C2679" s="15" t="s">
        <v>2113</v>
      </c>
      <c r="D2679" s="15" t="s">
        <v>2152</v>
      </c>
      <c r="E2679" s="15" t="s">
        <v>2119</v>
      </c>
      <c r="F2679" s="15" t="s">
        <v>2116</v>
      </c>
      <c r="G2679" s="15" t="s">
        <v>2154</v>
      </c>
      <c r="H2679" s="15">
        <v>8544</v>
      </c>
      <c r="I2679" s="15">
        <v>2486.23</v>
      </c>
    </row>
    <row r="2680" spans="1:9">
      <c r="A2680" s="13">
        <v>44797</v>
      </c>
      <c r="B2680" s="91">
        <f t="shared" si="43"/>
        <v>2022</v>
      </c>
      <c r="C2680" s="15" t="s">
        <v>104</v>
      </c>
      <c r="D2680" s="15" t="s">
        <v>2131</v>
      </c>
      <c r="E2680" s="15" t="s">
        <v>2119</v>
      </c>
      <c r="F2680" s="15" t="s">
        <v>2116</v>
      </c>
      <c r="G2680" s="15" t="s">
        <v>2117</v>
      </c>
      <c r="H2680" s="15">
        <v>6803</v>
      </c>
      <c r="I2680" s="15">
        <v>1710.26</v>
      </c>
    </row>
    <row r="2681" spans="1:9">
      <c r="A2681" s="13">
        <v>45534</v>
      </c>
      <c r="B2681" s="91">
        <f t="shared" si="43"/>
        <v>2024</v>
      </c>
      <c r="C2681" s="15" t="s">
        <v>107</v>
      </c>
      <c r="D2681" s="15" t="s">
        <v>2126</v>
      </c>
      <c r="E2681" s="15" t="s">
        <v>2144</v>
      </c>
      <c r="F2681" s="15" t="s">
        <v>2120</v>
      </c>
      <c r="G2681" s="15" t="s">
        <v>2132</v>
      </c>
      <c r="H2681" s="15">
        <v>3082</v>
      </c>
      <c r="I2681" s="15">
        <v>433.02</v>
      </c>
    </row>
    <row r="2682" spans="1:9">
      <c r="A2682" s="13">
        <v>44794</v>
      </c>
      <c r="B2682" s="91">
        <f t="shared" si="43"/>
        <v>2022</v>
      </c>
      <c r="C2682" s="15" t="s">
        <v>104</v>
      </c>
      <c r="D2682" s="15" t="s">
        <v>2126</v>
      </c>
      <c r="E2682" s="15" t="s">
        <v>2151</v>
      </c>
      <c r="F2682" s="15" t="s">
        <v>2116</v>
      </c>
      <c r="G2682" s="15" t="s">
        <v>2127</v>
      </c>
      <c r="H2682" s="15">
        <v>6310</v>
      </c>
      <c r="I2682" s="15">
        <v>878.04</v>
      </c>
    </row>
    <row r="2683" spans="1:9">
      <c r="A2683" s="13">
        <v>44978</v>
      </c>
      <c r="B2683" s="91">
        <f t="shared" si="43"/>
        <v>2023</v>
      </c>
      <c r="C2683" s="15" t="s">
        <v>2113</v>
      </c>
      <c r="D2683" s="15" t="s">
        <v>2142</v>
      </c>
      <c r="E2683" s="15" t="s">
        <v>2136</v>
      </c>
      <c r="F2683" s="15" t="s">
        <v>2116</v>
      </c>
      <c r="G2683" s="15" t="s">
        <v>2117</v>
      </c>
      <c r="H2683" s="15">
        <v>6559</v>
      </c>
      <c r="I2683" s="15">
        <v>1144.28</v>
      </c>
    </row>
    <row r="2684" spans="1:9">
      <c r="A2684" s="13">
        <v>44933</v>
      </c>
      <c r="B2684" s="91">
        <f t="shared" si="43"/>
        <v>2023</v>
      </c>
      <c r="C2684" s="15" t="s">
        <v>104</v>
      </c>
      <c r="D2684" s="15" t="s">
        <v>2135</v>
      </c>
      <c r="E2684" s="15" t="s">
        <v>2151</v>
      </c>
      <c r="F2684" s="15" t="s">
        <v>2124</v>
      </c>
      <c r="G2684" s="15" t="s">
        <v>2125</v>
      </c>
      <c r="H2684" s="15">
        <v>2332</v>
      </c>
      <c r="I2684" s="15">
        <v>642.21</v>
      </c>
    </row>
    <row r="2685" spans="1:9">
      <c r="A2685" s="13">
        <v>45222</v>
      </c>
      <c r="B2685" s="91">
        <f t="shared" si="43"/>
        <v>2023</v>
      </c>
      <c r="C2685" s="15" t="s">
        <v>2113</v>
      </c>
      <c r="D2685" s="15" t="s">
        <v>2131</v>
      </c>
      <c r="E2685" s="15" t="s">
        <v>2145</v>
      </c>
      <c r="F2685" s="15" t="s">
        <v>2116</v>
      </c>
      <c r="G2685" s="15" t="s">
        <v>2127</v>
      </c>
      <c r="H2685" s="15">
        <v>5233</v>
      </c>
      <c r="I2685" s="15">
        <v>1267.97</v>
      </c>
    </row>
    <row r="2686" spans="1:9">
      <c r="A2686" s="13">
        <v>44732</v>
      </c>
      <c r="B2686" s="91">
        <f t="shared" si="43"/>
        <v>2022</v>
      </c>
      <c r="C2686" s="15" t="s">
        <v>2141</v>
      </c>
      <c r="D2686" s="15" t="s">
        <v>2114</v>
      </c>
      <c r="E2686" s="15" t="s">
        <v>2129</v>
      </c>
      <c r="F2686" s="15" t="s">
        <v>2120</v>
      </c>
      <c r="G2686" s="15" t="s">
        <v>2121</v>
      </c>
      <c r="H2686" s="15">
        <v>8499</v>
      </c>
      <c r="I2686" s="15">
        <v>2511.29</v>
      </c>
    </row>
    <row r="2687" spans="1:9">
      <c r="A2687" s="13">
        <v>45391</v>
      </c>
      <c r="B2687" s="91">
        <f t="shared" si="43"/>
        <v>2024</v>
      </c>
      <c r="C2687" s="15" t="s">
        <v>2141</v>
      </c>
      <c r="D2687" s="15" t="s">
        <v>2118</v>
      </c>
      <c r="E2687" s="15" t="s">
        <v>2115</v>
      </c>
      <c r="F2687" s="15" t="s">
        <v>2120</v>
      </c>
      <c r="G2687" s="15" t="s">
        <v>2132</v>
      </c>
      <c r="H2687" s="15">
        <v>3341</v>
      </c>
      <c r="I2687" s="15">
        <v>521.27</v>
      </c>
    </row>
    <row r="2688" spans="1:9">
      <c r="A2688" s="13">
        <v>45102</v>
      </c>
      <c r="B2688" s="91">
        <f t="shared" si="43"/>
        <v>2023</v>
      </c>
      <c r="C2688" s="15" t="s">
        <v>104</v>
      </c>
      <c r="D2688" s="15" t="s">
        <v>2152</v>
      </c>
      <c r="E2688" s="15" t="s">
        <v>2129</v>
      </c>
      <c r="F2688" s="15" t="s">
        <v>2124</v>
      </c>
      <c r="G2688" s="15" t="s">
        <v>2130</v>
      </c>
      <c r="H2688" s="15">
        <v>6334</v>
      </c>
      <c r="I2688" s="15">
        <v>1620.26</v>
      </c>
    </row>
    <row r="2689" spans="1:9">
      <c r="A2689" s="13">
        <v>45516</v>
      </c>
      <c r="B2689" s="91">
        <f t="shared" si="43"/>
        <v>2024</v>
      </c>
      <c r="C2689" s="15" t="s">
        <v>2113</v>
      </c>
      <c r="D2689" s="15" t="s">
        <v>2131</v>
      </c>
      <c r="E2689" s="15" t="s">
        <v>2115</v>
      </c>
      <c r="F2689" s="15" t="s">
        <v>2138</v>
      </c>
      <c r="G2689" s="15" t="s">
        <v>2146</v>
      </c>
      <c r="H2689" s="15">
        <v>4324</v>
      </c>
      <c r="I2689" s="15">
        <v>510.3</v>
      </c>
    </row>
    <row r="2690" spans="1:9">
      <c r="A2690" s="13">
        <v>44673</v>
      </c>
      <c r="B2690" s="91">
        <f t="shared" si="43"/>
        <v>2022</v>
      </c>
      <c r="C2690" s="15" t="s">
        <v>104</v>
      </c>
      <c r="D2690" s="15" t="s">
        <v>2128</v>
      </c>
      <c r="E2690" s="15" t="s">
        <v>2145</v>
      </c>
      <c r="F2690" s="15" t="s">
        <v>2138</v>
      </c>
      <c r="G2690" s="15" t="s">
        <v>2149</v>
      </c>
      <c r="H2690" s="15">
        <v>6246</v>
      </c>
      <c r="I2690" s="15">
        <v>1750.12</v>
      </c>
    </row>
    <row r="2691" spans="1:9">
      <c r="A2691" s="13">
        <v>44578</v>
      </c>
      <c r="B2691" s="91">
        <f t="shared" ref="B2691:B2754" si="44">YEAR(A2691)</f>
        <v>2022</v>
      </c>
      <c r="C2691" s="15" t="s">
        <v>107</v>
      </c>
      <c r="D2691" s="15" t="s">
        <v>2135</v>
      </c>
      <c r="E2691" s="15" t="s">
        <v>2129</v>
      </c>
      <c r="F2691" s="15" t="s">
        <v>2116</v>
      </c>
      <c r="G2691" s="15" t="s">
        <v>2117</v>
      </c>
      <c r="H2691" s="15">
        <v>9703</v>
      </c>
      <c r="I2691" s="15">
        <v>1111.8399999999999</v>
      </c>
    </row>
    <row r="2692" spans="1:9">
      <c r="A2692" s="13">
        <v>45313</v>
      </c>
      <c r="B2692" s="91">
        <f t="shared" si="44"/>
        <v>2024</v>
      </c>
      <c r="C2692" s="15" t="s">
        <v>107</v>
      </c>
      <c r="D2692" s="15" t="s">
        <v>2118</v>
      </c>
      <c r="E2692" s="15" t="s">
        <v>2145</v>
      </c>
      <c r="F2692" s="15" t="s">
        <v>2138</v>
      </c>
      <c r="G2692" s="15" t="s">
        <v>2139</v>
      </c>
      <c r="H2692" s="15">
        <v>3363</v>
      </c>
      <c r="I2692" s="15">
        <v>589</v>
      </c>
    </row>
    <row r="2693" spans="1:9">
      <c r="A2693" s="13">
        <v>44742</v>
      </c>
      <c r="B2693" s="91">
        <f t="shared" si="44"/>
        <v>2022</v>
      </c>
      <c r="C2693" s="15" t="s">
        <v>104</v>
      </c>
      <c r="D2693" s="15" t="s">
        <v>2114</v>
      </c>
      <c r="E2693" s="15" t="s">
        <v>2115</v>
      </c>
      <c r="F2693" s="15" t="s">
        <v>2138</v>
      </c>
      <c r="G2693" s="15" t="s">
        <v>2146</v>
      </c>
      <c r="H2693" s="15">
        <v>2835</v>
      </c>
      <c r="I2693" s="15">
        <v>389.8</v>
      </c>
    </row>
    <row r="2694" spans="1:9">
      <c r="A2694" s="13">
        <v>44801</v>
      </c>
      <c r="B2694" s="91">
        <f t="shared" si="44"/>
        <v>2022</v>
      </c>
      <c r="C2694" s="15" t="s">
        <v>2113</v>
      </c>
      <c r="D2694" s="15" t="s">
        <v>2148</v>
      </c>
      <c r="E2694" s="15" t="s">
        <v>2123</v>
      </c>
      <c r="F2694" s="15" t="s">
        <v>2120</v>
      </c>
      <c r="G2694" s="15" t="s">
        <v>2132</v>
      </c>
      <c r="H2694" s="15">
        <v>7193</v>
      </c>
      <c r="I2694" s="15">
        <v>1479.56</v>
      </c>
    </row>
    <row r="2695" spans="1:9">
      <c r="A2695" s="13">
        <v>45117</v>
      </c>
      <c r="B2695" s="91">
        <f t="shared" si="44"/>
        <v>2023</v>
      </c>
      <c r="C2695" s="15" t="s">
        <v>104</v>
      </c>
      <c r="D2695" s="15" t="s">
        <v>2118</v>
      </c>
      <c r="E2695" s="15" t="s">
        <v>2134</v>
      </c>
      <c r="F2695" s="15" t="s">
        <v>2120</v>
      </c>
      <c r="G2695" s="15" t="s">
        <v>2133</v>
      </c>
      <c r="H2695" s="15">
        <v>9430</v>
      </c>
      <c r="I2695" s="15">
        <v>1946.67</v>
      </c>
    </row>
    <row r="2696" spans="1:9">
      <c r="A2696" s="13">
        <v>45542</v>
      </c>
      <c r="B2696" s="91">
        <f t="shared" si="44"/>
        <v>2024</v>
      </c>
      <c r="C2696" s="15" t="s">
        <v>107</v>
      </c>
      <c r="D2696" s="15" t="s">
        <v>2118</v>
      </c>
      <c r="E2696" s="15" t="s">
        <v>2136</v>
      </c>
      <c r="F2696" s="15" t="s">
        <v>2124</v>
      </c>
      <c r="G2696" s="15" t="s">
        <v>2140</v>
      </c>
      <c r="H2696" s="15">
        <v>8301</v>
      </c>
      <c r="I2696" s="15">
        <v>2466.8200000000002</v>
      </c>
    </row>
    <row r="2697" spans="1:9">
      <c r="A2697" s="13">
        <v>44814</v>
      </c>
      <c r="B2697" s="91">
        <f t="shared" si="44"/>
        <v>2022</v>
      </c>
      <c r="C2697" s="15" t="s">
        <v>2113</v>
      </c>
      <c r="D2697" s="15" t="s">
        <v>2128</v>
      </c>
      <c r="E2697" s="15" t="s">
        <v>2144</v>
      </c>
      <c r="F2697" s="15" t="s">
        <v>2116</v>
      </c>
      <c r="G2697" s="15" t="s">
        <v>2117</v>
      </c>
      <c r="H2697" s="15">
        <v>3509</v>
      </c>
      <c r="I2697" s="15">
        <v>871.82</v>
      </c>
    </row>
    <row r="2698" spans="1:9">
      <c r="A2698" s="13">
        <v>45211</v>
      </c>
      <c r="B2698" s="91">
        <f t="shared" si="44"/>
        <v>2023</v>
      </c>
      <c r="C2698" s="15" t="s">
        <v>107</v>
      </c>
      <c r="D2698" s="15" t="s">
        <v>2153</v>
      </c>
      <c r="E2698" s="15" t="s">
        <v>2134</v>
      </c>
      <c r="F2698" s="15" t="s">
        <v>2124</v>
      </c>
      <c r="G2698" s="15" t="s">
        <v>2140</v>
      </c>
      <c r="H2698" s="15">
        <v>3451</v>
      </c>
      <c r="I2698" s="15">
        <v>874.71</v>
      </c>
    </row>
    <row r="2699" spans="1:9">
      <c r="A2699" s="13">
        <v>44786</v>
      </c>
      <c r="B2699" s="91">
        <f t="shared" si="44"/>
        <v>2022</v>
      </c>
      <c r="C2699" s="15" t="s">
        <v>2141</v>
      </c>
      <c r="D2699" s="15" t="s">
        <v>2142</v>
      </c>
      <c r="E2699" s="15" t="s">
        <v>2123</v>
      </c>
      <c r="F2699" s="15" t="s">
        <v>2124</v>
      </c>
      <c r="G2699" s="15" t="s">
        <v>2125</v>
      </c>
      <c r="H2699" s="15">
        <v>2115</v>
      </c>
      <c r="I2699" s="15">
        <v>377.04</v>
      </c>
    </row>
    <row r="2700" spans="1:9">
      <c r="A2700" s="13">
        <v>45626</v>
      </c>
      <c r="B2700" s="91">
        <f t="shared" si="44"/>
        <v>2024</v>
      </c>
      <c r="C2700" s="15" t="s">
        <v>107</v>
      </c>
      <c r="D2700" s="15" t="s">
        <v>2153</v>
      </c>
      <c r="E2700" s="15" t="s">
        <v>2151</v>
      </c>
      <c r="F2700" s="15" t="s">
        <v>2120</v>
      </c>
      <c r="G2700" s="15" t="s">
        <v>2132</v>
      </c>
      <c r="H2700" s="15">
        <v>7057</v>
      </c>
      <c r="I2700" s="15">
        <v>1185.24</v>
      </c>
    </row>
    <row r="2701" spans="1:9">
      <c r="A2701" s="13">
        <v>45373</v>
      </c>
      <c r="B2701" s="91">
        <f t="shared" si="44"/>
        <v>2024</v>
      </c>
      <c r="C2701" s="15" t="s">
        <v>2141</v>
      </c>
      <c r="D2701" s="15" t="s">
        <v>2153</v>
      </c>
      <c r="E2701" s="15" t="s">
        <v>2143</v>
      </c>
      <c r="F2701" s="15" t="s">
        <v>2120</v>
      </c>
      <c r="G2701" s="15" t="s">
        <v>2132</v>
      </c>
      <c r="H2701" s="15">
        <v>3920</v>
      </c>
      <c r="I2701" s="15">
        <v>678.15</v>
      </c>
    </row>
    <row r="2702" spans="1:9">
      <c r="A2702" s="13">
        <v>45617</v>
      </c>
      <c r="B2702" s="91">
        <f t="shared" si="44"/>
        <v>2024</v>
      </c>
      <c r="C2702" s="15" t="s">
        <v>107</v>
      </c>
      <c r="D2702" s="15" t="s">
        <v>2153</v>
      </c>
      <c r="E2702" s="15" t="s">
        <v>2129</v>
      </c>
      <c r="F2702" s="15" t="s">
        <v>2120</v>
      </c>
      <c r="G2702" s="15" t="s">
        <v>2121</v>
      </c>
      <c r="H2702" s="15">
        <v>8878</v>
      </c>
      <c r="I2702" s="15">
        <v>1181.3599999999999</v>
      </c>
    </row>
    <row r="2703" spans="1:9">
      <c r="A2703" s="13">
        <v>44605</v>
      </c>
      <c r="B2703" s="91">
        <f t="shared" si="44"/>
        <v>2022</v>
      </c>
      <c r="C2703" s="15" t="s">
        <v>104</v>
      </c>
      <c r="D2703" s="15" t="s">
        <v>2126</v>
      </c>
      <c r="E2703" s="15" t="s">
        <v>2123</v>
      </c>
      <c r="F2703" s="15" t="s">
        <v>2116</v>
      </c>
      <c r="G2703" s="15" t="s">
        <v>2127</v>
      </c>
      <c r="H2703" s="15">
        <v>6316</v>
      </c>
      <c r="I2703" s="15">
        <v>755.65</v>
      </c>
    </row>
    <row r="2704" spans="1:9">
      <c r="A2704" s="13">
        <v>45301</v>
      </c>
      <c r="B2704" s="91">
        <f t="shared" si="44"/>
        <v>2024</v>
      </c>
      <c r="C2704" s="15" t="s">
        <v>104</v>
      </c>
      <c r="D2704" s="15" t="s">
        <v>2153</v>
      </c>
      <c r="E2704" s="15" t="s">
        <v>2134</v>
      </c>
      <c r="F2704" s="15" t="s">
        <v>2120</v>
      </c>
      <c r="G2704" s="15" t="s">
        <v>2132</v>
      </c>
      <c r="H2704" s="15">
        <v>7122</v>
      </c>
      <c r="I2704" s="15">
        <v>1125.0999999999999</v>
      </c>
    </row>
    <row r="2705" spans="1:9">
      <c r="A2705" s="13">
        <v>44767</v>
      </c>
      <c r="B2705" s="91">
        <f t="shared" si="44"/>
        <v>2022</v>
      </c>
      <c r="C2705" s="15" t="s">
        <v>107</v>
      </c>
      <c r="D2705" s="15" t="s">
        <v>2148</v>
      </c>
      <c r="E2705" s="15" t="s">
        <v>2151</v>
      </c>
      <c r="F2705" s="15" t="s">
        <v>2124</v>
      </c>
      <c r="G2705" s="15" t="s">
        <v>2130</v>
      </c>
      <c r="H2705" s="15">
        <v>6868</v>
      </c>
      <c r="I2705" s="15">
        <v>762.88</v>
      </c>
    </row>
    <row r="2706" spans="1:9">
      <c r="A2706" s="13">
        <v>45262</v>
      </c>
      <c r="B2706" s="91">
        <f t="shared" si="44"/>
        <v>2023</v>
      </c>
      <c r="C2706" s="15" t="s">
        <v>2113</v>
      </c>
      <c r="D2706" s="15" t="s">
        <v>2131</v>
      </c>
      <c r="E2706" s="15" t="s">
        <v>2136</v>
      </c>
      <c r="F2706" s="15" t="s">
        <v>2116</v>
      </c>
      <c r="G2706" s="15" t="s">
        <v>2117</v>
      </c>
      <c r="H2706" s="15">
        <v>2862</v>
      </c>
      <c r="I2706" s="15">
        <v>801.41</v>
      </c>
    </row>
    <row r="2707" spans="1:9">
      <c r="A2707" s="13">
        <v>45470</v>
      </c>
      <c r="B2707" s="91">
        <f t="shared" si="44"/>
        <v>2024</v>
      </c>
      <c r="C2707" s="15" t="s">
        <v>104</v>
      </c>
      <c r="D2707" s="15" t="s">
        <v>2152</v>
      </c>
      <c r="E2707" s="15" t="s">
        <v>2136</v>
      </c>
      <c r="F2707" s="15" t="s">
        <v>2138</v>
      </c>
      <c r="G2707" s="15" t="s">
        <v>2139</v>
      </c>
      <c r="H2707" s="15">
        <v>2343</v>
      </c>
      <c r="I2707" s="15">
        <v>370.06</v>
      </c>
    </row>
    <row r="2708" spans="1:9">
      <c r="A2708" s="13">
        <v>44614</v>
      </c>
      <c r="B2708" s="91">
        <f t="shared" si="44"/>
        <v>2022</v>
      </c>
      <c r="C2708" s="15" t="s">
        <v>2113</v>
      </c>
      <c r="D2708" s="15" t="s">
        <v>2128</v>
      </c>
      <c r="E2708" s="15" t="s">
        <v>2145</v>
      </c>
      <c r="F2708" s="15" t="s">
        <v>2138</v>
      </c>
      <c r="G2708" s="15" t="s">
        <v>2139</v>
      </c>
      <c r="H2708" s="15">
        <v>8925</v>
      </c>
      <c r="I2708" s="15">
        <v>1769.45</v>
      </c>
    </row>
    <row r="2709" spans="1:9">
      <c r="A2709" s="13">
        <v>44692</v>
      </c>
      <c r="B2709" s="91">
        <f t="shared" si="44"/>
        <v>2022</v>
      </c>
      <c r="C2709" s="15" t="s">
        <v>2141</v>
      </c>
      <c r="D2709" s="15" t="s">
        <v>2114</v>
      </c>
      <c r="E2709" s="15" t="s">
        <v>2144</v>
      </c>
      <c r="F2709" s="15" t="s">
        <v>2138</v>
      </c>
      <c r="G2709" s="15" t="s">
        <v>2149</v>
      </c>
      <c r="H2709" s="15">
        <v>9305</v>
      </c>
      <c r="I2709" s="15">
        <v>1978.28</v>
      </c>
    </row>
    <row r="2710" spans="1:9">
      <c r="A2710" s="13">
        <v>45607</v>
      </c>
      <c r="B2710" s="91">
        <f t="shared" si="44"/>
        <v>2024</v>
      </c>
      <c r="C2710" s="15" t="s">
        <v>107</v>
      </c>
      <c r="D2710" s="15" t="s">
        <v>2126</v>
      </c>
      <c r="E2710" s="15" t="s">
        <v>2144</v>
      </c>
      <c r="F2710" s="15" t="s">
        <v>2124</v>
      </c>
      <c r="G2710" s="15" t="s">
        <v>2140</v>
      </c>
      <c r="H2710" s="15">
        <v>2323</v>
      </c>
      <c r="I2710" s="15">
        <v>338.08</v>
      </c>
    </row>
    <row r="2711" spans="1:9">
      <c r="A2711" s="13">
        <v>44925</v>
      </c>
      <c r="B2711" s="91">
        <f t="shared" si="44"/>
        <v>2022</v>
      </c>
      <c r="C2711" s="15" t="s">
        <v>2113</v>
      </c>
      <c r="D2711" s="15" t="s">
        <v>2135</v>
      </c>
      <c r="E2711" s="15" t="s">
        <v>2151</v>
      </c>
      <c r="F2711" s="15" t="s">
        <v>2120</v>
      </c>
      <c r="G2711" s="15" t="s">
        <v>2121</v>
      </c>
      <c r="H2711" s="15">
        <v>1597</v>
      </c>
      <c r="I2711" s="15">
        <v>285.55</v>
      </c>
    </row>
    <row r="2712" spans="1:9">
      <c r="A2712" s="13">
        <v>45262</v>
      </c>
      <c r="B2712" s="91">
        <f t="shared" si="44"/>
        <v>2023</v>
      </c>
      <c r="C2712" s="15" t="s">
        <v>104</v>
      </c>
      <c r="D2712" s="15" t="s">
        <v>2148</v>
      </c>
      <c r="E2712" s="15" t="s">
        <v>2115</v>
      </c>
      <c r="F2712" s="15" t="s">
        <v>2116</v>
      </c>
      <c r="G2712" s="15" t="s">
        <v>2117</v>
      </c>
      <c r="H2712" s="15">
        <v>3890</v>
      </c>
      <c r="I2712" s="15">
        <v>734.34</v>
      </c>
    </row>
    <row r="2713" spans="1:9">
      <c r="A2713" s="13">
        <v>45108</v>
      </c>
      <c r="B2713" s="91">
        <f t="shared" si="44"/>
        <v>2023</v>
      </c>
      <c r="C2713" s="15" t="s">
        <v>2113</v>
      </c>
      <c r="D2713" s="15" t="s">
        <v>2126</v>
      </c>
      <c r="E2713" s="15" t="s">
        <v>2134</v>
      </c>
      <c r="F2713" s="15" t="s">
        <v>2116</v>
      </c>
      <c r="G2713" s="15" t="s">
        <v>2127</v>
      </c>
      <c r="H2713" s="15">
        <v>4231</v>
      </c>
      <c r="I2713" s="15">
        <v>963.37</v>
      </c>
    </row>
    <row r="2714" spans="1:9">
      <c r="A2714" s="13">
        <v>45614</v>
      </c>
      <c r="B2714" s="91">
        <f t="shared" si="44"/>
        <v>2024</v>
      </c>
      <c r="C2714" s="15" t="s">
        <v>2141</v>
      </c>
      <c r="D2714" s="15" t="s">
        <v>2142</v>
      </c>
      <c r="E2714" s="15" t="s">
        <v>2119</v>
      </c>
      <c r="F2714" s="15" t="s">
        <v>2124</v>
      </c>
      <c r="G2714" s="15" t="s">
        <v>2130</v>
      </c>
      <c r="H2714" s="15">
        <v>3749</v>
      </c>
      <c r="I2714" s="15">
        <v>962.04</v>
      </c>
    </row>
    <row r="2715" spans="1:9">
      <c r="A2715" s="13">
        <v>44647</v>
      </c>
      <c r="B2715" s="91">
        <f t="shared" si="44"/>
        <v>2022</v>
      </c>
      <c r="C2715" s="15" t="s">
        <v>2141</v>
      </c>
      <c r="D2715" s="15" t="s">
        <v>2148</v>
      </c>
      <c r="E2715" s="15" t="s">
        <v>2119</v>
      </c>
      <c r="F2715" s="15" t="s">
        <v>2116</v>
      </c>
      <c r="G2715" s="15" t="s">
        <v>2154</v>
      </c>
      <c r="H2715" s="15">
        <v>5522</v>
      </c>
      <c r="I2715" s="15">
        <v>1339.71</v>
      </c>
    </row>
    <row r="2716" spans="1:9">
      <c r="A2716" s="13">
        <v>44760</v>
      </c>
      <c r="B2716" s="91">
        <f t="shared" si="44"/>
        <v>2022</v>
      </c>
      <c r="C2716" s="15" t="s">
        <v>107</v>
      </c>
      <c r="D2716" s="15" t="s">
        <v>2152</v>
      </c>
      <c r="E2716" s="15" t="s">
        <v>2129</v>
      </c>
      <c r="F2716" s="15" t="s">
        <v>2138</v>
      </c>
      <c r="G2716" s="15" t="s">
        <v>2149</v>
      </c>
      <c r="H2716" s="15">
        <v>8781</v>
      </c>
      <c r="I2716" s="15">
        <v>2394.3000000000002</v>
      </c>
    </row>
    <row r="2717" spans="1:9">
      <c r="A2717" s="13">
        <v>44693</v>
      </c>
      <c r="B2717" s="91">
        <f t="shared" si="44"/>
        <v>2022</v>
      </c>
      <c r="C2717" s="15" t="s">
        <v>2113</v>
      </c>
      <c r="D2717" s="15" t="s">
        <v>2142</v>
      </c>
      <c r="E2717" s="15" t="s">
        <v>2129</v>
      </c>
      <c r="F2717" s="15" t="s">
        <v>2124</v>
      </c>
      <c r="G2717" s="15" t="s">
        <v>2125</v>
      </c>
      <c r="H2717" s="15">
        <v>4986</v>
      </c>
      <c r="I2717" s="15">
        <v>622.73</v>
      </c>
    </row>
    <row r="2718" spans="1:9">
      <c r="A2718" s="13">
        <v>45563</v>
      </c>
      <c r="B2718" s="91">
        <f t="shared" si="44"/>
        <v>2024</v>
      </c>
      <c r="C2718" s="15" t="s">
        <v>107</v>
      </c>
      <c r="D2718" s="15" t="s">
        <v>2114</v>
      </c>
      <c r="E2718" s="15" t="s">
        <v>2134</v>
      </c>
      <c r="F2718" s="15" t="s">
        <v>2116</v>
      </c>
      <c r="G2718" s="15" t="s">
        <v>2127</v>
      </c>
      <c r="H2718" s="15">
        <v>7727</v>
      </c>
      <c r="I2718" s="15">
        <v>2028.1</v>
      </c>
    </row>
    <row r="2719" spans="1:9">
      <c r="A2719" s="13">
        <v>44728</v>
      </c>
      <c r="B2719" s="91">
        <f t="shared" si="44"/>
        <v>2022</v>
      </c>
      <c r="C2719" s="15" t="s">
        <v>104</v>
      </c>
      <c r="D2719" s="15" t="s">
        <v>2118</v>
      </c>
      <c r="E2719" s="15" t="s">
        <v>2134</v>
      </c>
      <c r="F2719" s="15" t="s">
        <v>2124</v>
      </c>
      <c r="G2719" s="15" t="s">
        <v>2140</v>
      </c>
      <c r="H2719" s="15">
        <v>7111</v>
      </c>
      <c r="I2719" s="15">
        <v>2005.69</v>
      </c>
    </row>
    <row r="2720" spans="1:9">
      <c r="A2720" s="13">
        <v>45263</v>
      </c>
      <c r="B2720" s="91">
        <f t="shared" si="44"/>
        <v>2023</v>
      </c>
      <c r="C2720" s="15" t="s">
        <v>104</v>
      </c>
      <c r="D2720" s="15" t="s">
        <v>2152</v>
      </c>
      <c r="E2720" s="15" t="s">
        <v>2129</v>
      </c>
      <c r="F2720" s="15" t="s">
        <v>2120</v>
      </c>
      <c r="G2720" s="15" t="s">
        <v>2133</v>
      </c>
      <c r="H2720" s="15">
        <v>1887</v>
      </c>
      <c r="I2720" s="15">
        <v>558.87</v>
      </c>
    </row>
    <row r="2721" spans="1:9">
      <c r="A2721" s="13">
        <v>45070</v>
      </c>
      <c r="B2721" s="91">
        <f t="shared" si="44"/>
        <v>2023</v>
      </c>
      <c r="C2721" s="15" t="s">
        <v>2141</v>
      </c>
      <c r="D2721" s="15" t="s">
        <v>2128</v>
      </c>
      <c r="E2721" s="15" t="s">
        <v>2136</v>
      </c>
      <c r="F2721" s="15" t="s">
        <v>2124</v>
      </c>
      <c r="G2721" s="15" t="s">
        <v>2140</v>
      </c>
      <c r="H2721" s="15">
        <v>6052</v>
      </c>
      <c r="I2721" s="15">
        <v>1194.3599999999999</v>
      </c>
    </row>
    <row r="2722" spans="1:9">
      <c r="A2722" s="13">
        <v>44685</v>
      </c>
      <c r="B2722" s="91">
        <f t="shared" si="44"/>
        <v>2022</v>
      </c>
      <c r="C2722" s="15" t="s">
        <v>104</v>
      </c>
      <c r="D2722" s="15" t="s">
        <v>2131</v>
      </c>
      <c r="E2722" s="15" t="s">
        <v>2134</v>
      </c>
      <c r="F2722" s="15" t="s">
        <v>2124</v>
      </c>
      <c r="G2722" s="15" t="s">
        <v>2130</v>
      </c>
      <c r="H2722" s="15">
        <v>7790</v>
      </c>
      <c r="I2722" s="15">
        <v>1482.38</v>
      </c>
    </row>
    <row r="2723" spans="1:9">
      <c r="A2723" s="13">
        <v>44675</v>
      </c>
      <c r="B2723" s="91">
        <f t="shared" si="44"/>
        <v>2022</v>
      </c>
      <c r="C2723" s="15" t="s">
        <v>2141</v>
      </c>
      <c r="D2723" s="15" t="s">
        <v>2135</v>
      </c>
      <c r="E2723" s="15" t="s">
        <v>2129</v>
      </c>
      <c r="F2723" s="15" t="s">
        <v>2116</v>
      </c>
      <c r="G2723" s="15" t="s">
        <v>2154</v>
      </c>
      <c r="H2723" s="15">
        <v>4219</v>
      </c>
      <c r="I2723" s="15">
        <v>1142.8</v>
      </c>
    </row>
    <row r="2724" spans="1:9">
      <c r="A2724" s="13">
        <v>45627</v>
      </c>
      <c r="B2724" s="91">
        <f t="shared" si="44"/>
        <v>2024</v>
      </c>
      <c r="C2724" s="15" t="s">
        <v>2141</v>
      </c>
      <c r="D2724" s="15" t="s">
        <v>2126</v>
      </c>
      <c r="E2724" s="15" t="s">
        <v>2123</v>
      </c>
      <c r="F2724" s="15" t="s">
        <v>2124</v>
      </c>
      <c r="G2724" s="15" t="s">
        <v>2125</v>
      </c>
      <c r="H2724" s="15">
        <v>2424</v>
      </c>
      <c r="I2724" s="15">
        <v>292.19</v>
      </c>
    </row>
    <row r="2725" spans="1:9">
      <c r="A2725" s="13">
        <v>44988</v>
      </c>
      <c r="B2725" s="91">
        <f t="shared" si="44"/>
        <v>2023</v>
      </c>
      <c r="C2725" s="15" t="s">
        <v>104</v>
      </c>
      <c r="D2725" s="15" t="s">
        <v>2148</v>
      </c>
      <c r="E2725" s="15" t="s">
        <v>2123</v>
      </c>
      <c r="F2725" s="15" t="s">
        <v>2124</v>
      </c>
      <c r="G2725" s="15" t="s">
        <v>2125</v>
      </c>
      <c r="H2725" s="15">
        <v>4600</v>
      </c>
      <c r="I2725" s="15">
        <v>1190.28</v>
      </c>
    </row>
    <row r="2726" spans="1:9">
      <c r="A2726" s="13">
        <v>44696</v>
      </c>
      <c r="B2726" s="91">
        <f t="shared" si="44"/>
        <v>2022</v>
      </c>
      <c r="C2726" s="15" t="s">
        <v>2141</v>
      </c>
      <c r="D2726" s="15" t="s">
        <v>2126</v>
      </c>
      <c r="E2726" s="15" t="s">
        <v>2151</v>
      </c>
      <c r="F2726" s="15" t="s">
        <v>2116</v>
      </c>
      <c r="G2726" s="15" t="s">
        <v>2154</v>
      </c>
      <c r="H2726" s="15">
        <v>7059</v>
      </c>
      <c r="I2726" s="15">
        <v>1927.89</v>
      </c>
    </row>
    <row r="2727" spans="1:9">
      <c r="A2727" s="13">
        <v>44589</v>
      </c>
      <c r="B2727" s="91">
        <f t="shared" si="44"/>
        <v>2022</v>
      </c>
      <c r="C2727" s="15" t="s">
        <v>2113</v>
      </c>
      <c r="D2727" s="15" t="s">
        <v>2128</v>
      </c>
      <c r="E2727" s="15" t="s">
        <v>2143</v>
      </c>
      <c r="F2727" s="15" t="s">
        <v>2120</v>
      </c>
      <c r="G2727" s="15" t="s">
        <v>2133</v>
      </c>
      <c r="H2727" s="15">
        <v>9696</v>
      </c>
      <c r="I2727" s="15">
        <v>1515.72</v>
      </c>
    </row>
    <row r="2728" spans="1:9">
      <c r="A2728" s="13">
        <v>45382</v>
      </c>
      <c r="B2728" s="91">
        <f t="shared" si="44"/>
        <v>2024</v>
      </c>
      <c r="C2728" s="15" t="s">
        <v>107</v>
      </c>
      <c r="D2728" s="15" t="s">
        <v>2135</v>
      </c>
      <c r="E2728" s="15" t="s">
        <v>2145</v>
      </c>
      <c r="F2728" s="15" t="s">
        <v>2138</v>
      </c>
      <c r="G2728" s="15" t="s">
        <v>2139</v>
      </c>
      <c r="H2728" s="15">
        <v>8907</v>
      </c>
      <c r="I2728" s="15">
        <v>2588.39</v>
      </c>
    </row>
    <row r="2729" spans="1:9">
      <c r="A2729" s="13">
        <v>44699</v>
      </c>
      <c r="B2729" s="91">
        <f t="shared" si="44"/>
        <v>2022</v>
      </c>
      <c r="C2729" s="15" t="s">
        <v>2113</v>
      </c>
      <c r="D2729" s="15" t="s">
        <v>2126</v>
      </c>
      <c r="E2729" s="15" t="s">
        <v>2129</v>
      </c>
      <c r="F2729" s="15" t="s">
        <v>2120</v>
      </c>
      <c r="G2729" s="15" t="s">
        <v>2133</v>
      </c>
      <c r="H2729" s="15">
        <v>6497</v>
      </c>
      <c r="I2729" s="15">
        <v>1864.2</v>
      </c>
    </row>
    <row r="2730" spans="1:9">
      <c r="A2730" s="13">
        <v>44763</v>
      </c>
      <c r="B2730" s="91">
        <f t="shared" si="44"/>
        <v>2022</v>
      </c>
      <c r="C2730" s="15" t="s">
        <v>2113</v>
      </c>
      <c r="D2730" s="15" t="s">
        <v>2152</v>
      </c>
      <c r="E2730" s="15" t="s">
        <v>2151</v>
      </c>
      <c r="F2730" s="15" t="s">
        <v>2124</v>
      </c>
      <c r="G2730" s="15" t="s">
        <v>2125</v>
      </c>
      <c r="H2730" s="15">
        <v>8506</v>
      </c>
      <c r="I2730" s="15">
        <v>1405.75</v>
      </c>
    </row>
    <row r="2731" spans="1:9">
      <c r="A2731" s="13">
        <v>44926</v>
      </c>
      <c r="B2731" s="91">
        <f t="shared" si="44"/>
        <v>2022</v>
      </c>
      <c r="C2731" s="15" t="s">
        <v>107</v>
      </c>
      <c r="D2731" s="15" t="s">
        <v>2135</v>
      </c>
      <c r="E2731" s="15" t="s">
        <v>2143</v>
      </c>
      <c r="F2731" s="15" t="s">
        <v>2116</v>
      </c>
      <c r="G2731" s="15" t="s">
        <v>2127</v>
      </c>
      <c r="H2731" s="15">
        <v>5868</v>
      </c>
      <c r="I2731" s="15">
        <v>670.95</v>
      </c>
    </row>
    <row r="2732" spans="1:9">
      <c r="A2732" s="13">
        <v>45561</v>
      </c>
      <c r="B2732" s="91">
        <f t="shared" si="44"/>
        <v>2024</v>
      </c>
      <c r="C2732" s="15" t="s">
        <v>2113</v>
      </c>
      <c r="D2732" s="15" t="s">
        <v>2153</v>
      </c>
      <c r="E2732" s="15" t="s">
        <v>2115</v>
      </c>
      <c r="F2732" s="15" t="s">
        <v>2120</v>
      </c>
      <c r="G2732" s="15" t="s">
        <v>2132</v>
      </c>
      <c r="H2732" s="15">
        <v>4403</v>
      </c>
      <c r="I2732" s="15">
        <v>1273.1500000000001</v>
      </c>
    </row>
    <row r="2733" spans="1:9">
      <c r="A2733" s="13">
        <v>45587</v>
      </c>
      <c r="B2733" s="91">
        <f t="shared" si="44"/>
        <v>2024</v>
      </c>
      <c r="C2733" s="15" t="s">
        <v>107</v>
      </c>
      <c r="D2733" s="15" t="s">
        <v>2135</v>
      </c>
      <c r="E2733" s="15" t="s">
        <v>2136</v>
      </c>
      <c r="F2733" s="15" t="s">
        <v>2138</v>
      </c>
      <c r="G2733" s="15" t="s">
        <v>2146</v>
      </c>
      <c r="H2733" s="15">
        <v>6401</v>
      </c>
      <c r="I2733" s="15">
        <v>1507.16</v>
      </c>
    </row>
    <row r="2734" spans="1:9">
      <c r="A2734" s="13">
        <v>44948</v>
      </c>
      <c r="B2734" s="91">
        <f t="shared" si="44"/>
        <v>2023</v>
      </c>
      <c r="C2734" s="15" t="s">
        <v>104</v>
      </c>
      <c r="D2734" s="15" t="s">
        <v>2148</v>
      </c>
      <c r="E2734" s="15" t="s">
        <v>2145</v>
      </c>
      <c r="F2734" s="15" t="s">
        <v>2124</v>
      </c>
      <c r="G2734" s="15" t="s">
        <v>2140</v>
      </c>
      <c r="H2734" s="15">
        <v>8698</v>
      </c>
      <c r="I2734" s="15">
        <v>1205.97</v>
      </c>
    </row>
    <row r="2735" spans="1:9">
      <c r="A2735" s="13">
        <v>45479</v>
      </c>
      <c r="B2735" s="91">
        <f t="shared" si="44"/>
        <v>2024</v>
      </c>
      <c r="C2735" s="15" t="s">
        <v>2113</v>
      </c>
      <c r="D2735" s="15" t="s">
        <v>2135</v>
      </c>
      <c r="E2735" s="15" t="s">
        <v>2134</v>
      </c>
      <c r="F2735" s="15" t="s">
        <v>2120</v>
      </c>
      <c r="G2735" s="15" t="s">
        <v>2121</v>
      </c>
      <c r="H2735" s="15">
        <v>8809</v>
      </c>
      <c r="I2735" s="15">
        <v>1854.9</v>
      </c>
    </row>
    <row r="2736" spans="1:9">
      <c r="A2736" s="13">
        <v>45602</v>
      </c>
      <c r="B2736" s="91">
        <f t="shared" si="44"/>
        <v>2024</v>
      </c>
      <c r="C2736" s="15" t="s">
        <v>107</v>
      </c>
      <c r="D2736" s="15" t="s">
        <v>2126</v>
      </c>
      <c r="E2736" s="15" t="s">
        <v>2151</v>
      </c>
      <c r="F2736" s="15" t="s">
        <v>2124</v>
      </c>
      <c r="G2736" s="15" t="s">
        <v>2125</v>
      </c>
      <c r="H2736" s="15">
        <v>4912</v>
      </c>
      <c r="I2736" s="15">
        <v>870.34</v>
      </c>
    </row>
    <row r="2737" spans="1:9">
      <c r="A2737" s="13">
        <v>45564</v>
      </c>
      <c r="B2737" s="91">
        <f t="shared" si="44"/>
        <v>2024</v>
      </c>
      <c r="C2737" s="15" t="s">
        <v>2113</v>
      </c>
      <c r="D2737" s="15" t="s">
        <v>2114</v>
      </c>
      <c r="E2737" s="15" t="s">
        <v>2151</v>
      </c>
      <c r="F2737" s="15" t="s">
        <v>2116</v>
      </c>
      <c r="G2737" s="15" t="s">
        <v>2154</v>
      </c>
      <c r="H2737" s="15">
        <v>6644</v>
      </c>
      <c r="I2737" s="15">
        <v>1224.04</v>
      </c>
    </row>
    <row r="2738" spans="1:9">
      <c r="A2738" s="13">
        <v>44728</v>
      </c>
      <c r="B2738" s="91">
        <f t="shared" si="44"/>
        <v>2022</v>
      </c>
      <c r="C2738" s="15" t="s">
        <v>2113</v>
      </c>
      <c r="D2738" s="15" t="s">
        <v>2126</v>
      </c>
      <c r="E2738" s="15" t="s">
        <v>2145</v>
      </c>
      <c r="F2738" s="15" t="s">
        <v>2124</v>
      </c>
      <c r="G2738" s="15" t="s">
        <v>2125</v>
      </c>
      <c r="H2738" s="15">
        <v>9641</v>
      </c>
      <c r="I2738" s="15">
        <v>1737.71</v>
      </c>
    </row>
    <row r="2739" spans="1:9">
      <c r="A2739" s="13">
        <v>45262</v>
      </c>
      <c r="B2739" s="91">
        <f t="shared" si="44"/>
        <v>2023</v>
      </c>
      <c r="C2739" s="15" t="s">
        <v>2113</v>
      </c>
      <c r="D2739" s="15" t="s">
        <v>2128</v>
      </c>
      <c r="E2739" s="15" t="s">
        <v>2136</v>
      </c>
      <c r="F2739" s="15" t="s">
        <v>2124</v>
      </c>
      <c r="G2739" s="15" t="s">
        <v>2130</v>
      </c>
      <c r="H2739" s="15">
        <v>4703</v>
      </c>
      <c r="I2739" s="15">
        <v>606.48</v>
      </c>
    </row>
    <row r="2740" spans="1:9">
      <c r="A2740" s="13">
        <v>45076</v>
      </c>
      <c r="B2740" s="91">
        <f t="shared" si="44"/>
        <v>2023</v>
      </c>
      <c r="C2740" s="15" t="s">
        <v>107</v>
      </c>
      <c r="D2740" s="15" t="s">
        <v>2135</v>
      </c>
      <c r="E2740" s="15" t="s">
        <v>2144</v>
      </c>
      <c r="F2740" s="15" t="s">
        <v>2124</v>
      </c>
      <c r="G2740" s="15" t="s">
        <v>2140</v>
      </c>
      <c r="H2740" s="15">
        <v>8215</v>
      </c>
      <c r="I2740" s="15">
        <v>2051.0300000000002</v>
      </c>
    </row>
    <row r="2741" spans="1:9">
      <c r="A2741" s="13">
        <v>44647</v>
      </c>
      <c r="B2741" s="91">
        <f t="shared" si="44"/>
        <v>2022</v>
      </c>
      <c r="C2741" s="15" t="s">
        <v>107</v>
      </c>
      <c r="D2741" s="15" t="s">
        <v>2114</v>
      </c>
      <c r="E2741" s="15" t="s">
        <v>2151</v>
      </c>
      <c r="F2741" s="15" t="s">
        <v>2138</v>
      </c>
      <c r="G2741" s="15" t="s">
        <v>2146</v>
      </c>
      <c r="H2741" s="15">
        <v>2972</v>
      </c>
      <c r="I2741" s="15">
        <v>375.47</v>
      </c>
    </row>
    <row r="2742" spans="1:9">
      <c r="A2742" s="13">
        <v>44855</v>
      </c>
      <c r="B2742" s="91">
        <f t="shared" si="44"/>
        <v>2022</v>
      </c>
      <c r="C2742" s="15" t="s">
        <v>2113</v>
      </c>
      <c r="D2742" s="15" t="s">
        <v>2152</v>
      </c>
      <c r="E2742" s="15" t="s">
        <v>2144</v>
      </c>
      <c r="F2742" s="15" t="s">
        <v>2124</v>
      </c>
      <c r="G2742" s="15" t="s">
        <v>2130</v>
      </c>
      <c r="H2742" s="15">
        <v>3970</v>
      </c>
      <c r="I2742" s="15">
        <v>1155.17</v>
      </c>
    </row>
    <row r="2743" spans="1:9">
      <c r="A2743" s="13">
        <v>45411</v>
      </c>
      <c r="B2743" s="91">
        <f t="shared" si="44"/>
        <v>2024</v>
      </c>
      <c r="C2743" s="15" t="s">
        <v>107</v>
      </c>
      <c r="D2743" s="15" t="s">
        <v>2128</v>
      </c>
      <c r="E2743" s="15" t="s">
        <v>2145</v>
      </c>
      <c r="F2743" s="15" t="s">
        <v>2138</v>
      </c>
      <c r="G2743" s="15" t="s">
        <v>2149</v>
      </c>
      <c r="H2743" s="15">
        <v>2260</v>
      </c>
      <c r="I2743" s="15">
        <v>378.03</v>
      </c>
    </row>
    <row r="2744" spans="1:9">
      <c r="A2744" s="13">
        <v>45317</v>
      </c>
      <c r="B2744" s="91">
        <f t="shared" si="44"/>
        <v>2024</v>
      </c>
      <c r="C2744" s="15" t="s">
        <v>2141</v>
      </c>
      <c r="D2744" s="15" t="s">
        <v>2135</v>
      </c>
      <c r="E2744" s="15" t="s">
        <v>2136</v>
      </c>
      <c r="F2744" s="15" t="s">
        <v>2138</v>
      </c>
      <c r="G2744" s="15" t="s">
        <v>2139</v>
      </c>
      <c r="H2744" s="15">
        <v>5300</v>
      </c>
      <c r="I2744" s="15">
        <v>675.01</v>
      </c>
    </row>
    <row r="2745" spans="1:9">
      <c r="A2745" s="13">
        <v>45222</v>
      </c>
      <c r="B2745" s="91">
        <f t="shared" si="44"/>
        <v>2023</v>
      </c>
      <c r="C2745" s="15" t="s">
        <v>104</v>
      </c>
      <c r="D2745" s="15" t="s">
        <v>2118</v>
      </c>
      <c r="E2745" s="15" t="s">
        <v>2123</v>
      </c>
      <c r="F2745" s="15" t="s">
        <v>2116</v>
      </c>
      <c r="G2745" s="15" t="s">
        <v>2117</v>
      </c>
      <c r="H2745" s="15">
        <v>5660</v>
      </c>
      <c r="I2745" s="15">
        <v>1020.75</v>
      </c>
    </row>
    <row r="2746" spans="1:9">
      <c r="A2746" s="13">
        <v>45544</v>
      </c>
      <c r="B2746" s="91">
        <f t="shared" si="44"/>
        <v>2024</v>
      </c>
      <c r="C2746" s="15" t="s">
        <v>2141</v>
      </c>
      <c r="D2746" s="15" t="s">
        <v>2126</v>
      </c>
      <c r="E2746" s="15" t="s">
        <v>2123</v>
      </c>
      <c r="F2746" s="15" t="s">
        <v>2116</v>
      </c>
      <c r="G2746" s="15" t="s">
        <v>2117</v>
      </c>
      <c r="H2746" s="15">
        <v>8056</v>
      </c>
      <c r="I2746" s="15">
        <v>2163.0700000000002</v>
      </c>
    </row>
    <row r="2747" spans="1:9">
      <c r="A2747" s="13">
        <v>44581</v>
      </c>
      <c r="B2747" s="91">
        <f t="shared" si="44"/>
        <v>2022</v>
      </c>
      <c r="C2747" s="15" t="s">
        <v>2113</v>
      </c>
      <c r="D2747" s="15" t="s">
        <v>2148</v>
      </c>
      <c r="E2747" s="15" t="s">
        <v>2123</v>
      </c>
      <c r="F2747" s="15" t="s">
        <v>2120</v>
      </c>
      <c r="G2747" s="15" t="s">
        <v>2133</v>
      </c>
      <c r="H2747" s="15">
        <v>5676</v>
      </c>
      <c r="I2747" s="15">
        <v>1395.45</v>
      </c>
    </row>
    <row r="2748" spans="1:9">
      <c r="A2748" s="13">
        <v>44766</v>
      </c>
      <c r="B2748" s="91">
        <f t="shared" si="44"/>
        <v>2022</v>
      </c>
      <c r="C2748" s="15" t="s">
        <v>2113</v>
      </c>
      <c r="D2748" s="15" t="s">
        <v>2126</v>
      </c>
      <c r="E2748" s="15" t="s">
        <v>2115</v>
      </c>
      <c r="F2748" s="15" t="s">
        <v>2120</v>
      </c>
      <c r="G2748" s="15" t="s">
        <v>2133</v>
      </c>
      <c r="H2748" s="15">
        <v>7918</v>
      </c>
      <c r="I2748" s="15">
        <v>1273.92</v>
      </c>
    </row>
    <row r="2749" spans="1:9">
      <c r="A2749" s="13">
        <v>45490</v>
      </c>
      <c r="B2749" s="91">
        <f t="shared" si="44"/>
        <v>2024</v>
      </c>
      <c r="C2749" s="15" t="s">
        <v>107</v>
      </c>
      <c r="D2749" s="15" t="s">
        <v>2118</v>
      </c>
      <c r="E2749" s="15" t="s">
        <v>2143</v>
      </c>
      <c r="F2749" s="15" t="s">
        <v>2120</v>
      </c>
      <c r="G2749" s="15" t="s">
        <v>2133</v>
      </c>
      <c r="H2749" s="15">
        <v>6852</v>
      </c>
      <c r="I2749" s="15">
        <v>1713.43</v>
      </c>
    </row>
    <row r="2750" spans="1:9">
      <c r="A2750" s="13">
        <v>45074</v>
      </c>
      <c r="B2750" s="91">
        <f t="shared" si="44"/>
        <v>2023</v>
      </c>
      <c r="C2750" s="15" t="s">
        <v>107</v>
      </c>
      <c r="D2750" s="15" t="s">
        <v>2153</v>
      </c>
      <c r="E2750" s="15" t="s">
        <v>2129</v>
      </c>
      <c r="F2750" s="15" t="s">
        <v>2116</v>
      </c>
      <c r="G2750" s="15" t="s">
        <v>2127</v>
      </c>
      <c r="H2750" s="15">
        <v>6107</v>
      </c>
      <c r="I2750" s="15">
        <v>1241.78</v>
      </c>
    </row>
    <row r="2751" spans="1:9">
      <c r="A2751" s="13">
        <v>45291</v>
      </c>
      <c r="B2751" s="91">
        <f t="shared" si="44"/>
        <v>2023</v>
      </c>
      <c r="C2751" s="15" t="s">
        <v>2141</v>
      </c>
      <c r="D2751" s="15" t="s">
        <v>2152</v>
      </c>
      <c r="E2751" s="15" t="s">
        <v>2129</v>
      </c>
      <c r="F2751" s="15" t="s">
        <v>2124</v>
      </c>
      <c r="G2751" s="15" t="s">
        <v>2140</v>
      </c>
      <c r="H2751" s="15">
        <v>2905</v>
      </c>
      <c r="I2751" s="15">
        <v>351.45</v>
      </c>
    </row>
    <row r="2752" spans="1:9">
      <c r="A2752" s="13">
        <v>45422</v>
      </c>
      <c r="B2752" s="91">
        <f t="shared" si="44"/>
        <v>2024</v>
      </c>
      <c r="C2752" s="15" t="s">
        <v>2113</v>
      </c>
      <c r="D2752" s="15" t="s">
        <v>2126</v>
      </c>
      <c r="E2752" s="15" t="s">
        <v>2151</v>
      </c>
      <c r="F2752" s="15" t="s">
        <v>2124</v>
      </c>
      <c r="G2752" s="15" t="s">
        <v>2140</v>
      </c>
      <c r="H2752" s="15">
        <v>2447</v>
      </c>
      <c r="I2752" s="15">
        <v>281.43</v>
      </c>
    </row>
    <row r="2753" spans="1:9">
      <c r="A2753" s="13">
        <v>45592</v>
      </c>
      <c r="B2753" s="91">
        <f t="shared" si="44"/>
        <v>2024</v>
      </c>
      <c r="C2753" s="15" t="s">
        <v>2113</v>
      </c>
      <c r="D2753" s="15" t="s">
        <v>2131</v>
      </c>
      <c r="E2753" s="15" t="s">
        <v>2123</v>
      </c>
      <c r="F2753" s="15" t="s">
        <v>2116</v>
      </c>
      <c r="G2753" s="15" t="s">
        <v>2154</v>
      </c>
      <c r="H2753" s="15">
        <v>4155</v>
      </c>
      <c r="I2753" s="15">
        <v>1069.71</v>
      </c>
    </row>
    <row r="2754" spans="1:9">
      <c r="A2754" s="13">
        <v>45237</v>
      </c>
      <c r="B2754" s="91">
        <f t="shared" si="44"/>
        <v>2023</v>
      </c>
      <c r="C2754" s="15" t="s">
        <v>104</v>
      </c>
      <c r="D2754" s="15" t="s">
        <v>2131</v>
      </c>
      <c r="E2754" s="15" t="s">
        <v>2145</v>
      </c>
      <c r="F2754" s="15" t="s">
        <v>2120</v>
      </c>
      <c r="G2754" s="15" t="s">
        <v>2132</v>
      </c>
      <c r="H2754" s="15">
        <v>3011</v>
      </c>
      <c r="I2754" s="15">
        <v>404.16</v>
      </c>
    </row>
    <row r="2755" spans="1:9">
      <c r="A2755" s="13">
        <v>44929</v>
      </c>
      <c r="B2755" s="91">
        <f t="shared" ref="B2755:B2818" si="45">YEAR(A2755)</f>
        <v>2023</v>
      </c>
      <c r="C2755" s="15" t="s">
        <v>2141</v>
      </c>
      <c r="D2755" s="15" t="s">
        <v>2114</v>
      </c>
      <c r="E2755" s="15" t="s">
        <v>2144</v>
      </c>
      <c r="F2755" s="15" t="s">
        <v>2116</v>
      </c>
      <c r="G2755" s="15" t="s">
        <v>2117</v>
      </c>
      <c r="H2755" s="15">
        <v>8977</v>
      </c>
      <c r="I2755" s="15">
        <v>1979.82</v>
      </c>
    </row>
    <row r="2756" spans="1:9">
      <c r="A2756" s="13">
        <v>44793</v>
      </c>
      <c r="B2756" s="91">
        <f t="shared" si="45"/>
        <v>2022</v>
      </c>
      <c r="C2756" s="15" t="s">
        <v>107</v>
      </c>
      <c r="D2756" s="15" t="s">
        <v>2118</v>
      </c>
      <c r="E2756" s="15" t="s">
        <v>2144</v>
      </c>
      <c r="F2756" s="15" t="s">
        <v>2120</v>
      </c>
      <c r="G2756" s="15" t="s">
        <v>2133</v>
      </c>
      <c r="H2756" s="15">
        <v>4211</v>
      </c>
      <c r="I2756" s="15">
        <v>1247.19</v>
      </c>
    </row>
    <row r="2757" spans="1:9">
      <c r="A2757" s="13">
        <v>45294</v>
      </c>
      <c r="B2757" s="91">
        <f t="shared" si="45"/>
        <v>2024</v>
      </c>
      <c r="C2757" s="15" t="s">
        <v>104</v>
      </c>
      <c r="D2757" s="15" t="s">
        <v>2114</v>
      </c>
      <c r="E2757" s="15" t="s">
        <v>2143</v>
      </c>
      <c r="F2757" s="15" t="s">
        <v>2116</v>
      </c>
      <c r="G2757" s="15" t="s">
        <v>2127</v>
      </c>
      <c r="H2757" s="15">
        <v>8084</v>
      </c>
      <c r="I2757" s="15">
        <v>1344.58</v>
      </c>
    </row>
    <row r="2758" spans="1:9">
      <c r="A2758" s="13">
        <v>44597</v>
      </c>
      <c r="B2758" s="91">
        <f t="shared" si="45"/>
        <v>2022</v>
      </c>
      <c r="C2758" s="15" t="s">
        <v>104</v>
      </c>
      <c r="D2758" s="15" t="s">
        <v>2126</v>
      </c>
      <c r="E2758" s="15" t="s">
        <v>2145</v>
      </c>
      <c r="F2758" s="15" t="s">
        <v>2116</v>
      </c>
      <c r="G2758" s="15" t="s">
        <v>2117</v>
      </c>
      <c r="H2758" s="15">
        <v>8926</v>
      </c>
      <c r="I2758" s="15">
        <v>2275.65</v>
      </c>
    </row>
    <row r="2759" spans="1:9">
      <c r="A2759" s="13">
        <v>45314</v>
      </c>
      <c r="B2759" s="91">
        <f t="shared" si="45"/>
        <v>2024</v>
      </c>
      <c r="C2759" s="15" t="s">
        <v>107</v>
      </c>
      <c r="D2759" s="15" t="s">
        <v>2131</v>
      </c>
      <c r="E2759" s="15" t="s">
        <v>2151</v>
      </c>
      <c r="F2759" s="15" t="s">
        <v>2116</v>
      </c>
      <c r="G2759" s="15" t="s">
        <v>2127</v>
      </c>
      <c r="H2759" s="15">
        <v>4526</v>
      </c>
      <c r="I2759" s="15">
        <v>1246.03</v>
      </c>
    </row>
    <row r="2760" spans="1:9">
      <c r="A2760" s="13">
        <v>44571</v>
      </c>
      <c r="B2760" s="91">
        <f t="shared" si="45"/>
        <v>2022</v>
      </c>
      <c r="C2760" s="15" t="s">
        <v>2113</v>
      </c>
      <c r="D2760" s="15" t="s">
        <v>2153</v>
      </c>
      <c r="E2760" s="15" t="s">
        <v>2136</v>
      </c>
      <c r="F2760" s="15" t="s">
        <v>2116</v>
      </c>
      <c r="G2760" s="15" t="s">
        <v>2154</v>
      </c>
      <c r="H2760" s="15">
        <v>4215</v>
      </c>
      <c r="I2760" s="15">
        <v>533.94000000000005</v>
      </c>
    </row>
    <row r="2761" spans="1:9">
      <c r="A2761" s="13">
        <v>44638</v>
      </c>
      <c r="B2761" s="91">
        <f t="shared" si="45"/>
        <v>2022</v>
      </c>
      <c r="C2761" s="15" t="s">
        <v>2141</v>
      </c>
      <c r="D2761" s="15" t="s">
        <v>2148</v>
      </c>
      <c r="E2761" s="15" t="s">
        <v>2151</v>
      </c>
      <c r="F2761" s="15" t="s">
        <v>2124</v>
      </c>
      <c r="G2761" s="15" t="s">
        <v>2125</v>
      </c>
      <c r="H2761" s="15">
        <v>5848</v>
      </c>
      <c r="I2761" s="15">
        <v>986.93</v>
      </c>
    </row>
    <row r="2762" spans="1:9">
      <c r="A2762" s="13">
        <v>45113</v>
      </c>
      <c r="B2762" s="91">
        <f t="shared" si="45"/>
        <v>2023</v>
      </c>
      <c r="C2762" s="15" t="s">
        <v>107</v>
      </c>
      <c r="D2762" s="15" t="s">
        <v>2118</v>
      </c>
      <c r="E2762" s="15" t="s">
        <v>2119</v>
      </c>
      <c r="F2762" s="15" t="s">
        <v>2120</v>
      </c>
      <c r="G2762" s="15" t="s">
        <v>2133</v>
      </c>
      <c r="H2762" s="15">
        <v>7523</v>
      </c>
      <c r="I2762" s="15">
        <v>2236.71</v>
      </c>
    </row>
    <row r="2763" spans="1:9">
      <c r="A2763" s="13">
        <v>45002</v>
      </c>
      <c r="B2763" s="91">
        <f t="shared" si="45"/>
        <v>2023</v>
      </c>
      <c r="C2763" s="15" t="s">
        <v>2141</v>
      </c>
      <c r="D2763" s="15" t="s">
        <v>2118</v>
      </c>
      <c r="E2763" s="15" t="s">
        <v>2115</v>
      </c>
      <c r="F2763" s="15" t="s">
        <v>2116</v>
      </c>
      <c r="G2763" s="15" t="s">
        <v>2154</v>
      </c>
      <c r="H2763" s="15">
        <v>4781</v>
      </c>
      <c r="I2763" s="15">
        <v>1045.96</v>
      </c>
    </row>
    <row r="2764" spans="1:9">
      <c r="A2764" s="13">
        <v>45121</v>
      </c>
      <c r="B2764" s="91">
        <f t="shared" si="45"/>
        <v>2023</v>
      </c>
      <c r="C2764" s="15" t="s">
        <v>2141</v>
      </c>
      <c r="D2764" s="15" t="s">
        <v>2114</v>
      </c>
      <c r="E2764" s="15" t="s">
        <v>2143</v>
      </c>
      <c r="F2764" s="15" t="s">
        <v>2124</v>
      </c>
      <c r="G2764" s="15" t="s">
        <v>2130</v>
      </c>
      <c r="H2764" s="15">
        <v>2456</v>
      </c>
      <c r="I2764" s="15">
        <v>245.74</v>
      </c>
    </row>
    <row r="2765" spans="1:9">
      <c r="A2765" s="13">
        <v>45287</v>
      </c>
      <c r="B2765" s="91">
        <f t="shared" si="45"/>
        <v>2023</v>
      </c>
      <c r="C2765" s="15" t="s">
        <v>104</v>
      </c>
      <c r="D2765" s="15" t="s">
        <v>2131</v>
      </c>
      <c r="E2765" s="15" t="s">
        <v>2144</v>
      </c>
      <c r="F2765" s="15" t="s">
        <v>2116</v>
      </c>
      <c r="G2765" s="15" t="s">
        <v>2117</v>
      </c>
      <c r="H2765" s="15">
        <v>7145</v>
      </c>
      <c r="I2765" s="15">
        <v>866.24</v>
      </c>
    </row>
    <row r="2766" spans="1:9">
      <c r="A2766" s="13">
        <v>45192</v>
      </c>
      <c r="B2766" s="91">
        <f t="shared" si="45"/>
        <v>2023</v>
      </c>
      <c r="C2766" s="15" t="s">
        <v>104</v>
      </c>
      <c r="D2766" s="15" t="s">
        <v>2135</v>
      </c>
      <c r="E2766" s="15" t="s">
        <v>2123</v>
      </c>
      <c r="F2766" s="15" t="s">
        <v>2138</v>
      </c>
      <c r="G2766" s="15" t="s">
        <v>2139</v>
      </c>
      <c r="H2766" s="15">
        <v>5118</v>
      </c>
      <c r="I2766" s="15">
        <v>1405.41</v>
      </c>
    </row>
    <row r="2767" spans="1:9">
      <c r="A2767" s="13">
        <v>44818</v>
      </c>
      <c r="B2767" s="91">
        <f t="shared" si="45"/>
        <v>2022</v>
      </c>
      <c r="C2767" s="15" t="s">
        <v>2141</v>
      </c>
      <c r="D2767" s="15" t="s">
        <v>2131</v>
      </c>
      <c r="E2767" s="15" t="s">
        <v>2134</v>
      </c>
      <c r="F2767" s="15" t="s">
        <v>2124</v>
      </c>
      <c r="G2767" s="15" t="s">
        <v>2125</v>
      </c>
      <c r="H2767" s="15">
        <v>5586</v>
      </c>
      <c r="I2767" s="15">
        <v>1291.72</v>
      </c>
    </row>
    <row r="2768" spans="1:9">
      <c r="A2768" s="13">
        <v>45550</v>
      </c>
      <c r="B2768" s="91">
        <f t="shared" si="45"/>
        <v>2024</v>
      </c>
      <c r="C2768" s="15" t="s">
        <v>104</v>
      </c>
      <c r="D2768" s="15" t="s">
        <v>2114</v>
      </c>
      <c r="E2768" s="15" t="s">
        <v>2136</v>
      </c>
      <c r="F2768" s="15" t="s">
        <v>2138</v>
      </c>
      <c r="G2768" s="15" t="s">
        <v>2149</v>
      </c>
      <c r="H2768" s="15">
        <v>5939</v>
      </c>
      <c r="I2768" s="15">
        <v>1118.56</v>
      </c>
    </row>
    <row r="2769" spans="1:9">
      <c r="A2769" s="13">
        <v>45573</v>
      </c>
      <c r="B2769" s="91">
        <f t="shared" si="45"/>
        <v>2024</v>
      </c>
      <c r="C2769" s="15" t="s">
        <v>107</v>
      </c>
      <c r="D2769" s="15" t="s">
        <v>2135</v>
      </c>
      <c r="E2769" s="15" t="s">
        <v>2134</v>
      </c>
      <c r="F2769" s="15" t="s">
        <v>2120</v>
      </c>
      <c r="G2769" s="15" t="s">
        <v>2133</v>
      </c>
      <c r="H2769" s="15">
        <v>7474</v>
      </c>
      <c r="I2769" s="15">
        <v>1668.32</v>
      </c>
    </row>
    <row r="2770" spans="1:9">
      <c r="A2770" s="13">
        <v>44904</v>
      </c>
      <c r="B2770" s="91">
        <f t="shared" si="45"/>
        <v>2022</v>
      </c>
      <c r="C2770" s="15" t="s">
        <v>2141</v>
      </c>
      <c r="D2770" s="15" t="s">
        <v>2153</v>
      </c>
      <c r="E2770" s="15" t="s">
        <v>2115</v>
      </c>
      <c r="F2770" s="15" t="s">
        <v>2124</v>
      </c>
      <c r="G2770" s="15" t="s">
        <v>2125</v>
      </c>
      <c r="H2770" s="15">
        <v>5064</v>
      </c>
      <c r="I2770" s="15">
        <v>1062.07</v>
      </c>
    </row>
    <row r="2771" spans="1:9">
      <c r="A2771" s="13">
        <v>45147</v>
      </c>
      <c r="B2771" s="91">
        <f t="shared" si="45"/>
        <v>2023</v>
      </c>
      <c r="C2771" s="15" t="s">
        <v>107</v>
      </c>
      <c r="D2771" s="15" t="s">
        <v>2128</v>
      </c>
      <c r="E2771" s="15" t="s">
        <v>2115</v>
      </c>
      <c r="F2771" s="15" t="s">
        <v>2120</v>
      </c>
      <c r="G2771" s="15" t="s">
        <v>2132</v>
      </c>
      <c r="H2771" s="15">
        <v>3717</v>
      </c>
      <c r="I2771" s="15">
        <v>434.58</v>
      </c>
    </row>
    <row r="2772" spans="1:9">
      <c r="A2772" s="13">
        <v>44837</v>
      </c>
      <c r="B2772" s="91">
        <f t="shared" si="45"/>
        <v>2022</v>
      </c>
      <c r="C2772" s="15" t="s">
        <v>2113</v>
      </c>
      <c r="D2772" s="15" t="s">
        <v>2142</v>
      </c>
      <c r="E2772" s="15" t="s">
        <v>2129</v>
      </c>
      <c r="F2772" s="15" t="s">
        <v>2116</v>
      </c>
      <c r="G2772" s="15" t="s">
        <v>2117</v>
      </c>
      <c r="H2772" s="15">
        <v>9907</v>
      </c>
      <c r="I2772" s="15">
        <v>2615.52</v>
      </c>
    </row>
    <row r="2773" spans="1:9">
      <c r="A2773" s="13">
        <v>45476</v>
      </c>
      <c r="B2773" s="91">
        <f t="shared" si="45"/>
        <v>2024</v>
      </c>
      <c r="C2773" s="15" t="s">
        <v>104</v>
      </c>
      <c r="D2773" s="15" t="s">
        <v>2118</v>
      </c>
      <c r="E2773" s="15" t="s">
        <v>2123</v>
      </c>
      <c r="F2773" s="15" t="s">
        <v>2124</v>
      </c>
      <c r="G2773" s="15" t="s">
        <v>2130</v>
      </c>
      <c r="H2773" s="15">
        <v>1964</v>
      </c>
      <c r="I2773" s="15">
        <v>448.75</v>
      </c>
    </row>
    <row r="2774" spans="1:9">
      <c r="A2774" s="13">
        <v>44914</v>
      </c>
      <c r="B2774" s="91">
        <f t="shared" si="45"/>
        <v>2022</v>
      </c>
      <c r="C2774" s="15" t="s">
        <v>2113</v>
      </c>
      <c r="D2774" s="15" t="s">
        <v>2131</v>
      </c>
      <c r="E2774" s="15" t="s">
        <v>2151</v>
      </c>
      <c r="F2774" s="15" t="s">
        <v>2120</v>
      </c>
      <c r="G2774" s="15" t="s">
        <v>2132</v>
      </c>
      <c r="H2774" s="15">
        <v>7799</v>
      </c>
      <c r="I2774" s="15">
        <v>876.22</v>
      </c>
    </row>
    <row r="2775" spans="1:9">
      <c r="A2775" s="13">
        <v>45383</v>
      </c>
      <c r="B2775" s="91">
        <f t="shared" si="45"/>
        <v>2024</v>
      </c>
      <c r="C2775" s="15" t="s">
        <v>107</v>
      </c>
      <c r="D2775" s="15" t="s">
        <v>2126</v>
      </c>
      <c r="E2775" s="15" t="s">
        <v>2145</v>
      </c>
      <c r="F2775" s="15" t="s">
        <v>2120</v>
      </c>
      <c r="G2775" s="15" t="s">
        <v>2133</v>
      </c>
      <c r="H2775" s="15">
        <v>4345</v>
      </c>
      <c r="I2775" s="15">
        <v>601.99</v>
      </c>
    </row>
    <row r="2776" spans="1:9">
      <c r="A2776" s="13">
        <v>45624</v>
      </c>
      <c r="B2776" s="91">
        <f t="shared" si="45"/>
        <v>2024</v>
      </c>
      <c r="C2776" s="15" t="s">
        <v>2113</v>
      </c>
      <c r="D2776" s="15" t="s">
        <v>2152</v>
      </c>
      <c r="E2776" s="15" t="s">
        <v>2143</v>
      </c>
      <c r="F2776" s="15" t="s">
        <v>2124</v>
      </c>
      <c r="G2776" s="15" t="s">
        <v>2130</v>
      </c>
      <c r="H2776" s="15">
        <v>6027</v>
      </c>
      <c r="I2776" s="15">
        <v>643.42999999999995</v>
      </c>
    </row>
    <row r="2777" spans="1:9">
      <c r="A2777" s="13">
        <v>44891</v>
      </c>
      <c r="B2777" s="91">
        <f t="shared" si="45"/>
        <v>2022</v>
      </c>
      <c r="C2777" s="15" t="s">
        <v>2141</v>
      </c>
      <c r="D2777" s="15" t="s">
        <v>2114</v>
      </c>
      <c r="E2777" s="15" t="s">
        <v>2143</v>
      </c>
      <c r="F2777" s="15" t="s">
        <v>2138</v>
      </c>
      <c r="G2777" s="15" t="s">
        <v>2146</v>
      </c>
      <c r="H2777" s="15">
        <v>7769</v>
      </c>
      <c r="I2777" s="15">
        <v>1570.17</v>
      </c>
    </row>
    <row r="2778" spans="1:9">
      <c r="A2778" s="13">
        <v>45133</v>
      </c>
      <c r="B2778" s="91">
        <f t="shared" si="45"/>
        <v>2023</v>
      </c>
      <c r="C2778" s="15" t="s">
        <v>104</v>
      </c>
      <c r="D2778" s="15" t="s">
        <v>2153</v>
      </c>
      <c r="E2778" s="15" t="s">
        <v>2129</v>
      </c>
      <c r="F2778" s="15" t="s">
        <v>2116</v>
      </c>
      <c r="G2778" s="15" t="s">
        <v>2127</v>
      </c>
      <c r="H2778" s="15">
        <v>5873</v>
      </c>
      <c r="I2778" s="15">
        <v>1365</v>
      </c>
    </row>
    <row r="2779" spans="1:9">
      <c r="A2779" s="13">
        <v>45549</v>
      </c>
      <c r="B2779" s="91">
        <f t="shared" si="45"/>
        <v>2024</v>
      </c>
      <c r="C2779" s="15" t="s">
        <v>2113</v>
      </c>
      <c r="D2779" s="15" t="s">
        <v>2128</v>
      </c>
      <c r="E2779" s="15" t="s">
        <v>2119</v>
      </c>
      <c r="F2779" s="15" t="s">
        <v>2116</v>
      </c>
      <c r="G2779" s="15" t="s">
        <v>2154</v>
      </c>
      <c r="H2779" s="15">
        <v>2137</v>
      </c>
      <c r="I2779" s="15">
        <v>384.06</v>
      </c>
    </row>
    <row r="2780" spans="1:9">
      <c r="A2780" s="13">
        <v>45460</v>
      </c>
      <c r="B2780" s="91">
        <f t="shared" si="45"/>
        <v>2024</v>
      </c>
      <c r="C2780" s="15" t="s">
        <v>2113</v>
      </c>
      <c r="D2780" s="15" t="s">
        <v>2114</v>
      </c>
      <c r="E2780" s="15" t="s">
        <v>2151</v>
      </c>
      <c r="F2780" s="15" t="s">
        <v>2116</v>
      </c>
      <c r="G2780" s="15" t="s">
        <v>2154</v>
      </c>
      <c r="H2780" s="15">
        <v>1185</v>
      </c>
      <c r="I2780" s="15">
        <v>350.66</v>
      </c>
    </row>
    <row r="2781" spans="1:9">
      <c r="A2781" s="13">
        <v>45277</v>
      </c>
      <c r="B2781" s="91">
        <f t="shared" si="45"/>
        <v>2023</v>
      </c>
      <c r="C2781" s="15" t="s">
        <v>107</v>
      </c>
      <c r="D2781" s="15" t="s">
        <v>2135</v>
      </c>
      <c r="E2781" s="15" t="s">
        <v>2143</v>
      </c>
      <c r="F2781" s="15" t="s">
        <v>2116</v>
      </c>
      <c r="G2781" s="15" t="s">
        <v>2127</v>
      </c>
      <c r="H2781" s="15">
        <v>7217</v>
      </c>
      <c r="I2781" s="15">
        <v>929.42</v>
      </c>
    </row>
    <row r="2782" spans="1:9">
      <c r="A2782" s="13">
        <v>45538</v>
      </c>
      <c r="B2782" s="91">
        <f t="shared" si="45"/>
        <v>2024</v>
      </c>
      <c r="C2782" s="15" t="s">
        <v>2141</v>
      </c>
      <c r="D2782" s="15" t="s">
        <v>2142</v>
      </c>
      <c r="E2782" s="15" t="s">
        <v>2129</v>
      </c>
      <c r="F2782" s="15" t="s">
        <v>2138</v>
      </c>
      <c r="G2782" s="15" t="s">
        <v>2146</v>
      </c>
      <c r="H2782" s="15">
        <v>7992</v>
      </c>
      <c r="I2782" s="15">
        <v>1505.43</v>
      </c>
    </row>
    <row r="2783" spans="1:9">
      <c r="A2783" s="13">
        <v>45557</v>
      </c>
      <c r="B2783" s="91">
        <f t="shared" si="45"/>
        <v>2024</v>
      </c>
      <c r="C2783" s="15" t="s">
        <v>104</v>
      </c>
      <c r="D2783" s="15" t="s">
        <v>2114</v>
      </c>
      <c r="E2783" s="15" t="s">
        <v>2143</v>
      </c>
      <c r="F2783" s="15" t="s">
        <v>2124</v>
      </c>
      <c r="G2783" s="15" t="s">
        <v>2125</v>
      </c>
      <c r="H2783" s="15">
        <v>9906</v>
      </c>
      <c r="I2783" s="15">
        <v>2889.43</v>
      </c>
    </row>
    <row r="2784" spans="1:9">
      <c r="A2784" s="13">
        <v>44657</v>
      </c>
      <c r="B2784" s="91">
        <f t="shared" si="45"/>
        <v>2022</v>
      </c>
      <c r="C2784" s="15" t="s">
        <v>104</v>
      </c>
      <c r="D2784" s="15" t="s">
        <v>2131</v>
      </c>
      <c r="E2784" s="15" t="s">
        <v>2134</v>
      </c>
      <c r="F2784" s="15" t="s">
        <v>2138</v>
      </c>
      <c r="G2784" s="15" t="s">
        <v>2149</v>
      </c>
      <c r="H2784" s="15">
        <v>9744</v>
      </c>
      <c r="I2784" s="15">
        <v>2124.61</v>
      </c>
    </row>
    <row r="2785" spans="1:9">
      <c r="A2785" s="13">
        <v>45446</v>
      </c>
      <c r="B2785" s="91">
        <f t="shared" si="45"/>
        <v>2024</v>
      </c>
      <c r="C2785" s="15" t="s">
        <v>107</v>
      </c>
      <c r="D2785" s="15" t="s">
        <v>2128</v>
      </c>
      <c r="E2785" s="15" t="s">
        <v>2119</v>
      </c>
      <c r="F2785" s="15" t="s">
        <v>2124</v>
      </c>
      <c r="G2785" s="15" t="s">
        <v>2130</v>
      </c>
      <c r="H2785" s="15">
        <v>3076</v>
      </c>
      <c r="I2785" s="15">
        <v>791.69</v>
      </c>
    </row>
    <row r="2786" spans="1:9">
      <c r="A2786" s="13">
        <v>45302</v>
      </c>
      <c r="B2786" s="91">
        <f t="shared" si="45"/>
        <v>2024</v>
      </c>
      <c r="C2786" s="15" t="s">
        <v>107</v>
      </c>
      <c r="D2786" s="15" t="s">
        <v>2135</v>
      </c>
      <c r="E2786" s="15" t="s">
        <v>2151</v>
      </c>
      <c r="F2786" s="15" t="s">
        <v>2124</v>
      </c>
      <c r="G2786" s="15" t="s">
        <v>2130</v>
      </c>
      <c r="H2786" s="15">
        <v>2392</v>
      </c>
      <c r="I2786" s="15">
        <v>464.04</v>
      </c>
    </row>
    <row r="2787" spans="1:9">
      <c r="A2787" s="13">
        <v>45617</v>
      </c>
      <c r="B2787" s="91">
        <f t="shared" si="45"/>
        <v>2024</v>
      </c>
      <c r="C2787" s="15" t="s">
        <v>2113</v>
      </c>
      <c r="D2787" s="15" t="s">
        <v>2142</v>
      </c>
      <c r="E2787" s="15" t="s">
        <v>2115</v>
      </c>
      <c r="F2787" s="15" t="s">
        <v>2116</v>
      </c>
      <c r="G2787" s="15" t="s">
        <v>2127</v>
      </c>
      <c r="H2787" s="15">
        <v>7590</v>
      </c>
      <c r="I2787" s="15">
        <v>1446.79</v>
      </c>
    </row>
    <row r="2788" spans="1:9">
      <c r="A2788" s="13">
        <v>45495</v>
      </c>
      <c r="B2788" s="91">
        <f t="shared" si="45"/>
        <v>2024</v>
      </c>
      <c r="C2788" s="15" t="s">
        <v>2113</v>
      </c>
      <c r="D2788" s="15" t="s">
        <v>2118</v>
      </c>
      <c r="E2788" s="15" t="s">
        <v>2129</v>
      </c>
      <c r="F2788" s="15" t="s">
        <v>2138</v>
      </c>
      <c r="G2788" s="15" t="s">
        <v>2139</v>
      </c>
      <c r="H2788" s="15">
        <v>5087</v>
      </c>
      <c r="I2788" s="15">
        <v>751.07</v>
      </c>
    </row>
    <row r="2789" spans="1:9">
      <c r="A2789" s="13">
        <v>45317</v>
      </c>
      <c r="B2789" s="91">
        <f t="shared" si="45"/>
        <v>2024</v>
      </c>
      <c r="C2789" s="15" t="s">
        <v>2113</v>
      </c>
      <c r="D2789" s="15" t="s">
        <v>2152</v>
      </c>
      <c r="E2789" s="15" t="s">
        <v>2115</v>
      </c>
      <c r="F2789" s="15" t="s">
        <v>2120</v>
      </c>
      <c r="G2789" s="15" t="s">
        <v>2121</v>
      </c>
      <c r="H2789" s="15">
        <v>5325</v>
      </c>
      <c r="I2789" s="15">
        <v>1587.73</v>
      </c>
    </row>
    <row r="2790" spans="1:9">
      <c r="A2790" s="13">
        <v>44672</v>
      </c>
      <c r="B2790" s="91">
        <f t="shared" si="45"/>
        <v>2022</v>
      </c>
      <c r="C2790" s="15" t="s">
        <v>2141</v>
      </c>
      <c r="D2790" s="15" t="s">
        <v>2118</v>
      </c>
      <c r="E2790" s="15" t="s">
        <v>2144</v>
      </c>
      <c r="F2790" s="15" t="s">
        <v>2120</v>
      </c>
      <c r="G2790" s="15" t="s">
        <v>2133</v>
      </c>
      <c r="H2790" s="15">
        <v>4481</v>
      </c>
      <c r="I2790" s="15">
        <v>1262.99</v>
      </c>
    </row>
    <row r="2791" spans="1:9">
      <c r="A2791" s="13">
        <v>45295</v>
      </c>
      <c r="B2791" s="91">
        <f t="shared" si="45"/>
        <v>2024</v>
      </c>
      <c r="C2791" s="15" t="s">
        <v>107</v>
      </c>
      <c r="D2791" s="15" t="s">
        <v>2126</v>
      </c>
      <c r="E2791" s="15" t="s">
        <v>2134</v>
      </c>
      <c r="F2791" s="15" t="s">
        <v>2138</v>
      </c>
      <c r="G2791" s="15" t="s">
        <v>2149</v>
      </c>
      <c r="H2791" s="15">
        <v>4740</v>
      </c>
      <c r="I2791" s="15">
        <v>817.08</v>
      </c>
    </row>
    <row r="2792" spans="1:9">
      <c r="A2792" s="13">
        <v>44950</v>
      </c>
      <c r="B2792" s="91">
        <f t="shared" si="45"/>
        <v>2023</v>
      </c>
      <c r="C2792" s="15" t="s">
        <v>107</v>
      </c>
      <c r="D2792" s="15" t="s">
        <v>2152</v>
      </c>
      <c r="E2792" s="15" t="s">
        <v>2145</v>
      </c>
      <c r="F2792" s="15" t="s">
        <v>2120</v>
      </c>
      <c r="G2792" s="15" t="s">
        <v>2121</v>
      </c>
      <c r="H2792" s="15">
        <v>8588</v>
      </c>
      <c r="I2792" s="15">
        <v>1423.49</v>
      </c>
    </row>
    <row r="2793" spans="1:9">
      <c r="A2793" s="13">
        <v>45203</v>
      </c>
      <c r="B2793" s="91">
        <f t="shared" si="45"/>
        <v>2023</v>
      </c>
      <c r="C2793" s="15" t="s">
        <v>107</v>
      </c>
      <c r="D2793" s="15" t="s">
        <v>2128</v>
      </c>
      <c r="E2793" s="15" t="s">
        <v>2129</v>
      </c>
      <c r="F2793" s="15" t="s">
        <v>2116</v>
      </c>
      <c r="G2793" s="15" t="s">
        <v>2154</v>
      </c>
      <c r="H2793" s="15">
        <v>2736</v>
      </c>
      <c r="I2793" s="15">
        <v>633.88</v>
      </c>
    </row>
    <row r="2794" spans="1:9">
      <c r="A2794" s="13">
        <v>44730</v>
      </c>
      <c r="B2794" s="91">
        <f t="shared" si="45"/>
        <v>2022</v>
      </c>
      <c r="C2794" s="15" t="s">
        <v>107</v>
      </c>
      <c r="D2794" s="15" t="s">
        <v>2148</v>
      </c>
      <c r="E2794" s="15" t="s">
        <v>2136</v>
      </c>
      <c r="F2794" s="15" t="s">
        <v>2124</v>
      </c>
      <c r="G2794" s="15" t="s">
        <v>2125</v>
      </c>
      <c r="H2794" s="15">
        <v>4062</v>
      </c>
      <c r="I2794" s="15">
        <v>1200.98</v>
      </c>
    </row>
    <row r="2795" spans="1:9">
      <c r="A2795" s="13">
        <v>45514</v>
      </c>
      <c r="B2795" s="91">
        <f t="shared" si="45"/>
        <v>2024</v>
      </c>
      <c r="C2795" s="15" t="s">
        <v>107</v>
      </c>
      <c r="D2795" s="15" t="s">
        <v>2148</v>
      </c>
      <c r="E2795" s="15" t="s">
        <v>2145</v>
      </c>
      <c r="F2795" s="15" t="s">
        <v>2138</v>
      </c>
      <c r="G2795" s="15" t="s">
        <v>2149</v>
      </c>
      <c r="H2795" s="15">
        <v>1594</v>
      </c>
      <c r="I2795" s="15">
        <v>191.29</v>
      </c>
    </row>
    <row r="2796" spans="1:9">
      <c r="A2796" s="13">
        <v>45423</v>
      </c>
      <c r="B2796" s="91">
        <f t="shared" si="45"/>
        <v>2024</v>
      </c>
      <c r="C2796" s="15" t="s">
        <v>2113</v>
      </c>
      <c r="D2796" s="15" t="s">
        <v>2152</v>
      </c>
      <c r="E2796" s="15" t="s">
        <v>2134</v>
      </c>
      <c r="F2796" s="15" t="s">
        <v>2116</v>
      </c>
      <c r="G2796" s="15" t="s">
        <v>2154</v>
      </c>
      <c r="H2796" s="15">
        <v>8759</v>
      </c>
      <c r="I2796" s="15">
        <v>2016.56</v>
      </c>
    </row>
    <row r="2797" spans="1:9">
      <c r="A2797" s="13">
        <v>44925</v>
      </c>
      <c r="B2797" s="91">
        <f t="shared" si="45"/>
        <v>2022</v>
      </c>
      <c r="C2797" s="15" t="s">
        <v>2141</v>
      </c>
      <c r="D2797" s="15" t="s">
        <v>2152</v>
      </c>
      <c r="E2797" s="15" t="s">
        <v>2144</v>
      </c>
      <c r="F2797" s="15" t="s">
        <v>2116</v>
      </c>
      <c r="G2797" s="15" t="s">
        <v>2127</v>
      </c>
      <c r="H2797" s="15">
        <v>9526</v>
      </c>
      <c r="I2797" s="15">
        <v>1273.4100000000001</v>
      </c>
    </row>
    <row r="2798" spans="1:9">
      <c r="A2798" s="13">
        <v>45572</v>
      </c>
      <c r="B2798" s="91">
        <f t="shared" si="45"/>
        <v>2024</v>
      </c>
      <c r="C2798" s="15" t="s">
        <v>107</v>
      </c>
      <c r="D2798" s="15" t="s">
        <v>2148</v>
      </c>
      <c r="E2798" s="15" t="s">
        <v>2134</v>
      </c>
      <c r="F2798" s="15" t="s">
        <v>2116</v>
      </c>
      <c r="G2798" s="15" t="s">
        <v>2127</v>
      </c>
      <c r="H2798" s="15">
        <v>3520</v>
      </c>
      <c r="I2798" s="15">
        <v>759.25</v>
      </c>
    </row>
    <row r="2799" spans="1:9">
      <c r="A2799" s="13">
        <v>45531</v>
      </c>
      <c r="B2799" s="91">
        <f t="shared" si="45"/>
        <v>2024</v>
      </c>
      <c r="C2799" s="15" t="s">
        <v>107</v>
      </c>
      <c r="D2799" s="15" t="s">
        <v>2128</v>
      </c>
      <c r="E2799" s="15" t="s">
        <v>2145</v>
      </c>
      <c r="F2799" s="15" t="s">
        <v>2138</v>
      </c>
      <c r="G2799" s="15" t="s">
        <v>2149</v>
      </c>
      <c r="H2799" s="15">
        <v>4071</v>
      </c>
      <c r="I2799" s="15">
        <v>1219.3399999999999</v>
      </c>
    </row>
    <row r="2800" spans="1:9">
      <c r="A2800" s="13">
        <v>45390</v>
      </c>
      <c r="B2800" s="91">
        <f t="shared" si="45"/>
        <v>2024</v>
      </c>
      <c r="C2800" s="15" t="s">
        <v>2113</v>
      </c>
      <c r="D2800" s="15" t="s">
        <v>2152</v>
      </c>
      <c r="E2800" s="15" t="s">
        <v>2145</v>
      </c>
      <c r="F2800" s="15" t="s">
        <v>2124</v>
      </c>
      <c r="G2800" s="15" t="s">
        <v>2125</v>
      </c>
      <c r="H2800" s="15">
        <v>9175</v>
      </c>
      <c r="I2800" s="15">
        <v>1671.46</v>
      </c>
    </row>
    <row r="2801" spans="1:9">
      <c r="A2801" s="13">
        <v>45072</v>
      </c>
      <c r="B2801" s="91">
        <f t="shared" si="45"/>
        <v>2023</v>
      </c>
      <c r="C2801" s="15" t="s">
        <v>107</v>
      </c>
      <c r="D2801" s="15" t="s">
        <v>2153</v>
      </c>
      <c r="E2801" s="15" t="s">
        <v>2123</v>
      </c>
      <c r="F2801" s="15" t="s">
        <v>2116</v>
      </c>
      <c r="G2801" s="15" t="s">
        <v>2127</v>
      </c>
      <c r="H2801" s="15">
        <v>2968</v>
      </c>
      <c r="I2801" s="15">
        <v>405.4</v>
      </c>
    </row>
    <row r="2802" spans="1:9">
      <c r="A2802" s="13">
        <v>45592</v>
      </c>
      <c r="B2802" s="91">
        <f t="shared" si="45"/>
        <v>2024</v>
      </c>
      <c r="C2802" s="15" t="s">
        <v>2141</v>
      </c>
      <c r="D2802" s="15" t="s">
        <v>2128</v>
      </c>
      <c r="E2802" s="15" t="s">
        <v>2136</v>
      </c>
      <c r="F2802" s="15" t="s">
        <v>2120</v>
      </c>
      <c r="G2802" s="15" t="s">
        <v>2132</v>
      </c>
      <c r="H2802" s="15">
        <v>3990</v>
      </c>
      <c r="I2802" s="15">
        <v>799.54</v>
      </c>
    </row>
    <row r="2803" spans="1:9">
      <c r="A2803" s="13">
        <v>45636</v>
      </c>
      <c r="B2803" s="91">
        <f t="shared" si="45"/>
        <v>2024</v>
      </c>
      <c r="C2803" s="15" t="s">
        <v>2141</v>
      </c>
      <c r="D2803" s="15" t="s">
        <v>2131</v>
      </c>
      <c r="E2803" s="15" t="s">
        <v>2151</v>
      </c>
      <c r="F2803" s="15" t="s">
        <v>2120</v>
      </c>
      <c r="G2803" s="15" t="s">
        <v>2132</v>
      </c>
      <c r="H2803" s="15">
        <v>3442</v>
      </c>
      <c r="I2803" s="15">
        <v>806.19</v>
      </c>
    </row>
    <row r="2804" spans="1:9">
      <c r="A2804" s="13">
        <v>45010</v>
      </c>
      <c r="B2804" s="91">
        <f t="shared" si="45"/>
        <v>2023</v>
      </c>
      <c r="C2804" s="15" t="s">
        <v>2141</v>
      </c>
      <c r="D2804" s="15" t="s">
        <v>2128</v>
      </c>
      <c r="E2804" s="15" t="s">
        <v>2115</v>
      </c>
      <c r="F2804" s="15" t="s">
        <v>2138</v>
      </c>
      <c r="G2804" s="15" t="s">
        <v>2146</v>
      </c>
      <c r="H2804" s="15">
        <v>6822</v>
      </c>
      <c r="I2804" s="15">
        <v>1217.81</v>
      </c>
    </row>
    <row r="2805" spans="1:9">
      <c r="A2805" s="13">
        <v>45371</v>
      </c>
      <c r="B2805" s="91">
        <f t="shared" si="45"/>
        <v>2024</v>
      </c>
      <c r="C2805" s="15" t="s">
        <v>104</v>
      </c>
      <c r="D2805" s="15" t="s">
        <v>2114</v>
      </c>
      <c r="E2805" s="15" t="s">
        <v>2129</v>
      </c>
      <c r="F2805" s="15" t="s">
        <v>2116</v>
      </c>
      <c r="G2805" s="15" t="s">
        <v>2154</v>
      </c>
      <c r="H2805" s="15">
        <v>7907</v>
      </c>
      <c r="I2805" s="15">
        <v>1220.33</v>
      </c>
    </row>
    <row r="2806" spans="1:9">
      <c r="A2806" s="13">
        <v>44627</v>
      </c>
      <c r="B2806" s="91">
        <f t="shared" si="45"/>
        <v>2022</v>
      </c>
      <c r="C2806" s="15" t="s">
        <v>2113</v>
      </c>
      <c r="D2806" s="15" t="s">
        <v>2142</v>
      </c>
      <c r="E2806" s="15" t="s">
        <v>2119</v>
      </c>
      <c r="F2806" s="15" t="s">
        <v>2138</v>
      </c>
      <c r="G2806" s="15" t="s">
        <v>2149</v>
      </c>
      <c r="H2806" s="15">
        <v>1282</v>
      </c>
      <c r="I2806" s="15">
        <v>359.19</v>
      </c>
    </row>
    <row r="2807" spans="1:9">
      <c r="A2807" s="13">
        <v>45332</v>
      </c>
      <c r="B2807" s="91">
        <f t="shared" si="45"/>
        <v>2024</v>
      </c>
      <c r="C2807" s="15" t="s">
        <v>2141</v>
      </c>
      <c r="D2807" s="15" t="s">
        <v>2135</v>
      </c>
      <c r="E2807" s="15" t="s">
        <v>2143</v>
      </c>
      <c r="F2807" s="15" t="s">
        <v>2116</v>
      </c>
      <c r="G2807" s="15" t="s">
        <v>2127</v>
      </c>
      <c r="H2807" s="15">
        <v>9054</v>
      </c>
      <c r="I2807" s="15">
        <v>2029.56</v>
      </c>
    </row>
    <row r="2808" spans="1:9">
      <c r="A2808" s="13">
        <v>44777</v>
      </c>
      <c r="B2808" s="91">
        <f t="shared" si="45"/>
        <v>2022</v>
      </c>
      <c r="C2808" s="15" t="s">
        <v>107</v>
      </c>
      <c r="D2808" s="15" t="s">
        <v>2126</v>
      </c>
      <c r="E2808" s="15" t="s">
        <v>2144</v>
      </c>
      <c r="F2808" s="15" t="s">
        <v>2120</v>
      </c>
      <c r="G2808" s="15" t="s">
        <v>2132</v>
      </c>
      <c r="H2808" s="15">
        <v>6309</v>
      </c>
      <c r="I2808" s="15">
        <v>700.74</v>
      </c>
    </row>
    <row r="2809" spans="1:9">
      <c r="A2809" s="13">
        <v>44606</v>
      </c>
      <c r="B2809" s="91">
        <f t="shared" si="45"/>
        <v>2022</v>
      </c>
      <c r="C2809" s="15" t="s">
        <v>104</v>
      </c>
      <c r="D2809" s="15" t="s">
        <v>2114</v>
      </c>
      <c r="E2809" s="15" t="s">
        <v>2143</v>
      </c>
      <c r="F2809" s="15" t="s">
        <v>2138</v>
      </c>
      <c r="G2809" s="15" t="s">
        <v>2146</v>
      </c>
      <c r="H2809" s="15">
        <v>8006</v>
      </c>
      <c r="I2809" s="15">
        <v>923.53</v>
      </c>
    </row>
    <row r="2810" spans="1:9">
      <c r="A2810" s="13">
        <v>45377</v>
      </c>
      <c r="B2810" s="91">
        <f t="shared" si="45"/>
        <v>2024</v>
      </c>
      <c r="C2810" s="15" t="s">
        <v>2113</v>
      </c>
      <c r="D2810" s="15" t="s">
        <v>2142</v>
      </c>
      <c r="E2810" s="15" t="s">
        <v>2143</v>
      </c>
      <c r="F2810" s="15" t="s">
        <v>2116</v>
      </c>
      <c r="G2810" s="15" t="s">
        <v>2127</v>
      </c>
      <c r="H2810" s="15">
        <v>6834</v>
      </c>
      <c r="I2810" s="15">
        <v>940.42</v>
      </c>
    </row>
    <row r="2811" spans="1:9">
      <c r="A2811" s="13">
        <v>45490</v>
      </c>
      <c r="B2811" s="91">
        <f t="shared" si="45"/>
        <v>2024</v>
      </c>
      <c r="C2811" s="15" t="s">
        <v>2113</v>
      </c>
      <c r="D2811" s="15" t="s">
        <v>2148</v>
      </c>
      <c r="E2811" s="15" t="s">
        <v>2134</v>
      </c>
      <c r="F2811" s="15" t="s">
        <v>2116</v>
      </c>
      <c r="G2811" s="15" t="s">
        <v>2154</v>
      </c>
      <c r="H2811" s="15">
        <v>6715</v>
      </c>
      <c r="I2811" s="15">
        <v>1442.25</v>
      </c>
    </row>
    <row r="2812" spans="1:9">
      <c r="A2812" s="13">
        <v>45143</v>
      </c>
      <c r="B2812" s="91">
        <f t="shared" si="45"/>
        <v>2023</v>
      </c>
      <c r="C2812" s="15" t="s">
        <v>104</v>
      </c>
      <c r="D2812" s="15" t="s">
        <v>2131</v>
      </c>
      <c r="E2812" s="15" t="s">
        <v>2134</v>
      </c>
      <c r="F2812" s="15" t="s">
        <v>2116</v>
      </c>
      <c r="G2812" s="15" t="s">
        <v>2117</v>
      </c>
      <c r="H2812" s="15">
        <v>4771</v>
      </c>
      <c r="I2812" s="15">
        <v>722.13</v>
      </c>
    </row>
    <row r="2813" spans="1:9">
      <c r="A2813" s="13">
        <v>45018</v>
      </c>
      <c r="B2813" s="91">
        <f t="shared" si="45"/>
        <v>2023</v>
      </c>
      <c r="C2813" s="15" t="s">
        <v>2141</v>
      </c>
      <c r="D2813" s="15" t="s">
        <v>2153</v>
      </c>
      <c r="E2813" s="15" t="s">
        <v>2151</v>
      </c>
      <c r="F2813" s="15" t="s">
        <v>2138</v>
      </c>
      <c r="G2813" s="15" t="s">
        <v>2139</v>
      </c>
      <c r="H2813" s="15">
        <v>6211</v>
      </c>
      <c r="I2813" s="15">
        <v>638.97</v>
      </c>
    </row>
    <row r="2814" spans="1:9">
      <c r="A2814" s="13">
        <v>45079</v>
      </c>
      <c r="B2814" s="91">
        <f t="shared" si="45"/>
        <v>2023</v>
      </c>
      <c r="C2814" s="15" t="s">
        <v>2141</v>
      </c>
      <c r="D2814" s="15" t="s">
        <v>2128</v>
      </c>
      <c r="E2814" s="15" t="s">
        <v>2144</v>
      </c>
      <c r="F2814" s="15" t="s">
        <v>2124</v>
      </c>
      <c r="G2814" s="15" t="s">
        <v>2130</v>
      </c>
      <c r="H2814" s="15">
        <v>7608</v>
      </c>
      <c r="I2814" s="15">
        <v>866.32</v>
      </c>
    </row>
    <row r="2815" spans="1:9">
      <c r="A2815" s="13">
        <v>44765</v>
      </c>
      <c r="B2815" s="91">
        <f t="shared" si="45"/>
        <v>2022</v>
      </c>
      <c r="C2815" s="15" t="s">
        <v>107</v>
      </c>
      <c r="D2815" s="15" t="s">
        <v>2126</v>
      </c>
      <c r="E2815" s="15" t="s">
        <v>2144</v>
      </c>
      <c r="F2815" s="15" t="s">
        <v>2116</v>
      </c>
      <c r="G2815" s="15" t="s">
        <v>2154</v>
      </c>
      <c r="H2815" s="15">
        <v>8377</v>
      </c>
      <c r="I2815" s="15">
        <v>905.83</v>
      </c>
    </row>
    <row r="2816" spans="1:9">
      <c r="A2816" s="13">
        <v>45570</v>
      </c>
      <c r="B2816" s="91">
        <f t="shared" si="45"/>
        <v>2024</v>
      </c>
      <c r="C2816" s="15" t="s">
        <v>107</v>
      </c>
      <c r="D2816" s="15" t="s">
        <v>2131</v>
      </c>
      <c r="E2816" s="15" t="s">
        <v>2145</v>
      </c>
      <c r="F2816" s="15" t="s">
        <v>2138</v>
      </c>
      <c r="G2816" s="15" t="s">
        <v>2146</v>
      </c>
      <c r="H2816" s="15">
        <v>7450</v>
      </c>
      <c r="I2816" s="15">
        <v>1271.46</v>
      </c>
    </row>
    <row r="2817" spans="1:9">
      <c r="A2817" s="13">
        <v>45024</v>
      </c>
      <c r="B2817" s="91">
        <f t="shared" si="45"/>
        <v>2023</v>
      </c>
      <c r="C2817" s="15" t="s">
        <v>107</v>
      </c>
      <c r="D2817" s="15" t="s">
        <v>2128</v>
      </c>
      <c r="E2817" s="15" t="s">
        <v>2129</v>
      </c>
      <c r="F2817" s="15" t="s">
        <v>2120</v>
      </c>
      <c r="G2817" s="15" t="s">
        <v>2121</v>
      </c>
      <c r="H2817" s="15">
        <v>8152</v>
      </c>
      <c r="I2817" s="15">
        <v>2288.54</v>
      </c>
    </row>
    <row r="2818" spans="1:9">
      <c r="A2818" s="13">
        <v>45334</v>
      </c>
      <c r="B2818" s="91">
        <f t="shared" si="45"/>
        <v>2024</v>
      </c>
      <c r="C2818" s="15" t="s">
        <v>2113</v>
      </c>
      <c r="D2818" s="15" t="s">
        <v>2142</v>
      </c>
      <c r="E2818" s="15" t="s">
        <v>2151</v>
      </c>
      <c r="F2818" s="15" t="s">
        <v>2116</v>
      </c>
      <c r="G2818" s="15" t="s">
        <v>2117</v>
      </c>
      <c r="H2818" s="15">
        <v>9763</v>
      </c>
      <c r="I2818" s="15">
        <v>1408.45</v>
      </c>
    </row>
    <row r="2819" spans="1:9">
      <c r="A2819" s="13">
        <v>45380</v>
      </c>
      <c r="B2819" s="91">
        <f t="shared" ref="B2819:B2882" si="46">YEAR(A2819)</f>
        <v>2024</v>
      </c>
      <c r="C2819" s="15" t="s">
        <v>2113</v>
      </c>
      <c r="D2819" s="15" t="s">
        <v>2153</v>
      </c>
      <c r="E2819" s="15" t="s">
        <v>2144</v>
      </c>
      <c r="F2819" s="15" t="s">
        <v>2116</v>
      </c>
      <c r="G2819" s="15" t="s">
        <v>2154</v>
      </c>
      <c r="H2819" s="15">
        <v>6091</v>
      </c>
      <c r="I2819" s="15">
        <v>1744.98</v>
      </c>
    </row>
    <row r="2820" spans="1:9">
      <c r="A2820" s="13">
        <v>45150</v>
      </c>
      <c r="B2820" s="91">
        <f t="shared" si="46"/>
        <v>2023</v>
      </c>
      <c r="C2820" s="15" t="s">
        <v>107</v>
      </c>
      <c r="D2820" s="15" t="s">
        <v>2118</v>
      </c>
      <c r="E2820" s="15" t="s">
        <v>2143</v>
      </c>
      <c r="F2820" s="15" t="s">
        <v>2124</v>
      </c>
      <c r="G2820" s="15" t="s">
        <v>2140</v>
      </c>
      <c r="H2820" s="15">
        <v>5387</v>
      </c>
      <c r="I2820" s="15">
        <v>1473.22</v>
      </c>
    </row>
    <row r="2821" spans="1:9">
      <c r="A2821" s="13">
        <v>45623</v>
      </c>
      <c r="B2821" s="91">
        <f t="shared" si="46"/>
        <v>2024</v>
      </c>
      <c r="C2821" s="15" t="s">
        <v>104</v>
      </c>
      <c r="D2821" s="15" t="s">
        <v>2118</v>
      </c>
      <c r="E2821" s="15" t="s">
        <v>2145</v>
      </c>
      <c r="F2821" s="15" t="s">
        <v>2124</v>
      </c>
      <c r="G2821" s="15" t="s">
        <v>2130</v>
      </c>
      <c r="H2821" s="15">
        <v>1625</v>
      </c>
      <c r="I2821" s="15">
        <v>355.06</v>
      </c>
    </row>
    <row r="2822" spans="1:9">
      <c r="A2822" s="13">
        <v>45539</v>
      </c>
      <c r="B2822" s="91">
        <f t="shared" si="46"/>
        <v>2024</v>
      </c>
      <c r="C2822" s="15" t="s">
        <v>2113</v>
      </c>
      <c r="D2822" s="15" t="s">
        <v>2131</v>
      </c>
      <c r="E2822" s="15" t="s">
        <v>2145</v>
      </c>
      <c r="F2822" s="15" t="s">
        <v>2120</v>
      </c>
      <c r="G2822" s="15" t="s">
        <v>2132</v>
      </c>
      <c r="H2822" s="15">
        <v>3967</v>
      </c>
      <c r="I2822" s="15">
        <v>919.51</v>
      </c>
    </row>
    <row r="2823" spans="1:9">
      <c r="A2823" s="13">
        <v>45505</v>
      </c>
      <c r="B2823" s="91">
        <f t="shared" si="46"/>
        <v>2024</v>
      </c>
      <c r="C2823" s="15" t="s">
        <v>2113</v>
      </c>
      <c r="D2823" s="15" t="s">
        <v>2126</v>
      </c>
      <c r="E2823" s="15" t="s">
        <v>2134</v>
      </c>
      <c r="F2823" s="15" t="s">
        <v>2120</v>
      </c>
      <c r="G2823" s="15" t="s">
        <v>2132</v>
      </c>
      <c r="H2823" s="15">
        <v>4132</v>
      </c>
      <c r="I2823" s="15">
        <v>1060.28</v>
      </c>
    </row>
    <row r="2824" spans="1:9">
      <c r="A2824" s="13">
        <v>45622</v>
      </c>
      <c r="B2824" s="91">
        <f t="shared" si="46"/>
        <v>2024</v>
      </c>
      <c r="C2824" s="15" t="s">
        <v>2113</v>
      </c>
      <c r="D2824" s="15" t="s">
        <v>2153</v>
      </c>
      <c r="E2824" s="15" t="s">
        <v>2119</v>
      </c>
      <c r="F2824" s="15" t="s">
        <v>2124</v>
      </c>
      <c r="G2824" s="15" t="s">
        <v>2125</v>
      </c>
      <c r="H2824" s="15">
        <v>1812</v>
      </c>
      <c r="I2824" s="15">
        <v>468.27</v>
      </c>
    </row>
    <row r="2825" spans="1:9">
      <c r="A2825" s="13">
        <v>44988</v>
      </c>
      <c r="B2825" s="91">
        <f t="shared" si="46"/>
        <v>2023</v>
      </c>
      <c r="C2825" s="15" t="s">
        <v>104</v>
      </c>
      <c r="D2825" s="15" t="s">
        <v>2114</v>
      </c>
      <c r="E2825" s="15" t="s">
        <v>2151</v>
      </c>
      <c r="F2825" s="15" t="s">
        <v>2116</v>
      </c>
      <c r="G2825" s="15" t="s">
        <v>2117</v>
      </c>
      <c r="H2825" s="15">
        <v>5731</v>
      </c>
      <c r="I2825" s="15">
        <v>1659.93</v>
      </c>
    </row>
    <row r="2826" spans="1:9">
      <c r="A2826" s="13">
        <v>44945</v>
      </c>
      <c r="B2826" s="91">
        <f t="shared" si="46"/>
        <v>2023</v>
      </c>
      <c r="C2826" s="15" t="s">
        <v>2113</v>
      </c>
      <c r="D2826" s="15" t="s">
        <v>2148</v>
      </c>
      <c r="E2826" s="15" t="s">
        <v>2143</v>
      </c>
      <c r="F2826" s="15" t="s">
        <v>2120</v>
      </c>
      <c r="G2826" s="15" t="s">
        <v>2133</v>
      </c>
      <c r="H2826" s="15">
        <v>4391</v>
      </c>
      <c r="I2826" s="15">
        <v>927.5</v>
      </c>
    </row>
    <row r="2827" spans="1:9">
      <c r="A2827" s="13">
        <v>45327</v>
      </c>
      <c r="B2827" s="91">
        <f t="shared" si="46"/>
        <v>2024</v>
      </c>
      <c r="C2827" s="15" t="s">
        <v>2141</v>
      </c>
      <c r="D2827" s="15" t="s">
        <v>2148</v>
      </c>
      <c r="E2827" s="15" t="s">
        <v>2136</v>
      </c>
      <c r="F2827" s="15" t="s">
        <v>2124</v>
      </c>
      <c r="G2827" s="15" t="s">
        <v>2125</v>
      </c>
      <c r="H2827" s="15">
        <v>5464</v>
      </c>
      <c r="I2827" s="15">
        <v>1229.81</v>
      </c>
    </row>
    <row r="2828" spans="1:9">
      <c r="A2828" s="13">
        <v>45092</v>
      </c>
      <c r="B2828" s="91">
        <f t="shared" si="46"/>
        <v>2023</v>
      </c>
      <c r="C2828" s="15" t="s">
        <v>2141</v>
      </c>
      <c r="D2828" s="15" t="s">
        <v>2114</v>
      </c>
      <c r="E2828" s="15" t="s">
        <v>2136</v>
      </c>
      <c r="F2828" s="15" t="s">
        <v>2116</v>
      </c>
      <c r="G2828" s="15" t="s">
        <v>2117</v>
      </c>
      <c r="H2828" s="15">
        <v>5197</v>
      </c>
      <c r="I2828" s="15">
        <v>687.17</v>
      </c>
    </row>
    <row r="2829" spans="1:9">
      <c r="A2829" s="13">
        <v>45613</v>
      </c>
      <c r="B2829" s="91">
        <f t="shared" si="46"/>
        <v>2024</v>
      </c>
      <c r="C2829" s="15" t="s">
        <v>2141</v>
      </c>
      <c r="D2829" s="15" t="s">
        <v>2114</v>
      </c>
      <c r="E2829" s="15" t="s">
        <v>2123</v>
      </c>
      <c r="F2829" s="15" t="s">
        <v>2116</v>
      </c>
      <c r="G2829" s="15" t="s">
        <v>2117</v>
      </c>
      <c r="H2829" s="15">
        <v>6437</v>
      </c>
      <c r="I2829" s="15">
        <v>651.39</v>
      </c>
    </row>
    <row r="2830" spans="1:9">
      <c r="A2830" s="13">
        <v>44849</v>
      </c>
      <c r="B2830" s="91">
        <f t="shared" si="46"/>
        <v>2022</v>
      </c>
      <c r="C2830" s="15" t="s">
        <v>104</v>
      </c>
      <c r="D2830" s="15" t="s">
        <v>2153</v>
      </c>
      <c r="E2830" s="15" t="s">
        <v>2115</v>
      </c>
      <c r="F2830" s="15" t="s">
        <v>2116</v>
      </c>
      <c r="G2830" s="15" t="s">
        <v>2154</v>
      </c>
      <c r="H2830" s="15">
        <v>2620</v>
      </c>
      <c r="I2830" s="15">
        <v>305.27</v>
      </c>
    </row>
    <row r="2831" spans="1:9">
      <c r="A2831" s="13">
        <v>45503</v>
      </c>
      <c r="B2831" s="91">
        <f t="shared" si="46"/>
        <v>2024</v>
      </c>
      <c r="C2831" s="15" t="s">
        <v>2141</v>
      </c>
      <c r="D2831" s="15" t="s">
        <v>2118</v>
      </c>
      <c r="E2831" s="15" t="s">
        <v>2144</v>
      </c>
      <c r="F2831" s="15" t="s">
        <v>2124</v>
      </c>
      <c r="G2831" s="15" t="s">
        <v>2130</v>
      </c>
      <c r="H2831" s="15">
        <v>3820</v>
      </c>
      <c r="I2831" s="15">
        <v>678.04</v>
      </c>
    </row>
    <row r="2832" spans="1:9">
      <c r="A2832" s="13">
        <v>44950</v>
      </c>
      <c r="B2832" s="91">
        <f t="shared" si="46"/>
        <v>2023</v>
      </c>
      <c r="C2832" s="15" t="s">
        <v>2141</v>
      </c>
      <c r="D2832" s="15" t="s">
        <v>2131</v>
      </c>
      <c r="E2832" s="15" t="s">
        <v>2123</v>
      </c>
      <c r="F2832" s="15" t="s">
        <v>2116</v>
      </c>
      <c r="G2832" s="15" t="s">
        <v>2117</v>
      </c>
      <c r="H2832" s="15">
        <v>8366</v>
      </c>
      <c r="I2832" s="15">
        <v>1322.06</v>
      </c>
    </row>
    <row r="2833" spans="1:9">
      <c r="A2833" s="13">
        <v>44907</v>
      </c>
      <c r="B2833" s="91">
        <f t="shared" si="46"/>
        <v>2022</v>
      </c>
      <c r="C2833" s="15" t="s">
        <v>104</v>
      </c>
      <c r="D2833" s="15" t="s">
        <v>2126</v>
      </c>
      <c r="E2833" s="15" t="s">
        <v>2119</v>
      </c>
      <c r="F2833" s="15" t="s">
        <v>2116</v>
      </c>
      <c r="G2833" s="15" t="s">
        <v>2127</v>
      </c>
      <c r="H2833" s="15">
        <v>3180</v>
      </c>
      <c r="I2833" s="15">
        <v>941.36</v>
      </c>
    </row>
    <row r="2834" spans="1:9">
      <c r="A2834" s="13">
        <v>45411</v>
      </c>
      <c r="B2834" s="91">
        <f t="shared" si="46"/>
        <v>2024</v>
      </c>
      <c r="C2834" s="15" t="s">
        <v>2141</v>
      </c>
      <c r="D2834" s="15" t="s">
        <v>2131</v>
      </c>
      <c r="E2834" s="15" t="s">
        <v>2115</v>
      </c>
      <c r="F2834" s="15" t="s">
        <v>2124</v>
      </c>
      <c r="G2834" s="15" t="s">
        <v>2125</v>
      </c>
      <c r="H2834" s="15">
        <v>3135</v>
      </c>
      <c r="I2834" s="15">
        <v>422.73</v>
      </c>
    </row>
    <row r="2835" spans="1:9">
      <c r="A2835" s="13">
        <v>45463</v>
      </c>
      <c r="B2835" s="91">
        <f t="shared" si="46"/>
        <v>2024</v>
      </c>
      <c r="C2835" s="15" t="s">
        <v>107</v>
      </c>
      <c r="D2835" s="15" t="s">
        <v>2135</v>
      </c>
      <c r="E2835" s="15" t="s">
        <v>2115</v>
      </c>
      <c r="F2835" s="15" t="s">
        <v>2120</v>
      </c>
      <c r="G2835" s="15" t="s">
        <v>2133</v>
      </c>
      <c r="H2835" s="15">
        <v>3791</v>
      </c>
      <c r="I2835" s="15">
        <v>465.61</v>
      </c>
    </row>
    <row r="2836" spans="1:9">
      <c r="A2836" s="13">
        <v>45271</v>
      </c>
      <c r="B2836" s="91">
        <f t="shared" si="46"/>
        <v>2023</v>
      </c>
      <c r="C2836" s="15" t="s">
        <v>107</v>
      </c>
      <c r="D2836" s="15" t="s">
        <v>2114</v>
      </c>
      <c r="E2836" s="15" t="s">
        <v>2129</v>
      </c>
      <c r="F2836" s="15" t="s">
        <v>2124</v>
      </c>
      <c r="G2836" s="15" t="s">
        <v>2130</v>
      </c>
      <c r="H2836" s="15">
        <v>6832</v>
      </c>
      <c r="I2836" s="15">
        <v>687.37</v>
      </c>
    </row>
    <row r="2837" spans="1:9">
      <c r="A2837" s="13">
        <v>44878</v>
      </c>
      <c r="B2837" s="91">
        <f t="shared" si="46"/>
        <v>2022</v>
      </c>
      <c r="C2837" s="15" t="s">
        <v>104</v>
      </c>
      <c r="D2837" s="15" t="s">
        <v>2118</v>
      </c>
      <c r="E2837" s="15" t="s">
        <v>2136</v>
      </c>
      <c r="F2837" s="15" t="s">
        <v>2124</v>
      </c>
      <c r="G2837" s="15" t="s">
        <v>2125</v>
      </c>
      <c r="H2837" s="15">
        <v>2407</v>
      </c>
      <c r="I2837" s="15">
        <v>619.1</v>
      </c>
    </row>
    <row r="2838" spans="1:9">
      <c r="A2838" s="13">
        <v>45628</v>
      </c>
      <c r="B2838" s="91">
        <f t="shared" si="46"/>
        <v>2024</v>
      </c>
      <c r="C2838" s="15" t="s">
        <v>107</v>
      </c>
      <c r="D2838" s="15" t="s">
        <v>2131</v>
      </c>
      <c r="E2838" s="15" t="s">
        <v>2145</v>
      </c>
      <c r="F2838" s="15" t="s">
        <v>2116</v>
      </c>
      <c r="G2838" s="15" t="s">
        <v>2117</v>
      </c>
      <c r="H2838" s="15">
        <v>1102</v>
      </c>
      <c r="I2838" s="15">
        <v>216.07</v>
      </c>
    </row>
    <row r="2839" spans="1:9">
      <c r="A2839" s="13">
        <v>45533</v>
      </c>
      <c r="B2839" s="91">
        <f t="shared" si="46"/>
        <v>2024</v>
      </c>
      <c r="C2839" s="15" t="s">
        <v>104</v>
      </c>
      <c r="D2839" s="15" t="s">
        <v>2148</v>
      </c>
      <c r="E2839" s="15" t="s">
        <v>2119</v>
      </c>
      <c r="F2839" s="15" t="s">
        <v>2138</v>
      </c>
      <c r="G2839" s="15" t="s">
        <v>2149</v>
      </c>
      <c r="H2839" s="15">
        <v>3651</v>
      </c>
      <c r="I2839" s="15">
        <v>557.19000000000005</v>
      </c>
    </row>
    <row r="2840" spans="1:9">
      <c r="A2840" s="13">
        <v>44914</v>
      </c>
      <c r="B2840" s="91">
        <f t="shared" si="46"/>
        <v>2022</v>
      </c>
      <c r="C2840" s="15" t="s">
        <v>107</v>
      </c>
      <c r="D2840" s="15" t="s">
        <v>2148</v>
      </c>
      <c r="E2840" s="15" t="s">
        <v>2119</v>
      </c>
      <c r="F2840" s="15" t="s">
        <v>2124</v>
      </c>
      <c r="G2840" s="15" t="s">
        <v>2125</v>
      </c>
      <c r="H2840" s="15">
        <v>8731</v>
      </c>
      <c r="I2840" s="15">
        <v>1913.17</v>
      </c>
    </row>
    <row r="2841" spans="1:9">
      <c r="A2841" s="13">
        <v>45474</v>
      </c>
      <c r="B2841" s="91">
        <f t="shared" si="46"/>
        <v>2024</v>
      </c>
      <c r="C2841" s="15" t="s">
        <v>2141</v>
      </c>
      <c r="D2841" s="15" t="s">
        <v>2126</v>
      </c>
      <c r="E2841" s="15" t="s">
        <v>2115</v>
      </c>
      <c r="F2841" s="15" t="s">
        <v>2124</v>
      </c>
      <c r="G2841" s="15" t="s">
        <v>2125</v>
      </c>
      <c r="H2841" s="15">
        <v>5673</v>
      </c>
      <c r="I2841" s="15">
        <v>567.54999999999995</v>
      </c>
    </row>
    <row r="2842" spans="1:9">
      <c r="A2842" s="13">
        <v>44957</v>
      </c>
      <c r="B2842" s="91">
        <f t="shared" si="46"/>
        <v>2023</v>
      </c>
      <c r="C2842" s="15" t="s">
        <v>2113</v>
      </c>
      <c r="D2842" s="15" t="s">
        <v>2142</v>
      </c>
      <c r="E2842" s="15" t="s">
        <v>2123</v>
      </c>
      <c r="F2842" s="15" t="s">
        <v>2124</v>
      </c>
      <c r="G2842" s="15" t="s">
        <v>2140</v>
      </c>
      <c r="H2842" s="15">
        <v>7441</v>
      </c>
      <c r="I2842" s="15">
        <v>1667.59</v>
      </c>
    </row>
    <row r="2843" spans="1:9">
      <c r="A2843" s="13">
        <v>45040</v>
      </c>
      <c r="B2843" s="91">
        <f t="shared" si="46"/>
        <v>2023</v>
      </c>
      <c r="C2843" s="15" t="s">
        <v>2141</v>
      </c>
      <c r="D2843" s="15" t="s">
        <v>2135</v>
      </c>
      <c r="E2843" s="15" t="s">
        <v>2134</v>
      </c>
      <c r="F2843" s="15" t="s">
        <v>2124</v>
      </c>
      <c r="G2843" s="15" t="s">
        <v>2140</v>
      </c>
      <c r="H2843" s="15">
        <v>2362</v>
      </c>
      <c r="I2843" s="15">
        <v>394.49</v>
      </c>
    </row>
    <row r="2844" spans="1:9">
      <c r="A2844" s="13">
        <v>45097</v>
      </c>
      <c r="B2844" s="91">
        <f t="shared" si="46"/>
        <v>2023</v>
      </c>
      <c r="C2844" s="15" t="s">
        <v>2141</v>
      </c>
      <c r="D2844" s="15" t="s">
        <v>2114</v>
      </c>
      <c r="E2844" s="15" t="s">
        <v>2144</v>
      </c>
      <c r="F2844" s="15" t="s">
        <v>2116</v>
      </c>
      <c r="G2844" s="15" t="s">
        <v>2117</v>
      </c>
      <c r="H2844" s="15">
        <v>9333</v>
      </c>
      <c r="I2844" s="15">
        <v>1851.11</v>
      </c>
    </row>
    <row r="2845" spans="1:9">
      <c r="A2845" s="13">
        <v>44732</v>
      </c>
      <c r="B2845" s="91">
        <f t="shared" si="46"/>
        <v>2022</v>
      </c>
      <c r="C2845" s="15" t="s">
        <v>2113</v>
      </c>
      <c r="D2845" s="15" t="s">
        <v>2118</v>
      </c>
      <c r="E2845" s="15" t="s">
        <v>2115</v>
      </c>
      <c r="F2845" s="15" t="s">
        <v>2120</v>
      </c>
      <c r="G2845" s="15" t="s">
        <v>2121</v>
      </c>
      <c r="H2845" s="15">
        <v>5110</v>
      </c>
      <c r="I2845" s="15">
        <v>1478.56</v>
      </c>
    </row>
    <row r="2846" spans="1:9">
      <c r="A2846" s="13">
        <v>45242</v>
      </c>
      <c r="B2846" s="91">
        <f t="shared" si="46"/>
        <v>2023</v>
      </c>
      <c r="C2846" s="15" t="s">
        <v>104</v>
      </c>
      <c r="D2846" s="15" t="s">
        <v>2152</v>
      </c>
      <c r="E2846" s="15" t="s">
        <v>2144</v>
      </c>
      <c r="F2846" s="15" t="s">
        <v>2116</v>
      </c>
      <c r="G2846" s="15" t="s">
        <v>2154</v>
      </c>
      <c r="H2846" s="15">
        <v>6377</v>
      </c>
      <c r="I2846" s="15">
        <v>1866.68</v>
      </c>
    </row>
    <row r="2847" spans="1:9">
      <c r="A2847" s="13">
        <v>45447</v>
      </c>
      <c r="B2847" s="91">
        <f t="shared" si="46"/>
        <v>2024</v>
      </c>
      <c r="C2847" s="15" t="s">
        <v>2113</v>
      </c>
      <c r="D2847" s="15" t="s">
        <v>2153</v>
      </c>
      <c r="E2847" s="15" t="s">
        <v>2119</v>
      </c>
      <c r="F2847" s="15" t="s">
        <v>2138</v>
      </c>
      <c r="G2847" s="15" t="s">
        <v>2149</v>
      </c>
      <c r="H2847" s="15">
        <v>4149</v>
      </c>
      <c r="I2847" s="15">
        <v>588.69000000000005</v>
      </c>
    </row>
    <row r="2848" spans="1:9">
      <c r="A2848" s="13">
        <v>45622</v>
      </c>
      <c r="B2848" s="91">
        <f t="shared" si="46"/>
        <v>2024</v>
      </c>
      <c r="C2848" s="15" t="s">
        <v>2141</v>
      </c>
      <c r="D2848" s="15" t="s">
        <v>2114</v>
      </c>
      <c r="E2848" s="15" t="s">
        <v>2129</v>
      </c>
      <c r="F2848" s="15" t="s">
        <v>2116</v>
      </c>
      <c r="G2848" s="15" t="s">
        <v>2154</v>
      </c>
      <c r="H2848" s="15">
        <v>5668</v>
      </c>
      <c r="I2848" s="15">
        <v>1155.3</v>
      </c>
    </row>
    <row r="2849" spans="1:9">
      <c r="A2849" s="13">
        <v>44753</v>
      </c>
      <c r="B2849" s="91">
        <f t="shared" si="46"/>
        <v>2022</v>
      </c>
      <c r="C2849" s="15" t="s">
        <v>107</v>
      </c>
      <c r="D2849" s="15" t="s">
        <v>2153</v>
      </c>
      <c r="E2849" s="15" t="s">
        <v>2134</v>
      </c>
      <c r="F2849" s="15" t="s">
        <v>2138</v>
      </c>
      <c r="G2849" s="15" t="s">
        <v>2139</v>
      </c>
      <c r="H2849" s="15">
        <v>2526</v>
      </c>
      <c r="I2849" s="15">
        <v>460.57</v>
      </c>
    </row>
    <row r="2850" spans="1:9">
      <c r="A2850" s="13">
        <v>45242</v>
      </c>
      <c r="B2850" s="91">
        <f t="shared" si="46"/>
        <v>2023</v>
      </c>
      <c r="C2850" s="15" t="s">
        <v>2141</v>
      </c>
      <c r="D2850" s="15" t="s">
        <v>2135</v>
      </c>
      <c r="E2850" s="15" t="s">
        <v>2144</v>
      </c>
      <c r="F2850" s="15" t="s">
        <v>2138</v>
      </c>
      <c r="G2850" s="15" t="s">
        <v>2149</v>
      </c>
      <c r="H2850" s="15">
        <v>2291</v>
      </c>
      <c r="I2850" s="15">
        <v>316.05</v>
      </c>
    </row>
    <row r="2851" spans="1:9">
      <c r="A2851" s="13">
        <v>45528</v>
      </c>
      <c r="B2851" s="91">
        <f t="shared" si="46"/>
        <v>2024</v>
      </c>
      <c r="C2851" s="15" t="s">
        <v>2141</v>
      </c>
      <c r="D2851" s="15" t="s">
        <v>2114</v>
      </c>
      <c r="E2851" s="15" t="s">
        <v>2136</v>
      </c>
      <c r="F2851" s="15" t="s">
        <v>2116</v>
      </c>
      <c r="G2851" s="15" t="s">
        <v>2154</v>
      </c>
      <c r="H2851" s="15">
        <v>3634</v>
      </c>
      <c r="I2851" s="15">
        <v>944.38</v>
      </c>
    </row>
    <row r="2852" spans="1:9">
      <c r="A2852" s="13">
        <v>45383</v>
      </c>
      <c r="B2852" s="91">
        <f t="shared" si="46"/>
        <v>2024</v>
      </c>
      <c r="C2852" s="15" t="s">
        <v>2141</v>
      </c>
      <c r="D2852" s="15" t="s">
        <v>2153</v>
      </c>
      <c r="E2852" s="15" t="s">
        <v>2134</v>
      </c>
      <c r="F2852" s="15" t="s">
        <v>2120</v>
      </c>
      <c r="G2852" s="15" t="s">
        <v>2121</v>
      </c>
      <c r="H2852" s="15">
        <v>5209</v>
      </c>
      <c r="I2852" s="15">
        <v>1206.05</v>
      </c>
    </row>
    <row r="2853" spans="1:9">
      <c r="A2853" s="13">
        <v>45249</v>
      </c>
      <c r="B2853" s="91">
        <f t="shared" si="46"/>
        <v>2023</v>
      </c>
      <c r="C2853" s="15" t="s">
        <v>107</v>
      </c>
      <c r="D2853" s="15" t="s">
        <v>2118</v>
      </c>
      <c r="E2853" s="15" t="s">
        <v>2151</v>
      </c>
      <c r="F2853" s="15" t="s">
        <v>2138</v>
      </c>
      <c r="G2853" s="15" t="s">
        <v>2146</v>
      </c>
      <c r="H2853" s="15">
        <v>2982</v>
      </c>
      <c r="I2853" s="15">
        <v>668.06</v>
      </c>
    </row>
    <row r="2854" spans="1:9">
      <c r="A2854" s="13">
        <v>45517</v>
      </c>
      <c r="B2854" s="91">
        <f t="shared" si="46"/>
        <v>2024</v>
      </c>
      <c r="C2854" s="15" t="s">
        <v>2141</v>
      </c>
      <c r="D2854" s="15" t="s">
        <v>2148</v>
      </c>
      <c r="E2854" s="15" t="s">
        <v>2136</v>
      </c>
      <c r="F2854" s="15" t="s">
        <v>2116</v>
      </c>
      <c r="G2854" s="15" t="s">
        <v>2127</v>
      </c>
      <c r="H2854" s="15">
        <v>3881</v>
      </c>
      <c r="I2854" s="15">
        <v>546.80999999999995</v>
      </c>
    </row>
    <row r="2855" spans="1:9">
      <c r="A2855" s="13">
        <v>45530</v>
      </c>
      <c r="B2855" s="91">
        <f t="shared" si="46"/>
        <v>2024</v>
      </c>
      <c r="C2855" s="15" t="s">
        <v>2113</v>
      </c>
      <c r="D2855" s="15" t="s">
        <v>2148</v>
      </c>
      <c r="E2855" s="15" t="s">
        <v>2129</v>
      </c>
      <c r="F2855" s="15" t="s">
        <v>2138</v>
      </c>
      <c r="G2855" s="15" t="s">
        <v>2139</v>
      </c>
      <c r="H2855" s="15">
        <v>9430</v>
      </c>
      <c r="I2855" s="15">
        <v>1428.82</v>
      </c>
    </row>
    <row r="2856" spans="1:9">
      <c r="A2856" s="13">
        <v>45163</v>
      </c>
      <c r="B2856" s="91">
        <f t="shared" si="46"/>
        <v>2023</v>
      </c>
      <c r="C2856" s="15" t="s">
        <v>104</v>
      </c>
      <c r="D2856" s="15" t="s">
        <v>2118</v>
      </c>
      <c r="E2856" s="15" t="s">
        <v>2123</v>
      </c>
      <c r="F2856" s="15" t="s">
        <v>2138</v>
      </c>
      <c r="G2856" s="15" t="s">
        <v>2149</v>
      </c>
      <c r="H2856" s="15">
        <v>8150</v>
      </c>
      <c r="I2856" s="15">
        <v>1006.74</v>
      </c>
    </row>
    <row r="2857" spans="1:9">
      <c r="A2857" s="13">
        <v>44611</v>
      </c>
      <c r="B2857" s="91">
        <f t="shared" si="46"/>
        <v>2022</v>
      </c>
      <c r="C2857" s="15" t="s">
        <v>2141</v>
      </c>
      <c r="D2857" s="15" t="s">
        <v>2118</v>
      </c>
      <c r="E2857" s="15" t="s">
        <v>2144</v>
      </c>
      <c r="F2857" s="15" t="s">
        <v>2120</v>
      </c>
      <c r="G2857" s="15" t="s">
        <v>2121</v>
      </c>
      <c r="H2857" s="15">
        <v>9494</v>
      </c>
      <c r="I2857" s="15">
        <v>2000.86</v>
      </c>
    </row>
    <row r="2858" spans="1:9">
      <c r="A2858" s="13">
        <v>45185</v>
      </c>
      <c r="B2858" s="91">
        <f t="shared" si="46"/>
        <v>2023</v>
      </c>
      <c r="C2858" s="15" t="s">
        <v>2113</v>
      </c>
      <c r="D2858" s="15" t="s">
        <v>2152</v>
      </c>
      <c r="E2858" s="15" t="s">
        <v>2145</v>
      </c>
      <c r="F2858" s="15" t="s">
        <v>2120</v>
      </c>
      <c r="G2858" s="15" t="s">
        <v>2121</v>
      </c>
      <c r="H2858" s="15">
        <v>8105</v>
      </c>
      <c r="I2858" s="15">
        <v>2098.21</v>
      </c>
    </row>
    <row r="2859" spans="1:9">
      <c r="A2859" s="13">
        <v>44783</v>
      </c>
      <c r="B2859" s="91">
        <f t="shared" si="46"/>
        <v>2022</v>
      </c>
      <c r="C2859" s="15" t="s">
        <v>107</v>
      </c>
      <c r="D2859" s="15" t="s">
        <v>2153</v>
      </c>
      <c r="E2859" s="15" t="s">
        <v>2136</v>
      </c>
      <c r="F2859" s="15" t="s">
        <v>2124</v>
      </c>
      <c r="G2859" s="15" t="s">
        <v>2125</v>
      </c>
      <c r="H2859" s="15">
        <v>9982</v>
      </c>
      <c r="I2859" s="15">
        <v>2373.17</v>
      </c>
    </row>
    <row r="2860" spans="1:9">
      <c r="A2860" s="13">
        <v>45120</v>
      </c>
      <c r="B2860" s="91">
        <f t="shared" si="46"/>
        <v>2023</v>
      </c>
      <c r="C2860" s="15" t="s">
        <v>104</v>
      </c>
      <c r="D2860" s="15" t="s">
        <v>2148</v>
      </c>
      <c r="E2860" s="15" t="s">
        <v>2145</v>
      </c>
      <c r="F2860" s="15" t="s">
        <v>2116</v>
      </c>
      <c r="G2860" s="15" t="s">
        <v>2117</v>
      </c>
      <c r="H2860" s="15">
        <v>6034</v>
      </c>
      <c r="I2860" s="15">
        <v>1615.72</v>
      </c>
    </row>
    <row r="2861" spans="1:9">
      <c r="A2861" s="13">
        <v>45649</v>
      </c>
      <c r="B2861" s="91">
        <f t="shared" si="46"/>
        <v>2024</v>
      </c>
      <c r="C2861" s="15" t="s">
        <v>104</v>
      </c>
      <c r="D2861" s="15" t="s">
        <v>2152</v>
      </c>
      <c r="E2861" s="15" t="s">
        <v>2134</v>
      </c>
      <c r="F2861" s="15" t="s">
        <v>2124</v>
      </c>
      <c r="G2861" s="15" t="s">
        <v>2130</v>
      </c>
      <c r="H2861" s="15">
        <v>8866</v>
      </c>
      <c r="I2861" s="15">
        <v>1145.21</v>
      </c>
    </row>
    <row r="2862" spans="1:9">
      <c r="A2862" s="13">
        <v>45488</v>
      </c>
      <c r="B2862" s="91">
        <f t="shared" si="46"/>
        <v>2024</v>
      </c>
      <c r="C2862" s="15" t="s">
        <v>2113</v>
      </c>
      <c r="D2862" s="15" t="s">
        <v>2153</v>
      </c>
      <c r="E2862" s="15" t="s">
        <v>2145</v>
      </c>
      <c r="F2862" s="15" t="s">
        <v>2120</v>
      </c>
      <c r="G2862" s="15" t="s">
        <v>2121</v>
      </c>
      <c r="H2862" s="15">
        <v>1251</v>
      </c>
      <c r="I2862" s="15">
        <v>164.12</v>
      </c>
    </row>
    <row r="2863" spans="1:9">
      <c r="A2863" s="13">
        <v>45540</v>
      </c>
      <c r="B2863" s="91">
        <f t="shared" si="46"/>
        <v>2024</v>
      </c>
      <c r="C2863" s="15" t="s">
        <v>2113</v>
      </c>
      <c r="D2863" s="15" t="s">
        <v>2114</v>
      </c>
      <c r="E2863" s="15" t="s">
        <v>2151</v>
      </c>
      <c r="F2863" s="15" t="s">
        <v>2120</v>
      </c>
      <c r="G2863" s="15" t="s">
        <v>2121</v>
      </c>
      <c r="H2863" s="15">
        <v>4792</v>
      </c>
      <c r="I2863" s="15">
        <v>740.99</v>
      </c>
    </row>
    <row r="2864" spans="1:9">
      <c r="A2864" s="13">
        <v>45467</v>
      </c>
      <c r="B2864" s="91">
        <f t="shared" si="46"/>
        <v>2024</v>
      </c>
      <c r="C2864" s="15" t="s">
        <v>2113</v>
      </c>
      <c r="D2864" s="15" t="s">
        <v>2152</v>
      </c>
      <c r="E2864" s="15" t="s">
        <v>2129</v>
      </c>
      <c r="F2864" s="15" t="s">
        <v>2120</v>
      </c>
      <c r="G2864" s="15" t="s">
        <v>2132</v>
      </c>
      <c r="H2864" s="15">
        <v>1456</v>
      </c>
      <c r="I2864" s="15">
        <v>331.88</v>
      </c>
    </row>
    <row r="2865" spans="1:9">
      <c r="A2865" s="13">
        <v>44901</v>
      </c>
      <c r="B2865" s="91">
        <f t="shared" si="46"/>
        <v>2022</v>
      </c>
      <c r="C2865" s="15" t="s">
        <v>2141</v>
      </c>
      <c r="D2865" s="15" t="s">
        <v>2128</v>
      </c>
      <c r="E2865" s="15" t="s">
        <v>2119</v>
      </c>
      <c r="F2865" s="15" t="s">
        <v>2138</v>
      </c>
      <c r="G2865" s="15" t="s">
        <v>2139</v>
      </c>
      <c r="H2865" s="15">
        <v>3811</v>
      </c>
      <c r="I2865" s="15">
        <v>390.17</v>
      </c>
    </row>
    <row r="2866" spans="1:9">
      <c r="A2866" s="13">
        <v>44653</v>
      </c>
      <c r="B2866" s="91">
        <f t="shared" si="46"/>
        <v>2022</v>
      </c>
      <c r="C2866" s="15" t="s">
        <v>104</v>
      </c>
      <c r="D2866" s="15" t="s">
        <v>2153</v>
      </c>
      <c r="E2866" s="15" t="s">
        <v>2143</v>
      </c>
      <c r="F2866" s="15" t="s">
        <v>2120</v>
      </c>
      <c r="G2866" s="15" t="s">
        <v>2132</v>
      </c>
      <c r="H2866" s="15">
        <v>3911</v>
      </c>
      <c r="I2866" s="15">
        <v>513.09</v>
      </c>
    </row>
    <row r="2867" spans="1:9">
      <c r="A2867" s="13">
        <v>45524</v>
      </c>
      <c r="B2867" s="91">
        <f t="shared" si="46"/>
        <v>2024</v>
      </c>
      <c r="C2867" s="15" t="s">
        <v>107</v>
      </c>
      <c r="D2867" s="15" t="s">
        <v>2142</v>
      </c>
      <c r="E2867" s="15" t="s">
        <v>2119</v>
      </c>
      <c r="F2867" s="15" t="s">
        <v>2120</v>
      </c>
      <c r="G2867" s="15" t="s">
        <v>2133</v>
      </c>
      <c r="H2867" s="15">
        <v>1248</v>
      </c>
      <c r="I2867" s="15">
        <v>262.25</v>
      </c>
    </row>
    <row r="2868" spans="1:9">
      <c r="A2868" s="13">
        <v>45182</v>
      </c>
      <c r="B2868" s="91">
        <f t="shared" si="46"/>
        <v>2023</v>
      </c>
      <c r="C2868" s="15" t="s">
        <v>2113</v>
      </c>
      <c r="D2868" s="15" t="s">
        <v>2148</v>
      </c>
      <c r="E2868" s="15" t="s">
        <v>2119</v>
      </c>
      <c r="F2868" s="15" t="s">
        <v>2124</v>
      </c>
      <c r="G2868" s="15" t="s">
        <v>2130</v>
      </c>
      <c r="H2868" s="15">
        <v>9298</v>
      </c>
      <c r="I2868" s="15">
        <v>1329.3</v>
      </c>
    </row>
    <row r="2869" spans="1:9">
      <c r="A2869" s="13">
        <v>45618</v>
      </c>
      <c r="B2869" s="91">
        <f t="shared" si="46"/>
        <v>2024</v>
      </c>
      <c r="C2869" s="15" t="s">
        <v>2113</v>
      </c>
      <c r="D2869" s="15" t="s">
        <v>2126</v>
      </c>
      <c r="E2869" s="15" t="s">
        <v>2136</v>
      </c>
      <c r="F2869" s="15" t="s">
        <v>2116</v>
      </c>
      <c r="G2869" s="15" t="s">
        <v>2154</v>
      </c>
      <c r="H2869" s="15">
        <v>4478</v>
      </c>
      <c r="I2869" s="15">
        <v>808.67</v>
      </c>
    </row>
    <row r="2870" spans="1:9">
      <c r="A2870" s="13">
        <v>44748</v>
      </c>
      <c r="B2870" s="91">
        <f t="shared" si="46"/>
        <v>2022</v>
      </c>
      <c r="C2870" s="15" t="s">
        <v>2141</v>
      </c>
      <c r="D2870" s="15" t="s">
        <v>2153</v>
      </c>
      <c r="E2870" s="15" t="s">
        <v>2115</v>
      </c>
      <c r="F2870" s="15" t="s">
        <v>2124</v>
      </c>
      <c r="G2870" s="15" t="s">
        <v>2140</v>
      </c>
      <c r="H2870" s="15">
        <v>5018</v>
      </c>
      <c r="I2870" s="15">
        <v>784.25</v>
      </c>
    </row>
    <row r="2871" spans="1:9">
      <c r="A2871" s="13">
        <v>45000</v>
      </c>
      <c r="B2871" s="91">
        <f t="shared" si="46"/>
        <v>2023</v>
      </c>
      <c r="C2871" s="15" t="s">
        <v>104</v>
      </c>
      <c r="D2871" s="15" t="s">
        <v>2126</v>
      </c>
      <c r="E2871" s="15" t="s">
        <v>2129</v>
      </c>
      <c r="F2871" s="15" t="s">
        <v>2120</v>
      </c>
      <c r="G2871" s="15" t="s">
        <v>2133</v>
      </c>
      <c r="H2871" s="15">
        <v>8879</v>
      </c>
      <c r="I2871" s="15">
        <v>1870.24</v>
      </c>
    </row>
    <row r="2872" spans="1:9">
      <c r="A2872" s="13">
        <v>45499</v>
      </c>
      <c r="B2872" s="91">
        <f t="shared" si="46"/>
        <v>2024</v>
      </c>
      <c r="C2872" s="15" t="s">
        <v>2141</v>
      </c>
      <c r="D2872" s="15" t="s">
        <v>2135</v>
      </c>
      <c r="E2872" s="15" t="s">
        <v>2134</v>
      </c>
      <c r="F2872" s="15" t="s">
        <v>2138</v>
      </c>
      <c r="G2872" s="15" t="s">
        <v>2139</v>
      </c>
      <c r="H2872" s="15">
        <v>1373</v>
      </c>
      <c r="I2872" s="15">
        <v>150.91999999999999</v>
      </c>
    </row>
    <row r="2873" spans="1:9">
      <c r="A2873" s="13">
        <v>45242</v>
      </c>
      <c r="B2873" s="91">
        <f t="shared" si="46"/>
        <v>2023</v>
      </c>
      <c r="C2873" s="15" t="s">
        <v>2141</v>
      </c>
      <c r="D2873" s="15" t="s">
        <v>2131</v>
      </c>
      <c r="E2873" s="15" t="s">
        <v>2145</v>
      </c>
      <c r="F2873" s="15" t="s">
        <v>2116</v>
      </c>
      <c r="G2873" s="15" t="s">
        <v>2154</v>
      </c>
      <c r="H2873" s="15">
        <v>2163</v>
      </c>
      <c r="I2873" s="15">
        <v>372.03</v>
      </c>
    </row>
    <row r="2874" spans="1:9">
      <c r="A2874" s="13">
        <v>45010</v>
      </c>
      <c r="B2874" s="91">
        <f t="shared" si="46"/>
        <v>2023</v>
      </c>
      <c r="C2874" s="15" t="s">
        <v>107</v>
      </c>
      <c r="D2874" s="15" t="s">
        <v>2135</v>
      </c>
      <c r="E2874" s="15" t="s">
        <v>2143</v>
      </c>
      <c r="F2874" s="15" t="s">
        <v>2138</v>
      </c>
      <c r="G2874" s="15" t="s">
        <v>2139</v>
      </c>
      <c r="H2874" s="15">
        <v>3980</v>
      </c>
      <c r="I2874" s="15">
        <v>642.54</v>
      </c>
    </row>
    <row r="2875" spans="1:9">
      <c r="A2875" s="13">
        <v>44706</v>
      </c>
      <c r="B2875" s="91">
        <f t="shared" si="46"/>
        <v>2022</v>
      </c>
      <c r="C2875" s="15" t="s">
        <v>104</v>
      </c>
      <c r="D2875" s="15" t="s">
        <v>2128</v>
      </c>
      <c r="E2875" s="15" t="s">
        <v>2129</v>
      </c>
      <c r="F2875" s="15" t="s">
        <v>2120</v>
      </c>
      <c r="G2875" s="15" t="s">
        <v>2132</v>
      </c>
      <c r="H2875" s="15">
        <v>6875</v>
      </c>
      <c r="I2875" s="15">
        <v>1160.92</v>
      </c>
    </row>
    <row r="2876" spans="1:9">
      <c r="A2876" s="13">
        <v>44565</v>
      </c>
      <c r="B2876" s="91">
        <f t="shared" si="46"/>
        <v>2022</v>
      </c>
      <c r="C2876" s="15" t="s">
        <v>2113</v>
      </c>
      <c r="D2876" s="15" t="s">
        <v>2118</v>
      </c>
      <c r="E2876" s="15" t="s">
        <v>2123</v>
      </c>
      <c r="F2876" s="15" t="s">
        <v>2116</v>
      </c>
      <c r="G2876" s="15" t="s">
        <v>2127</v>
      </c>
      <c r="H2876" s="15">
        <v>9308</v>
      </c>
      <c r="I2876" s="15">
        <v>1270.3499999999999</v>
      </c>
    </row>
    <row r="2877" spans="1:9">
      <c r="A2877" s="13">
        <v>45479</v>
      </c>
      <c r="B2877" s="91">
        <f t="shared" si="46"/>
        <v>2024</v>
      </c>
      <c r="C2877" s="15" t="s">
        <v>104</v>
      </c>
      <c r="D2877" s="15" t="s">
        <v>2153</v>
      </c>
      <c r="E2877" s="15" t="s">
        <v>2134</v>
      </c>
      <c r="F2877" s="15" t="s">
        <v>2116</v>
      </c>
      <c r="G2877" s="15" t="s">
        <v>2127</v>
      </c>
      <c r="H2877" s="15">
        <v>4787</v>
      </c>
      <c r="I2877" s="15">
        <v>529.61</v>
      </c>
    </row>
    <row r="2878" spans="1:9">
      <c r="A2878" s="13">
        <v>44757</v>
      </c>
      <c r="B2878" s="91">
        <f t="shared" si="46"/>
        <v>2022</v>
      </c>
      <c r="C2878" s="15" t="s">
        <v>104</v>
      </c>
      <c r="D2878" s="15" t="s">
        <v>2135</v>
      </c>
      <c r="E2878" s="15" t="s">
        <v>2143</v>
      </c>
      <c r="F2878" s="15" t="s">
        <v>2116</v>
      </c>
      <c r="G2878" s="15" t="s">
        <v>2117</v>
      </c>
      <c r="H2878" s="15">
        <v>6651</v>
      </c>
      <c r="I2878" s="15">
        <v>1331.3</v>
      </c>
    </row>
    <row r="2879" spans="1:9">
      <c r="A2879" s="13">
        <v>45464</v>
      </c>
      <c r="B2879" s="91">
        <f t="shared" si="46"/>
        <v>2024</v>
      </c>
      <c r="C2879" s="15" t="s">
        <v>2141</v>
      </c>
      <c r="D2879" s="15" t="s">
        <v>2114</v>
      </c>
      <c r="E2879" s="15" t="s">
        <v>2134</v>
      </c>
      <c r="F2879" s="15" t="s">
        <v>2116</v>
      </c>
      <c r="G2879" s="15" t="s">
        <v>2127</v>
      </c>
      <c r="H2879" s="15">
        <v>1892</v>
      </c>
      <c r="I2879" s="15">
        <v>397.33</v>
      </c>
    </row>
    <row r="2880" spans="1:9">
      <c r="A2880" s="13">
        <v>45450</v>
      </c>
      <c r="B2880" s="91">
        <f t="shared" si="46"/>
        <v>2024</v>
      </c>
      <c r="C2880" s="15" t="s">
        <v>107</v>
      </c>
      <c r="D2880" s="15" t="s">
        <v>2131</v>
      </c>
      <c r="E2880" s="15" t="s">
        <v>2129</v>
      </c>
      <c r="F2880" s="15" t="s">
        <v>2138</v>
      </c>
      <c r="G2880" s="15" t="s">
        <v>2139</v>
      </c>
      <c r="H2880" s="15">
        <v>4246</v>
      </c>
      <c r="I2880" s="15">
        <v>964.1</v>
      </c>
    </row>
    <row r="2881" spans="1:9">
      <c r="A2881" s="13">
        <v>45092</v>
      </c>
      <c r="B2881" s="91">
        <f t="shared" si="46"/>
        <v>2023</v>
      </c>
      <c r="C2881" s="15" t="s">
        <v>107</v>
      </c>
      <c r="D2881" s="15" t="s">
        <v>2142</v>
      </c>
      <c r="E2881" s="15" t="s">
        <v>2115</v>
      </c>
      <c r="F2881" s="15" t="s">
        <v>2116</v>
      </c>
      <c r="G2881" s="15" t="s">
        <v>2117</v>
      </c>
      <c r="H2881" s="15">
        <v>9694</v>
      </c>
      <c r="I2881" s="15">
        <v>2038.49</v>
      </c>
    </row>
    <row r="2882" spans="1:9">
      <c r="A2882" s="13">
        <v>45100</v>
      </c>
      <c r="B2882" s="91">
        <f t="shared" si="46"/>
        <v>2023</v>
      </c>
      <c r="C2882" s="15" t="s">
        <v>2141</v>
      </c>
      <c r="D2882" s="15" t="s">
        <v>2135</v>
      </c>
      <c r="E2882" s="15" t="s">
        <v>2119</v>
      </c>
      <c r="F2882" s="15" t="s">
        <v>2120</v>
      </c>
      <c r="G2882" s="15" t="s">
        <v>2133</v>
      </c>
      <c r="H2882" s="15">
        <v>7193</v>
      </c>
      <c r="I2882" s="15">
        <v>819.16</v>
      </c>
    </row>
    <row r="2883" spans="1:9">
      <c r="A2883" s="13">
        <v>45363</v>
      </c>
      <c r="B2883" s="91">
        <f t="shared" ref="B2883:B2946" si="47">YEAR(A2883)</f>
        <v>2024</v>
      </c>
      <c r="C2883" s="15" t="s">
        <v>107</v>
      </c>
      <c r="D2883" s="15" t="s">
        <v>2126</v>
      </c>
      <c r="E2883" s="15" t="s">
        <v>2115</v>
      </c>
      <c r="F2883" s="15" t="s">
        <v>2120</v>
      </c>
      <c r="G2883" s="15" t="s">
        <v>2133</v>
      </c>
      <c r="H2883" s="15">
        <v>6421</v>
      </c>
      <c r="I2883" s="15">
        <v>1201.22</v>
      </c>
    </row>
    <row r="2884" spans="1:9">
      <c r="A2884" s="13">
        <v>45391</v>
      </c>
      <c r="B2884" s="91">
        <f t="shared" si="47"/>
        <v>2024</v>
      </c>
      <c r="C2884" s="15" t="s">
        <v>2113</v>
      </c>
      <c r="D2884" s="15" t="s">
        <v>2148</v>
      </c>
      <c r="E2884" s="15" t="s">
        <v>2143</v>
      </c>
      <c r="F2884" s="15" t="s">
        <v>2124</v>
      </c>
      <c r="G2884" s="15" t="s">
        <v>2130</v>
      </c>
      <c r="H2884" s="15">
        <v>2383</v>
      </c>
      <c r="I2884" s="15">
        <v>530.29999999999995</v>
      </c>
    </row>
    <row r="2885" spans="1:9">
      <c r="A2885" s="13">
        <v>44653</v>
      </c>
      <c r="B2885" s="91">
        <f t="shared" si="47"/>
        <v>2022</v>
      </c>
      <c r="C2885" s="15" t="s">
        <v>107</v>
      </c>
      <c r="D2885" s="15" t="s">
        <v>2128</v>
      </c>
      <c r="E2885" s="15" t="s">
        <v>2145</v>
      </c>
      <c r="F2885" s="15" t="s">
        <v>2124</v>
      </c>
      <c r="G2885" s="15" t="s">
        <v>2130</v>
      </c>
      <c r="H2885" s="15">
        <v>9590</v>
      </c>
      <c r="I2885" s="15">
        <v>1481.41</v>
      </c>
    </row>
    <row r="2886" spans="1:9">
      <c r="A2886" s="13">
        <v>45320</v>
      </c>
      <c r="B2886" s="91">
        <f t="shared" si="47"/>
        <v>2024</v>
      </c>
      <c r="C2886" s="15" t="s">
        <v>2141</v>
      </c>
      <c r="D2886" s="15" t="s">
        <v>2118</v>
      </c>
      <c r="E2886" s="15" t="s">
        <v>2134</v>
      </c>
      <c r="F2886" s="15" t="s">
        <v>2116</v>
      </c>
      <c r="G2886" s="15" t="s">
        <v>2117</v>
      </c>
      <c r="H2886" s="15">
        <v>5810</v>
      </c>
      <c r="I2886" s="15">
        <v>1208.68</v>
      </c>
    </row>
    <row r="2887" spans="1:9">
      <c r="A2887" s="13">
        <v>44617</v>
      </c>
      <c r="B2887" s="91">
        <f t="shared" si="47"/>
        <v>2022</v>
      </c>
      <c r="C2887" s="15" t="s">
        <v>107</v>
      </c>
      <c r="D2887" s="15" t="s">
        <v>2152</v>
      </c>
      <c r="E2887" s="15" t="s">
        <v>2115</v>
      </c>
      <c r="F2887" s="15" t="s">
        <v>2120</v>
      </c>
      <c r="G2887" s="15" t="s">
        <v>2133</v>
      </c>
      <c r="H2887" s="15">
        <v>3761</v>
      </c>
      <c r="I2887" s="15">
        <v>998.99</v>
      </c>
    </row>
    <row r="2888" spans="1:9">
      <c r="A2888" s="13">
        <v>45236</v>
      </c>
      <c r="B2888" s="91">
        <f t="shared" si="47"/>
        <v>2023</v>
      </c>
      <c r="C2888" s="15" t="s">
        <v>2113</v>
      </c>
      <c r="D2888" s="15" t="s">
        <v>2152</v>
      </c>
      <c r="E2888" s="15" t="s">
        <v>2136</v>
      </c>
      <c r="F2888" s="15" t="s">
        <v>2116</v>
      </c>
      <c r="G2888" s="15" t="s">
        <v>2117</v>
      </c>
      <c r="H2888" s="15">
        <v>4355</v>
      </c>
      <c r="I2888" s="15">
        <v>536.9</v>
      </c>
    </row>
    <row r="2889" spans="1:9">
      <c r="A2889" s="13">
        <v>45234</v>
      </c>
      <c r="B2889" s="91">
        <f t="shared" si="47"/>
        <v>2023</v>
      </c>
      <c r="C2889" s="15" t="s">
        <v>107</v>
      </c>
      <c r="D2889" s="15" t="s">
        <v>2142</v>
      </c>
      <c r="E2889" s="15" t="s">
        <v>2129</v>
      </c>
      <c r="F2889" s="15" t="s">
        <v>2138</v>
      </c>
      <c r="G2889" s="15" t="s">
        <v>2139</v>
      </c>
      <c r="H2889" s="15">
        <v>1362</v>
      </c>
      <c r="I2889" s="15">
        <v>322.27999999999997</v>
      </c>
    </row>
    <row r="2890" spans="1:9">
      <c r="A2890" s="13">
        <v>44861</v>
      </c>
      <c r="B2890" s="91">
        <f t="shared" si="47"/>
        <v>2022</v>
      </c>
      <c r="C2890" s="15" t="s">
        <v>2141</v>
      </c>
      <c r="D2890" s="15" t="s">
        <v>2131</v>
      </c>
      <c r="E2890" s="15" t="s">
        <v>2119</v>
      </c>
      <c r="F2890" s="15" t="s">
        <v>2120</v>
      </c>
      <c r="G2890" s="15" t="s">
        <v>2133</v>
      </c>
      <c r="H2890" s="15">
        <v>9226</v>
      </c>
      <c r="I2890" s="15">
        <v>935.7</v>
      </c>
    </row>
    <row r="2891" spans="1:9">
      <c r="A2891" s="13">
        <v>45250</v>
      </c>
      <c r="B2891" s="91">
        <f t="shared" si="47"/>
        <v>2023</v>
      </c>
      <c r="C2891" s="15" t="s">
        <v>104</v>
      </c>
      <c r="D2891" s="15" t="s">
        <v>2118</v>
      </c>
      <c r="E2891" s="15" t="s">
        <v>2134</v>
      </c>
      <c r="F2891" s="15" t="s">
        <v>2138</v>
      </c>
      <c r="G2891" s="15" t="s">
        <v>2139</v>
      </c>
      <c r="H2891" s="15">
        <v>2257</v>
      </c>
      <c r="I2891" s="15">
        <v>586.38</v>
      </c>
    </row>
    <row r="2892" spans="1:9">
      <c r="A2892" s="13">
        <v>45091</v>
      </c>
      <c r="B2892" s="91">
        <f t="shared" si="47"/>
        <v>2023</v>
      </c>
      <c r="C2892" s="15" t="s">
        <v>104</v>
      </c>
      <c r="D2892" s="15" t="s">
        <v>2148</v>
      </c>
      <c r="E2892" s="15" t="s">
        <v>2134</v>
      </c>
      <c r="F2892" s="15" t="s">
        <v>2120</v>
      </c>
      <c r="G2892" s="15" t="s">
        <v>2132</v>
      </c>
      <c r="H2892" s="15">
        <v>3889</v>
      </c>
      <c r="I2892" s="15">
        <v>819.07</v>
      </c>
    </row>
    <row r="2893" spans="1:9">
      <c r="A2893" s="13">
        <v>45162</v>
      </c>
      <c r="B2893" s="91">
        <f t="shared" si="47"/>
        <v>2023</v>
      </c>
      <c r="C2893" s="15" t="s">
        <v>104</v>
      </c>
      <c r="D2893" s="15" t="s">
        <v>2118</v>
      </c>
      <c r="E2893" s="15" t="s">
        <v>2143</v>
      </c>
      <c r="F2893" s="15" t="s">
        <v>2116</v>
      </c>
      <c r="G2893" s="15" t="s">
        <v>2117</v>
      </c>
      <c r="H2893" s="15">
        <v>7530</v>
      </c>
      <c r="I2893" s="15">
        <v>1367.52</v>
      </c>
    </row>
    <row r="2894" spans="1:9">
      <c r="A2894" s="13">
        <v>45217</v>
      </c>
      <c r="B2894" s="91">
        <f t="shared" si="47"/>
        <v>2023</v>
      </c>
      <c r="C2894" s="15" t="s">
        <v>104</v>
      </c>
      <c r="D2894" s="15" t="s">
        <v>2152</v>
      </c>
      <c r="E2894" s="15" t="s">
        <v>2115</v>
      </c>
      <c r="F2894" s="15" t="s">
        <v>2116</v>
      </c>
      <c r="G2894" s="15" t="s">
        <v>2127</v>
      </c>
      <c r="H2894" s="15">
        <v>5849</v>
      </c>
      <c r="I2894" s="15">
        <v>953.11</v>
      </c>
    </row>
    <row r="2895" spans="1:9">
      <c r="A2895" s="13">
        <v>45038</v>
      </c>
      <c r="B2895" s="91">
        <f t="shared" si="47"/>
        <v>2023</v>
      </c>
      <c r="C2895" s="15" t="s">
        <v>2113</v>
      </c>
      <c r="D2895" s="15" t="s">
        <v>2118</v>
      </c>
      <c r="E2895" s="15" t="s">
        <v>2145</v>
      </c>
      <c r="F2895" s="15" t="s">
        <v>2124</v>
      </c>
      <c r="G2895" s="15" t="s">
        <v>2140</v>
      </c>
      <c r="H2895" s="15">
        <v>8974</v>
      </c>
      <c r="I2895" s="15">
        <v>2502.41</v>
      </c>
    </row>
    <row r="2896" spans="1:9">
      <c r="A2896" s="13">
        <v>45275</v>
      </c>
      <c r="B2896" s="91">
        <f t="shared" si="47"/>
        <v>2023</v>
      </c>
      <c r="C2896" s="15" t="s">
        <v>2141</v>
      </c>
      <c r="D2896" s="15" t="s">
        <v>2118</v>
      </c>
      <c r="E2896" s="15" t="s">
        <v>2119</v>
      </c>
      <c r="F2896" s="15" t="s">
        <v>2124</v>
      </c>
      <c r="G2896" s="15" t="s">
        <v>2140</v>
      </c>
      <c r="H2896" s="15">
        <v>6098</v>
      </c>
      <c r="I2896" s="15">
        <v>1313.08</v>
      </c>
    </row>
    <row r="2897" spans="1:9">
      <c r="A2897" s="13">
        <v>44921</v>
      </c>
      <c r="B2897" s="91">
        <f t="shared" si="47"/>
        <v>2022</v>
      </c>
      <c r="C2897" s="15" t="s">
        <v>2113</v>
      </c>
      <c r="D2897" s="15" t="s">
        <v>2135</v>
      </c>
      <c r="E2897" s="15" t="s">
        <v>2143</v>
      </c>
      <c r="F2897" s="15" t="s">
        <v>2124</v>
      </c>
      <c r="G2897" s="15" t="s">
        <v>2130</v>
      </c>
      <c r="H2897" s="15">
        <v>2069</v>
      </c>
      <c r="I2897" s="15">
        <v>378.35</v>
      </c>
    </row>
    <row r="2898" spans="1:9">
      <c r="A2898" s="13">
        <v>44626</v>
      </c>
      <c r="B2898" s="91">
        <f t="shared" si="47"/>
        <v>2022</v>
      </c>
      <c r="C2898" s="15" t="s">
        <v>2113</v>
      </c>
      <c r="D2898" s="15" t="s">
        <v>2128</v>
      </c>
      <c r="E2898" s="15" t="s">
        <v>2136</v>
      </c>
      <c r="F2898" s="15" t="s">
        <v>2138</v>
      </c>
      <c r="G2898" s="15" t="s">
        <v>2146</v>
      </c>
      <c r="H2898" s="15">
        <v>1498</v>
      </c>
      <c r="I2898" s="15">
        <v>436.64</v>
      </c>
    </row>
    <row r="2899" spans="1:9">
      <c r="A2899" s="13">
        <v>45656</v>
      </c>
      <c r="B2899" s="91">
        <f t="shared" si="47"/>
        <v>2024</v>
      </c>
      <c r="C2899" s="15" t="s">
        <v>2113</v>
      </c>
      <c r="D2899" s="15" t="s">
        <v>2114</v>
      </c>
      <c r="E2899" s="15" t="s">
        <v>2123</v>
      </c>
      <c r="F2899" s="15" t="s">
        <v>2116</v>
      </c>
      <c r="G2899" s="15" t="s">
        <v>2117</v>
      </c>
      <c r="H2899" s="15">
        <v>3218</v>
      </c>
      <c r="I2899" s="15">
        <v>655.38</v>
      </c>
    </row>
    <row r="2900" spans="1:9">
      <c r="A2900" s="13">
        <v>45574</v>
      </c>
      <c r="B2900" s="91">
        <f t="shared" si="47"/>
        <v>2024</v>
      </c>
      <c r="C2900" s="15" t="s">
        <v>104</v>
      </c>
      <c r="D2900" s="15" t="s">
        <v>2148</v>
      </c>
      <c r="E2900" s="15" t="s">
        <v>2151</v>
      </c>
      <c r="F2900" s="15" t="s">
        <v>2124</v>
      </c>
      <c r="G2900" s="15" t="s">
        <v>2140</v>
      </c>
      <c r="H2900" s="15">
        <v>8270</v>
      </c>
      <c r="I2900" s="15">
        <v>2391.65</v>
      </c>
    </row>
    <row r="2901" spans="1:9">
      <c r="A2901" s="13">
        <v>45654</v>
      </c>
      <c r="B2901" s="91">
        <f t="shared" si="47"/>
        <v>2024</v>
      </c>
      <c r="C2901" s="15" t="s">
        <v>2141</v>
      </c>
      <c r="D2901" s="15" t="s">
        <v>2126</v>
      </c>
      <c r="E2901" s="15" t="s">
        <v>2143</v>
      </c>
      <c r="F2901" s="15" t="s">
        <v>2116</v>
      </c>
      <c r="G2901" s="15" t="s">
        <v>2154</v>
      </c>
      <c r="H2901" s="15">
        <v>6717</v>
      </c>
      <c r="I2901" s="15">
        <v>957.29</v>
      </c>
    </row>
    <row r="2902" spans="1:9">
      <c r="A2902" s="13">
        <v>44619</v>
      </c>
      <c r="B2902" s="91">
        <f t="shared" si="47"/>
        <v>2022</v>
      </c>
      <c r="C2902" s="15" t="s">
        <v>104</v>
      </c>
      <c r="D2902" s="15" t="s">
        <v>2118</v>
      </c>
      <c r="E2902" s="15" t="s">
        <v>2129</v>
      </c>
      <c r="F2902" s="15" t="s">
        <v>2116</v>
      </c>
      <c r="G2902" s="15" t="s">
        <v>2154</v>
      </c>
      <c r="H2902" s="15">
        <v>9323</v>
      </c>
      <c r="I2902" s="15">
        <v>1152.78</v>
      </c>
    </row>
    <row r="2903" spans="1:9">
      <c r="A2903" s="13">
        <v>45444</v>
      </c>
      <c r="B2903" s="91">
        <f t="shared" si="47"/>
        <v>2024</v>
      </c>
      <c r="C2903" s="15" t="s">
        <v>2113</v>
      </c>
      <c r="D2903" s="15" t="s">
        <v>2114</v>
      </c>
      <c r="E2903" s="15" t="s">
        <v>2129</v>
      </c>
      <c r="F2903" s="15" t="s">
        <v>2124</v>
      </c>
      <c r="G2903" s="15" t="s">
        <v>2130</v>
      </c>
      <c r="H2903" s="15">
        <v>6407</v>
      </c>
      <c r="I2903" s="15">
        <v>1695.54</v>
      </c>
    </row>
    <row r="2904" spans="1:9">
      <c r="A2904" s="13">
        <v>45228</v>
      </c>
      <c r="B2904" s="91">
        <f t="shared" si="47"/>
        <v>2023</v>
      </c>
      <c r="C2904" s="15" t="s">
        <v>2141</v>
      </c>
      <c r="D2904" s="15" t="s">
        <v>2128</v>
      </c>
      <c r="E2904" s="15" t="s">
        <v>2115</v>
      </c>
      <c r="F2904" s="15" t="s">
        <v>2138</v>
      </c>
      <c r="G2904" s="15" t="s">
        <v>2146</v>
      </c>
      <c r="H2904" s="15">
        <v>2949</v>
      </c>
      <c r="I2904" s="15">
        <v>622.16</v>
      </c>
    </row>
    <row r="2905" spans="1:9">
      <c r="A2905" s="13">
        <v>44806</v>
      </c>
      <c r="B2905" s="91">
        <f t="shared" si="47"/>
        <v>2022</v>
      </c>
      <c r="C2905" s="15" t="s">
        <v>2141</v>
      </c>
      <c r="D2905" s="15" t="s">
        <v>2131</v>
      </c>
      <c r="E2905" s="15" t="s">
        <v>2151</v>
      </c>
      <c r="F2905" s="15" t="s">
        <v>2116</v>
      </c>
      <c r="G2905" s="15" t="s">
        <v>2117</v>
      </c>
      <c r="H2905" s="15">
        <v>2721</v>
      </c>
      <c r="I2905" s="15">
        <v>457.78</v>
      </c>
    </row>
    <row r="2906" spans="1:9">
      <c r="A2906" s="13">
        <v>45337</v>
      </c>
      <c r="B2906" s="91">
        <f t="shared" si="47"/>
        <v>2024</v>
      </c>
      <c r="C2906" s="15" t="s">
        <v>2113</v>
      </c>
      <c r="D2906" s="15" t="s">
        <v>2148</v>
      </c>
      <c r="E2906" s="15" t="s">
        <v>2145</v>
      </c>
      <c r="F2906" s="15" t="s">
        <v>2124</v>
      </c>
      <c r="G2906" s="15" t="s">
        <v>2125</v>
      </c>
      <c r="H2906" s="15">
        <v>9075</v>
      </c>
      <c r="I2906" s="15">
        <v>1783.77</v>
      </c>
    </row>
    <row r="2907" spans="1:9">
      <c r="A2907" s="13">
        <v>45336</v>
      </c>
      <c r="B2907" s="91">
        <f t="shared" si="47"/>
        <v>2024</v>
      </c>
      <c r="C2907" s="15" t="s">
        <v>2141</v>
      </c>
      <c r="D2907" s="15" t="s">
        <v>2114</v>
      </c>
      <c r="E2907" s="15" t="s">
        <v>2145</v>
      </c>
      <c r="F2907" s="15" t="s">
        <v>2116</v>
      </c>
      <c r="G2907" s="15" t="s">
        <v>2127</v>
      </c>
      <c r="H2907" s="15">
        <v>5784</v>
      </c>
      <c r="I2907" s="15">
        <v>663.45</v>
      </c>
    </row>
    <row r="2908" spans="1:9">
      <c r="A2908" s="13">
        <v>45599</v>
      </c>
      <c r="B2908" s="91">
        <f t="shared" si="47"/>
        <v>2024</v>
      </c>
      <c r="C2908" s="15" t="s">
        <v>104</v>
      </c>
      <c r="D2908" s="15" t="s">
        <v>2118</v>
      </c>
      <c r="E2908" s="15" t="s">
        <v>2151</v>
      </c>
      <c r="F2908" s="15" t="s">
        <v>2116</v>
      </c>
      <c r="G2908" s="15" t="s">
        <v>2117</v>
      </c>
      <c r="H2908" s="15">
        <v>9597</v>
      </c>
      <c r="I2908" s="15">
        <v>2794.24</v>
      </c>
    </row>
    <row r="2909" spans="1:9">
      <c r="A2909" s="13">
        <v>45126</v>
      </c>
      <c r="B2909" s="91">
        <f t="shared" si="47"/>
        <v>2023</v>
      </c>
      <c r="C2909" s="15" t="s">
        <v>2141</v>
      </c>
      <c r="D2909" s="15" t="s">
        <v>2148</v>
      </c>
      <c r="E2909" s="15" t="s">
        <v>2134</v>
      </c>
      <c r="F2909" s="15" t="s">
        <v>2116</v>
      </c>
      <c r="G2909" s="15" t="s">
        <v>2127</v>
      </c>
      <c r="H2909" s="15">
        <v>4883</v>
      </c>
      <c r="I2909" s="15">
        <v>795.01</v>
      </c>
    </row>
    <row r="2910" spans="1:9">
      <c r="A2910" s="13">
        <v>45421</v>
      </c>
      <c r="B2910" s="91">
        <f t="shared" si="47"/>
        <v>2024</v>
      </c>
      <c r="C2910" s="15" t="s">
        <v>104</v>
      </c>
      <c r="D2910" s="15" t="s">
        <v>2148</v>
      </c>
      <c r="E2910" s="15" t="s">
        <v>2119</v>
      </c>
      <c r="F2910" s="15" t="s">
        <v>2116</v>
      </c>
      <c r="G2910" s="15" t="s">
        <v>2154</v>
      </c>
      <c r="H2910" s="15">
        <v>3876</v>
      </c>
      <c r="I2910" s="15">
        <v>743.87</v>
      </c>
    </row>
    <row r="2911" spans="1:9">
      <c r="A2911" s="13">
        <v>44800</v>
      </c>
      <c r="B2911" s="91">
        <f t="shared" si="47"/>
        <v>2022</v>
      </c>
      <c r="C2911" s="15" t="s">
        <v>2113</v>
      </c>
      <c r="D2911" s="15" t="s">
        <v>2131</v>
      </c>
      <c r="E2911" s="15" t="s">
        <v>2129</v>
      </c>
      <c r="F2911" s="15" t="s">
        <v>2120</v>
      </c>
      <c r="G2911" s="15" t="s">
        <v>2121</v>
      </c>
      <c r="H2911" s="15">
        <v>7533</v>
      </c>
      <c r="I2911" s="15">
        <v>1400.23</v>
      </c>
    </row>
    <row r="2912" spans="1:9">
      <c r="A2912" s="13">
        <v>45045</v>
      </c>
      <c r="B2912" s="91">
        <f t="shared" si="47"/>
        <v>2023</v>
      </c>
      <c r="C2912" s="15" t="s">
        <v>2113</v>
      </c>
      <c r="D2912" s="15" t="s">
        <v>2152</v>
      </c>
      <c r="E2912" s="15" t="s">
        <v>2151</v>
      </c>
      <c r="F2912" s="15" t="s">
        <v>2120</v>
      </c>
      <c r="G2912" s="15" t="s">
        <v>2132</v>
      </c>
      <c r="H2912" s="15">
        <v>5683</v>
      </c>
      <c r="I2912" s="15">
        <v>593.63</v>
      </c>
    </row>
    <row r="2913" spans="1:9">
      <c r="A2913" s="13">
        <v>45181</v>
      </c>
      <c r="B2913" s="91">
        <f t="shared" si="47"/>
        <v>2023</v>
      </c>
      <c r="C2913" s="15" t="s">
        <v>107</v>
      </c>
      <c r="D2913" s="15" t="s">
        <v>2152</v>
      </c>
      <c r="E2913" s="15" t="s">
        <v>2145</v>
      </c>
      <c r="F2913" s="15" t="s">
        <v>2124</v>
      </c>
      <c r="G2913" s="15" t="s">
        <v>2125</v>
      </c>
      <c r="H2913" s="15">
        <v>4057</v>
      </c>
      <c r="I2913" s="15">
        <v>669.13</v>
      </c>
    </row>
    <row r="2914" spans="1:9">
      <c r="A2914" s="13">
        <v>45009</v>
      </c>
      <c r="B2914" s="91">
        <f t="shared" si="47"/>
        <v>2023</v>
      </c>
      <c r="C2914" s="15" t="s">
        <v>2141</v>
      </c>
      <c r="D2914" s="15" t="s">
        <v>2114</v>
      </c>
      <c r="E2914" s="15" t="s">
        <v>2143</v>
      </c>
      <c r="F2914" s="15" t="s">
        <v>2120</v>
      </c>
      <c r="G2914" s="15" t="s">
        <v>2132</v>
      </c>
      <c r="H2914" s="15">
        <v>2734</v>
      </c>
      <c r="I2914" s="15">
        <v>484.15</v>
      </c>
    </row>
    <row r="2915" spans="1:9">
      <c r="A2915" s="13">
        <v>44858</v>
      </c>
      <c r="B2915" s="91">
        <f t="shared" si="47"/>
        <v>2022</v>
      </c>
      <c r="C2915" s="15" t="s">
        <v>2141</v>
      </c>
      <c r="D2915" s="15" t="s">
        <v>2131</v>
      </c>
      <c r="E2915" s="15" t="s">
        <v>2119</v>
      </c>
      <c r="F2915" s="15" t="s">
        <v>2120</v>
      </c>
      <c r="G2915" s="15" t="s">
        <v>2121</v>
      </c>
      <c r="H2915" s="15">
        <v>7699</v>
      </c>
      <c r="I2915" s="15">
        <v>2064.13</v>
      </c>
    </row>
    <row r="2916" spans="1:9">
      <c r="A2916" s="13">
        <v>44840</v>
      </c>
      <c r="B2916" s="91">
        <f t="shared" si="47"/>
        <v>2022</v>
      </c>
      <c r="C2916" s="15" t="s">
        <v>107</v>
      </c>
      <c r="D2916" s="15" t="s">
        <v>2152</v>
      </c>
      <c r="E2916" s="15" t="s">
        <v>2144</v>
      </c>
      <c r="F2916" s="15" t="s">
        <v>2116</v>
      </c>
      <c r="G2916" s="15" t="s">
        <v>2127</v>
      </c>
      <c r="H2916" s="15">
        <v>6462</v>
      </c>
      <c r="I2916" s="15">
        <v>843.13</v>
      </c>
    </row>
    <row r="2917" spans="1:9">
      <c r="A2917" s="13">
        <v>45334</v>
      </c>
      <c r="B2917" s="91">
        <f t="shared" si="47"/>
        <v>2024</v>
      </c>
      <c r="C2917" s="15" t="s">
        <v>2141</v>
      </c>
      <c r="D2917" s="15" t="s">
        <v>2128</v>
      </c>
      <c r="E2917" s="15" t="s">
        <v>2119</v>
      </c>
      <c r="F2917" s="15" t="s">
        <v>2138</v>
      </c>
      <c r="G2917" s="15" t="s">
        <v>2149</v>
      </c>
      <c r="H2917" s="15">
        <v>9550</v>
      </c>
      <c r="I2917" s="15">
        <v>1181.7</v>
      </c>
    </row>
    <row r="2918" spans="1:9">
      <c r="A2918" s="13">
        <v>45050</v>
      </c>
      <c r="B2918" s="91">
        <f t="shared" si="47"/>
        <v>2023</v>
      </c>
      <c r="C2918" s="15" t="s">
        <v>2141</v>
      </c>
      <c r="D2918" s="15" t="s">
        <v>2126</v>
      </c>
      <c r="E2918" s="15" t="s">
        <v>2129</v>
      </c>
      <c r="F2918" s="15" t="s">
        <v>2120</v>
      </c>
      <c r="G2918" s="15" t="s">
        <v>2121</v>
      </c>
      <c r="H2918" s="15">
        <v>5438</v>
      </c>
      <c r="I2918" s="15">
        <v>994.44</v>
      </c>
    </row>
    <row r="2919" spans="1:9">
      <c r="A2919" s="13">
        <v>44887</v>
      </c>
      <c r="B2919" s="91">
        <f t="shared" si="47"/>
        <v>2022</v>
      </c>
      <c r="C2919" s="15" t="s">
        <v>2141</v>
      </c>
      <c r="D2919" s="15" t="s">
        <v>2128</v>
      </c>
      <c r="E2919" s="15" t="s">
        <v>2134</v>
      </c>
      <c r="F2919" s="15" t="s">
        <v>2124</v>
      </c>
      <c r="G2919" s="15" t="s">
        <v>2130</v>
      </c>
      <c r="H2919" s="15">
        <v>9682</v>
      </c>
      <c r="I2919" s="15">
        <v>1496.18</v>
      </c>
    </row>
    <row r="2920" spans="1:9">
      <c r="A2920" s="13">
        <v>45311</v>
      </c>
      <c r="B2920" s="91">
        <f t="shared" si="47"/>
        <v>2024</v>
      </c>
      <c r="C2920" s="15" t="s">
        <v>104</v>
      </c>
      <c r="D2920" s="15" t="s">
        <v>2126</v>
      </c>
      <c r="E2920" s="15" t="s">
        <v>2129</v>
      </c>
      <c r="F2920" s="15" t="s">
        <v>2116</v>
      </c>
      <c r="G2920" s="15" t="s">
        <v>2154</v>
      </c>
      <c r="H2920" s="15">
        <v>7616</v>
      </c>
      <c r="I2920" s="15">
        <v>922.48</v>
      </c>
    </row>
    <row r="2921" spans="1:9">
      <c r="A2921" s="13">
        <v>45518</v>
      </c>
      <c r="B2921" s="91">
        <f t="shared" si="47"/>
        <v>2024</v>
      </c>
      <c r="C2921" s="15" t="s">
        <v>2141</v>
      </c>
      <c r="D2921" s="15" t="s">
        <v>2128</v>
      </c>
      <c r="E2921" s="15" t="s">
        <v>2144</v>
      </c>
      <c r="F2921" s="15" t="s">
        <v>2116</v>
      </c>
      <c r="G2921" s="15" t="s">
        <v>2154</v>
      </c>
      <c r="H2921" s="15">
        <v>7166</v>
      </c>
      <c r="I2921" s="15">
        <v>1958.99</v>
      </c>
    </row>
    <row r="2922" spans="1:9">
      <c r="A2922" s="13">
        <v>45151</v>
      </c>
      <c r="B2922" s="91">
        <f t="shared" si="47"/>
        <v>2023</v>
      </c>
      <c r="C2922" s="15" t="s">
        <v>107</v>
      </c>
      <c r="D2922" s="15" t="s">
        <v>2153</v>
      </c>
      <c r="E2922" s="15" t="s">
        <v>2123</v>
      </c>
      <c r="F2922" s="15" t="s">
        <v>2116</v>
      </c>
      <c r="G2922" s="15" t="s">
        <v>2117</v>
      </c>
      <c r="H2922" s="15">
        <v>2298</v>
      </c>
      <c r="I2922" s="15">
        <v>328.85</v>
      </c>
    </row>
    <row r="2923" spans="1:9">
      <c r="A2923" s="13">
        <v>45030</v>
      </c>
      <c r="B2923" s="91">
        <f t="shared" si="47"/>
        <v>2023</v>
      </c>
      <c r="C2923" s="15" t="s">
        <v>2141</v>
      </c>
      <c r="D2923" s="15" t="s">
        <v>2153</v>
      </c>
      <c r="E2923" s="15" t="s">
        <v>2136</v>
      </c>
      <c r="F2923" s="15" t="s">
        <v>2138</v>
      </c>
      <c r="G2923" s="15" t="s">
        <v>2146</v>
      </c>
      <c r="H2923" s="15">
        <v>7009</v>
      </c>
      <c r="I2923" s="15">
        <v>1352.94</v>
      </c>
    </row>
    <row r="2924" spans="1:9">
      <c r="A2924" s="13">
        <v>45561</v>
      </c>
      <c r="B2924" s="91">
        <f t="shared" si="47"/>
        <v>2024</v>
      </c>
      <c r="C2924" s="15" t="s">
        <v>104</v>
      </c>
      <c r="D2924" s="15" t="s">
        <v>2148</v>
      </c>
      <c r="E2924" s="15" t="s">
        <v>2145</v>
      </c>
      <c r="F2924" s="15" t="s">
        <v>2116</v>
      </c>
      <c r="G2924" s="15" t="s">
        <v>2154</v>
      </c>
      <c r="H2924" s="15">
        <v>7469</v>
      </c>
      <c r="I2924" s="15">
        <v>2202.21</v>
      </c>
    </row>
    <row r="2925" spans="1:9">
      <c r="A2925" s="13">
        <v>45026</v>
      </c>
      <c r="B2925" s="91">
        <f t="shared" si="47"/>
        <v>2023</v>
      </c>
      <c r="C2925" s="15" t="s">
        <v>2113</v>
      </c>
      <c r="D2925" s="15" t="s">
        <v>2128</v>
      </c>
      <c r="E2925" s="15" t="s">
        <v>2119</v>
      </c>
      <c r="F2925" s="15" t="s">
        <v>2116</v>
      </c>
      <c r="G2925" s="15" t="s">
        <v>2127</v>
      </c>
      <c r="H2925" s="15">
        <v>9019</v>
      </c>
      <c r="I2925" s="15">
        <v>1706.77</v>
      </c>
    </row>
    <row r="2926" spans="1:9">
      <c r="A2926" s="13">
        <v>45640</v>
      </c>
      <c r="B2926" s="91">
        <f t="shared" si="47"/>
        <v>2024</v>
      </c>
      <c r="C2926" s="15" t="s">
        <v>104</v>
      </c>
      <c r="D2926" s="15" t="s">
        <v>2114</v>
      </c>
      <c r="E2926" s="15" t="s">
        <v>2145</v>
      </c>
      <c r="F2926" s="15" t="s">
        <v>2138</v>
      </c>
      <c r="G2926" s="15" t="s">
        <v>2149</v>
      </c>
      <c r="H2926" s="15">
        <v>4928</v>
      </c>
      <c r="I2926" s="15">
        <v>1130.77</v>
      </c>
    </row>
    <row r="2927" spans="1:9">
      <c r="A2927" s="13">
        <v>45519</v>
      </c>
      <c r="B2927" s="91">
        <f t="shared" si="47"/>
        <v>2024</v>
      </c>
      <c r="C2927" s="15" t="s">
        <v>107</v>
      </c>
      <c r="D2927" s="15" t="s">
        <v>2126</v>
      </c>
      <c r="E2927" s="15" t="s">
        <v>2134</v>
      </c>
      <c r="F2927" s="15" t="s">
        <v>2120</v>
      </c>
      <c r="G2927" s="15" t="s">
        <v>2132</v>
      </c>
      <c r="H2927" s="15">
        <v>2418</v>
      </c>
      <c r="I2927" s="15">
        <v>713.4</v>
      </c>
    </row>
    <row r="2928" spans="1:9">
      <c r="A2928" s="13">
        <v>44787</v>
      </c>
      <c r="B2928" s="91">
        <f t="shared" si="47"/>
        <v>2022</v>
      </c>
      <c r="C2928" s="15" t="s">
        <v>104</v>
      </c>
      <c r="D2928" s="15" t="s">
        <v>2128</v>
      </c>
      <c r="E2928" s="15" t="s">
        <v>2143</v>
      </c>
      <c r="F2928" s="15" t="s">
        <v>2116</v>
      </c>
      <c r="G2928" s="15" t="s">
        <v>2117</v>
      </c>
      <c r="H2928" s="15">
        <v>9704</v>
      </c>
      <c r="I2928" s="15">
        <v>1413.55</v>
      </c>
    </row>
    <row r="2929" spans="1:9">
      <c r="A2929" s="13">
        <v>44659</v>
      </c>
      <c r="B2929" s="91">
        <f t="shared" si="47"/>
        <v>2022</v>
      </c>
      <c r="C2929" s="15" t="s">
        <v>104</v>
      </c>
      <c r="D2929" s="15" t="s">
        <v>2118</v>
      </c>
      <c r="E2929" s="15" t="s">
        <v>2123</v>
      </c>
      <c r="F2929" s="15" t="s">
        <v>2116</v>
      </c>
      <c r="G2929" s="15" t="s">
        <v>2154</v>
      </c>
      <c r="H2929" s="15">
        <v>7911</v>
      </c>
      <c r="I2929" s="15">
        <v>2050.25</v>
      </c>
    </row>
    <row r="2930" spans="1:9">
      <c r="A2930" s="13">
        <v>44649</v>
      </c>
      <c r="B2930" s="91">
        <f t="shared" si="47"/>
        <v>2022</v>
      </c>
      <c r="C2930" s="15" t="s">
        <v>107</v>
      </c>
      <c r="D2930" s="15" t="s">
        <v>2153</v>
      </c>
      <c r="E2930" s="15" t="s">
        <v>2119</v>
      </c>
      <c r="F2930" s="15" t="s">
        <v>2138</v>
      </c>
      <c r="G2930" s="15" t="s">
        <v>2146</v>
      </c>
      <c r="H2930" s="15">
        <v>2304</v>
      </c>
      <c r="I2930" s="15">
        <v>548.58000000000004</v>
      </c>
    </row>
    <row r="2931" spans="1:9">
      <c r="A2931" s="13">
        <v>45157</v>
      </c>
      <c r="B2931" s="91">
        <f t="shared" si="47"/>
        <v>2023</v>
      </c>
      <c r="C2931" s="15" t="s">
        <v>2141</v>
      </c>
      <c r="D2931" s="15" t="s">
        <v>2126</v>
      </c>
      <c r="E2931" s="15" t="s">
        <v>2151</v>
      </c>
      <c r="F2931" s="15" t="s">
        <v>2138</v>
      </c>
      <c r="G2931" s="15" t="s">
        <v>2149</v>
      </c>
      <c r="H2931" s="15">
        <v>5843</v>
      </c>
      <c r="I2931" s="15">
        <v>1073.56</v>
      </c>
    </row>
    <row r="2932" spans="1:9">
      <c r="A2932" s="13">
        <v>44653</v>
      </c>
      <c r="B2932" s="91">
        <f t="shared" si="47"/>
        <v>2022</v>
      </c>
      <c r="C2932" s="15" t="s">
        <v>104</v>
      </c>
      <c r="D2932" s="15" t="s">
        <v>2153</v>
      </c>
      <c r="E2932" s="15" t="s">
        <v>2136</v>
      </c>
      <c r="F2932" s="15" t="s">
        <v>2124</v>
      </c>
      <c r="G2932" s="15" t="s">
        <v>2130</v>
      </c>
      <c r="H2932" s="15">
        <v>3317</v>
      </c>
      <c r="I2932" s="15">
        <v>802.74</v>
      </c>
    </row>
    <row r="2933" spans="1:9">
      <c r="A2933" s="13">
        <v>44901</v>
      </c>
      <c r="B2933" s="91">
        <f t="shared" si="47"/>
        <v>2022</v>
      </c>
      <c r="C2933" s="15" t="s">
        <v>2141</v>
      </c>
      <c r="D2933" s="15" t="s">
        <v>2142</v>
      </c>
      <c r="E2933" s="15" t="s">
        <v>2151</v>
      </c>
      <c r="F2933" s="15" t="s">
        <v>2138</v>
      </c>
      <c r="G2933" s="15" t="s">
        <v>2149</v>
      </c>
      <c r="H2933" s="15">
        <v>6550</v>
      </c>
      <c r="I2933" s="15">
        <v>855.99</v>
      </c>
    </row>
    <row r="2934" spans="1:9">
      <c r="A2934" s="13">
        <v>44760</v>
      </c>
      <c r="B2934" s="91">
        <f t="shared" si="47"/>
        <v>2022</v>
      </c>
      <c r="C2934" s="15" t="s">
        <v>2141</v>
      </c>
      <c r="D2934" s="15" t="s">
        <v>2142</v>
      </c>
      <c r="E2934" s="15" t="s">
        <v>2145</v>
      </c>
      <c r="F2934" s="15" t="s">
        <v>2120</v>
      </c>
      <c r="G2934" s="15" t="s">
        <v>2133</v>
      </c>
      <c r="H2934" s="15">
        <v>9874</v>
      </c>
      <c r="I2934" s="15">
        <v>2425.19</v>
      </c>
    </row>
    <row r="2935" spans="1:9">
      <c r="A2935" s="13">
        <v>44865</v>
      </c>
      <c r="B2935" s="91">
        <f t="shared" si="47"/>
        <v>2022</v>
      </c>
      <c r="C2935" s="15" t="s">
        <v>104</v>
      </c>
      <c r="D2935" s="15" t="s">
        <v>2126</v>
      </c>
      <c r="E2935" s="15" t="s">
        <v>2145</v>
      </c>
      <c r="F2935" s="15" t="s">
        <v>2116</v>
      </c>
      <c r="G2935" s="15" t="s">
        <v>2127</v>
      </c>
      <c r="H2935" s="15">
        <v>9143</v>
      </c>
      <c r="I2935" s="15">
        <v>2325.8200000000002</v>
      </c>
    </row>
    <row r="2936" spans="1:9">
      <c r="A2936" s="13">
        <v>44942</v>
      </c>
      <c r="B2936" s="91">
        <f t="shared" si="47"/>
        <v>2023</v>
      </c>
      <c r="C2936" s="15" t="s">
        <v>107</v>
      </c>
      <c r="D2936" s="15" t="s">
        <v>2142</v>
      </c>
      <c r="E2936" s="15" t="s">
        <v>2129</v>
      </c>
      <c r="F2936" s="15" t="s">
        <v>2120</v>
      </c>
      <c r="G2936" s="15" t="s">
        <v>2133</v>
      </c>
      <c r="H2936" s="15">
        <v>1208</v>
      </c>
      <c r="I2936" s="15">
        <v>306.85000000000002</v>
      </c>
    </row>
    <row r="2937" spans="1:9">
      <c r="A2937" s="13">
        <v>45272</v>
      </c>
      <c r="B2937" s="91">
        <f t="shared" si="47"/>
        <v>2023</v>
      </c>
      <c r="C2937" s="15" t="s">
        <v>107</v>
      </c>
      <c r="D2937" s="15" t="s">
        <v>2114</v>
      </c>
      <c r="E2937" s="15" t="s">
        <v>2119</v>
      </c>
      <c r="F2937" s="15" t="s">
        <v>2138</v>
      </c>
      <c r="G2937" s="15" t="s">
        <v>2146</v>
      </c>
      <c r="H2937" s="15">
        <v>9949</v>
      </c>
      <c r="I2937" s="15">
        <v>2651.78</v>
      </c>
    </row>
    <row r="2938" spans="1:9">
      <c r="A2938" s="13">
        <v>44578</v>
      </c>
      <c r="B2938" s="91">
        <f t="shared" si="47"/>
        <v>2022</v>
      </c>
      <c r="C2938" s="15" t="s">
        <v>107</v>
      </c>
      <c r="D2938" s="15" t="s">
        <v>2128</v>
      </c>
      <c r="E2938" s="15" t="s">
        <v>2136</v>
      </c>
      <c r="F2938" s="15" t="s">
        <v>2124</v>
      </c>
      <c r="G2938" s="15" t="s">
        <v>2140</v>
      </c>
      <c r="H2938" s="15">
        <v>8459</v>
      </c>
      <c r="I2938" s="15">
        <v>1886.78</v>
      </c>
    </row>
    <row r="2939" spans="1:9">
      <c r="A2939" s="13">
        <v>45031</v>
      </c>
      <c r="B2939" s="91">
        <f t="shared" si="47"/>
        <v>2023</v>
      </c>
      <c r="C2939" s="15" t="s">
        <v>107</v>
      </c>
      <c r="D2939" s="15" t="s">
        <v>2153</v>
      </c>
      <c r="E2939" s="15" t="s">
        <v>2129</v>
      </c>
      <c r="F2939" s="15" t="s">
        <v>2116</v>
      </c>
      <c r="G2939" s="15" t="s">
        <v>2117</v>
      </c>
      <c r="H2939" s="15">
        <v>5134</v>
      </c>
      <c r="I2939" s="15">
        <v>1244.3399999999999</v>
      </c>
    </row>
    <row r="2940" spans="1:9">
      <c r="A2940" s="13">
        <v>45523</v>
      </c>
      <c r="B2940" s="91">
        <f t="shared" si="47"/>
        <v>2024</v>
      </c>
      <c r="C2940" s="15" t="s">
        <v>104</v>
      </c>
      <c r="D2940" s="15" t="s">
        <v>2128</v>
      </c>
      <c r="E2940" s="15" t="s">
        <v>2136</v>
      </c>
      <c r="F2940" s="15" t="s">
        <v>2124</v>
      </c>
      <c r="G2940" s="15" t="s">
        <v>2125</v>
      </c>
      <c r="H2940" s="15">
        <v>1000</v>
      </c>
      <c r="I2940" s="15">
        <v>145.06</v>
      </c>
    </row>
    <row r="2941" spans="1:9">
      <c r="A2941" s="13">
        <v>45066</v>
      </c>
      <c r="B2941" s="91">
        <f t="shared" si="47"/>
        <v>2023</v>
      </c>
      <c r="C2941" s="15" t="s">
        <v>2141</v>
      </c>
      <c r="D2941" s="15" t="s">
        <v>2131</v>
      </c>
      <c r="E2941" s="15" t="s">
        <v>2144</v>
      </c>
      <c r="F2941" s="15" t="s">
        <v>2138</v>
      </c>
      <c r="G2941" s="15" t="s">
        <v>2139</v>
      </c>
      <c r="H2941" s="15">
        <v>6475</v>
      </c>
      <c r="I2941" s="15">
        <v>1420.95</v>
      </c>
    </row>
    <row r="2942" spans="1:9">
      <c r="A2942" s="13">
        <v>44621</v>
      </c>
      <c r="B2942" s="91">
        <f t="shared" si="47"/>
        <v>2022</v>
      </c>
      <c r="C2942" s="15" t="s">
        <v>104</v>
      </c>
      <c r="D2942" s="15" t="s">
        <v>2126</v>
      </c>
      <c r="E2942" s="15" t="s">
        <v>2134</v>
      </c>
      <c r="F2942" s="15" t="s">
        <v>2124</v>
      </c>
      <c r="G2942" s="15" t="s">
        <v>2125</v>
      </c>
      <c r="H2942" s="15">
        <v>9582</v>
      </c>
      <c r="I2942" s="15">
        <v>1439.39</v>
      </c>
    </row>
    <row r="2943" spans="1:9">
      <c r="A2943" s="13">
        <v>45187</v>
      </c>
      <c r="B2943" s="91">
        <f t="shared" si="47"/>
        <v>2023</v>
      </c>
      <c r="C2943" s="15" t="s">
        <v>2113</v>
      </c>
      <c r="D2943" s="15" t="s">
        <v>2128</v>
      </c>
      <c r="E2943" s="15" t="s">
        <v>2129</v>
      </c>
      <c r="F2943" s="15" t="s">
        <v>2116</v>
      </c>
      <c r="G2943" s="15" t="s">
        <v>2154</v>
      </c>
      <c r="H2943" s="15">
        <v>2905</v>
      </c>
      <c r="I2943" s="15">
        <v>321.29000000000002</v>
      </c>
    </row>
    <row r="2944" spans="1:9">
      <c r="A2944" s="13">
        <v>45593</v>
      </c>
      <c r="B2944" s="91">
        <f t="shared" si="47"/>
        <v>2024</v>
      </c>
      <c r="C2944" s="15" t="s">
        <v>2113</v>
      </c>
      <c r="D2944" s="15" t="s">
        <v>2126</v>
      </c>
      <c r="E2944" s="15" t="s">
        <v>2151</v>
      </c>
      <c r="F2944" s="15" t="s">
        <v>2138</v>
      </c>
      <c r="G2944" s="15" t="s">
        <v>2146</v>
      </c>
      <c r="H2944" s="15">
        <v>2155</v>
      </c>
      <c r="I2944" s="15">
        <v>265.74</v>
      </c>
    </row>
    <row r="2945" spans="1:9">
      <c r="A2945" s="13">
        <v>44887</v>
      </c>
      <c r="B2945" s="91">
        <f t="shared" si="47"/>
        <v>2022</v>
      </c>
      <c r="C2945" s="15" t="s">
        <v>104</v>
      </c>
      <c r="D2945" s="15" t="s">
        <v>2148</v>
      </c>
      <c r="E2945" s="15" t="s">
        <v>2129</v>
      </c>
      <c r="F2945" s="15" t="s">
        <v>2124</v>
      </c>
      <c r="G2945" s="15" t="s">
        <v>2130</v>
      </c>
      <c r="H2945" s="15">
        <v>6934</v>
      </c>
      <c r="I2945" s="15">
        <v>930.55</v>
      </c>
    </row>
    <row r="2946" spans="1:9">
      <c r="A2946" s="13">
        <v>44586</v>
      </c>
      <c r="B2946" s="91">
        <f t="shared" si="47"/>
        <v>2022</v>
      </c>
      <c r="C2946" s="15" t="s">
        <v>2113</v>
      </c>
      <c r="D2946" s="15" t="s">
        <v>2114</v>
      </c>
      <c r="E2946" s="15" t="s">
        <v>2136</v>
      </c>
      <c r="F2946" s="15" t="s">
        <v>2120</v>
      </c>
      <c r="G2946" s="15" t="s">
        <v>2132</v>
      </c>
      <c r="H2946" s="15">
        <v>7703</v>
      </c>
      <c r="I2946" s="15">
        <v>1857.86</v>
      </c>
    </row>
    <row r="2947" spans="1:9">
      <c r="A2947" s="13">
        <v>45529</v>
      </c>
      <c r="B2947" s="91">
        <f t="shared" ref="B2947:B3001" si="48">YEAR(A2947)</f>
        <v>2024</v>
      </c>
      <c r="C2947" s="15" t="s">
        <v>104</v>
      </c>
      <c r="D2947" s="15" t="s">
        <v>2126</v>
      </c>
      <c r="E2947" s="15" t="s">
        <v>2145</v>
      </c>
      <c r="F2947" s="15" t="s">
        <v>2116</v>
      </c>
      <c r="G2947" s="15" t="s">
        <v>2127</v>
      </c>
      <c r="H2947" s="15">
        <v>5450</v>
      </c>
      <c r="I2947" s="15">
        <v>955.17</v>
      </c>
    </row>
    <row r="2948" spans="1:9">
      <c r="A2948" s="13">
        <v>45571</v>
      </c>
      <c r="B2948" s="91">
        <f t="shared" si="48"/>
        <v>2024</v>
      </c>
      <c r="C2948" s="15" t="s">
        <v>104</v>
      </c>
      <c r="D2948" s="15" t="s">
        <v>2131</v>
      </c>
      <c r="E2948" s="15" t="s">
        <v>2115</v>
      </c>
      <c r="F2948" s="15" t="s">
        <v>2120</v>
      </c>
      <c r="G2948" s="15" t="s">
        <v>2132</v>
      </c>
      <c r="H2948" s="15">
        <v>3935</v>
      </c>
      <c r="I2948" s="15">
        <v>1164.96</v>
      </c>
    </row>
    <row r="2949" spans="1:9">
      <c r="A2949" s="13">
        <v>45068</v>
      </c>
      <c r="B2949" s="91">
        <f t="shared" si="48"/>
        <v>2023</v>
      </c>
      <c r="C2949" s="15" t="s">
        <v>2141</v>
      </c>
      <c r="D2949" s="15" t="s">
        <v>2114</v>
      </c>
      <c r="E2949" s="15" t="s">
        <v>2123</v>
      </c>
      <c r="F2949" s="15" t="s">
        <v>2120</v>
      </c>
      <c r="G2949" s="15" t="s">
        <v>2132</v>
      </c>
      <c r="H2949" s="15">
        <v>9187</v>
      </c>
      <c r="I2949" s="15">
        <v>2648.78</v>
      </c>
    </row>
    <row r="2950" spans="1:9">
      <c r="A2950" s="13">
        <v>44945</v>
      </c>
      <c r="B2950" s="91">
        <f t="shared" si="48"/>
        <v>2023</v>
      </c>
      <c r="C2950" s="15" t="s">
        <v>2113</v>
      </c>
      <c r="D2950" s="15" t="s">
        <v>2128</v>
      </c>
      <c r="E2950" s="15" t="s">
        <v>2129</v>
      </c>
      <c r="F2950" s="15" t="s">
        <v>2124</v>
      </c>
      <c r="G2950" s="15" t="s">
        <v>2130</v>
      </c>
      <c r="H2950" s="15">
        <v>9763</v>
      </c>
      <c r="I2950" s="15">
        <v>2644.43</v>
      </c>
    </row>
    <row r="2951" spans="1:9">
      <c r="A2951" s="13">
        <v>45625</v>
      </c>
      <c r="B2951" s="91">
        <f t="shared" si="48"/>
        <v>2024</v>
      </c>
      <c r="C2951" s="15" t="s">
        <v>2141</v>
      </c>
      <c r="D2951" s="15" t="s">
        <v>2152</v>
      </c>
      <c r="E2951" s="15" t="s">
        <v>2144</v>
      </c>
      <c r="F2951" s="15" t="s">
        <v>2116</v>
      </c>
      <c r="G2951" s="15" t="s">
        <v>2117</v>
      </c>
      <c r="H2951" s="15">
        <v>3855</v>
      </c>
      <c r="I2951" s="15">
        <v>1032.82</v>
      </c>
    </row>
    <row r="2952" spans="1:9">
      <c r="A2952" s="13">
        <v>45451</v>
      </c>
      <c r="B2952" s="91">
        <f t="shared" si="48"/>
        <v>2024</v>
      </c>
      <c r="C2952" s="15" t="s">
        <v>2141</v>
      </c>
      <c r="D2952" s="15" t="s">
        <v>2153</v>
      </c>
      <c r="E2952" s="15" t="s">
        <v>2136</v>
      </c>
      <c r="F2952" s="15" t="s">
        <v>2124</v>
      </c>
      <c r="G2952" s="15" t="s">
        <v>2130</v>
      </c>
      <c r="H2952" s="15">
        <v>1880</v>
      </c>
      <c r="I2952" s="15">
        <v>225.82</v>
      </c>
    </row>
    <row r="2953" spans="1:9">
      <c r="A2953" s="13">
        <v>44637</v>
      </c>
      <c r="B2953" s="91">
        <f t="shared" si="48"/>
        <v>2022</v>
      </c>
      <c r="C2953" s="15" t="s">
        <v>104</v>
      </c>
      <c r="D2953" s="15" t="s">
        <v>2142</v>
      </c>
      <c r="E2953" s="15" t="s">
        <v>2145</v>
      </c>
      <c r="F2953" s="15" t="s">
        <v>2138</v>
      </c>
      <c r="G2953" s="15" t="s">
        <v>2146</v>
      </c>
      <c r="H2953" s="15">
        <v>2178</v>
      </c>
      <c r="I2953" s="15">
        <v>358.67</v>
      </c>
    </row>
    <row r="2954" spans="1:9">
      <c r="A2954" s="13">
        <v>45581</v>
      </c>
      <c r="B2954" s="91">
        <f t="shared" si="48"/>
        <v>2024</v>
      </c>
      <c r="C2954" s="15" t="s">
        <v>2141</v>
      </c>
      <c r="D2954" s="15" t="s">
        <v>2128</v>
      </c>
      <c r="E2954" s="15" t="s">
        <v>2119</v>
      </c>
      <c r="F2954" s="15" t="s">
        <v>2124</v>
      </c>
      <c r="G2954" s="15" t="s">
        <v>2130</v>
      </c>
      <c r="H2954" s="15">
        <v>7853</v>
      </c>
      <c r="I2954" s="15">
        <v>2223.9899999999998</v>
      </c>
    </row>
    <row r="2955" spans="1:9">
      <c r="A2955" s="13">
        <v>45048</v>
      </c>
      <c r="B2955" s="91">
        <f t="shared" si="48"/>
        <v>2023</v>
      </c>
      <c r="C2955" s="15" t="s">
        <v>2113</v>
      </c>
      <c r="D2955" s="15" t="s">
        <v>2142</v>
      </c>
      <c r="E2955" s="15" t="s">
        <v>2145</v>
      </c>
      <c r="F2955" s="15" t="s">
        <v>2120</v>
      </c>
      <c r="G2955" s="15" t="s">
        <v>2133</v>
      </c>
      <c r="H2955" s="15">
        <v>3204</v>
      </c>
      <c r="I2955" s="15">
        <v>773.9</v>
      </c>
    </row>
    <row r="2956" spans="1:9">
      <c r="A2956" s="13">
        <v>45382</v>
      </c>
      <c r="B2956" s="91">
        <f t="shared" si="48"/>
        <v>2024</v>
      </c>
      <c r="C2956" s="15" t="s">
        <v>107</v>
      </c>
      <c r="D2956" s="15" t="s">
        <v>2131</v>
      </c>
      <c r="E2956" s="15" t="s">
        <v>2119</v>
      </c>
      <c r="F2956" s="15" t="s">
        <v>2138</v>
      </c>
      <c r="G2956" s="15" t="s">
        <v>2149</v>
      </c>
      <c r="H2956" s="15">
        <v>3031</v>
      </c>
      <c r="I2956" s="15">
        <v>309.3</v>
      </c>
    </row>
    <row r="2957" spans="1:9">
      <c r="A2957" s="13">
        <v>44772</v>
      </c>
      <c r="B2957" s="91">
        <f t="shared" si="48"/>
        <v>2022</v>
      </c>
      <c r="C2957" s="15" t="s">
        <v>2113</v>
      </c>
      <c r="D2957" s="15" t="s">
        <v>2131</v>
      </c>
      <c r="E2957" s="15" t="s">
        <v>2129</v>
      </c>
      <c r="F2957" s="15" t="s">
        <v>2124</v>
      </c>
      <c r="G2957" s="15" t="s">
        <v>2140</v>
      </c>
      <c r="H2957" s="15">
        <v>4948</v>
      </c>
      <c r="I2957" s="15">
        <v>1447.34</v>
      </c>
    </row>
    <row r="2958" spans="1:9">
      <c r="A2958" s="13">
        <v>44738</v>
      </c>
      <c r="B2958" s="91">
        <f t="shared" si="48"/>
        <v>2022</v>
      </c>
      <c r="C2958" s="15" t="s">
        <v>2113</v>
      </c>
      <c r="D2958" s="15" t="s">
        <v>2135</v>
      </c>
      <c r="E2958" s="15" t="s">
        <v>2151</v>
      </c>
      <c r="F2958" s="15" t="s">
        <v>2120</v>
      </c>
      <c r="G2958" s="15" t="s">
        <v>2132</v>
      </c>
      <c r="H2958" s="15">
        <v>4260</v>
      </c>
      <c r="I2958" s="15">
        <v>1230.24</v>
      </c>
    </row>
    <row r="2959" spans="1:9">
      <c r="A2959" s="13">
        <v>44715</v>
      </c>
      <c r="B2959" s="91">
        <f t="shared" si="48"/>
        <v>2022</v>
      </c>
      <c r="C2959" s="15" t="s">
        <v>2113</v>
      </c>
      <c r="D2959" s="15" t="s">
        <v>2128</v>
      </c>
      <c r="E2959" s="15" t="s">
        <v>2151</v>
      </c>
      <c r="F2959" s="15" t="s">
        <v>2124</v>
      </c>
      <c r="G2959" s="15" t="s">
        <v>2130</v>
      </c>
      <c r="H2959" s="15">
        <v>2730</v>
      </c>
      <c r="I2959" s="15">
        <v>785.53</v>
      </c>
    </row>
    <row r="2960" spans="1:9">
      <c r="A2960" s="13">
        <v>45123</v>
      </c>
      <c r="B2960" s="91">
        <f t="shared" si="48"/>
        <v>2023</v>
      </c>
      <c r="C2960" s="15" t="s">
        <v>104</v>
      </c>
      <c r="D2960" s="15" t="s">
        <v>2118</v>
      </c>
      <c r="E2960" s="15" t="s">
        <v>2134</v>
      </c>
      <c r="F2960" s="15" t="s">
        <v>2124</v>
      </c>
      <c r="G2960" s="15" t="s">
        <v>2125</v>
      </c>
      <c r="H2960" s="15">
        <v>6535</v>
      </c>
      <c r="I2960" s="15">
        <v>921.36</v>
      </c>
    </row>
    <row r="2961" spans="1:9">
      <c r="A2961" s="13">
        <v>44953</v>
      </c>
      <c r="B2961" s="91">
        <f t="shared" si="48"/>
        <v>2023</v>
      </c>
      <c r="C2961" s="15" t="s">
        <v>2113</v>
      </c>
      <c r="D2961" s="15" t="s">
        <v>2148</v>
      </c>
      <c r="E2961" s="15" t="s">
        <v>2115</v>
      </c>
      <c r="F2961" s="15" t="s">
        <v>2138</v>
      </c>
      <c r="G2961" s="15" t="s">
        <v>2149</v>
      </c>
      <c r="H2961" s="15">
        <v>8393</v>
      </c>
      <c r="I2961" s="15">
        <v>2471.7600000000002</v>
      </c>
    </row>
    <row r="2962" spans="1:9">
      <c r="A2962" s="13">
        <v>44958</v>
      </c>
      <c r="B2962" s="91">
        <f t="shared" si="48"/>
        <v>2023</v>
      </c>
      <c r="C2962" s="15" t="s">
        <v>2113</v>
      </c>
      <c r="D2962" s="15" t="s">
        <v>2128</v>
      </c>
      <c r="E2962" s="15" t="s">
        <v>2145</v>
      </c>
      <c r="F2962" s="15" t="s">
        <v>2138</v>
      </c>
      <c r="G2962" s="15" t="s">
        <v>2146</v>
      </c>
      <c r="H2962" s="15">
        <v>7054</v>
      </c>
      <c r="I2962" s="15">
        <v>1665.19</v>
      </c>
    </row>
    <row r="2963" spans="1:9">
      <c r="A2963" s="13">
        <v>44641</v>
      </c>
      <c r="B2963" s="91">
        <f t="shared" si="48"/>
        <v>2022</v>
      </c>
      <c r="C2963" s="15" t="s">
        <v>2113</v>
      </c>
      <c r="D2963" s="15" t="s">
        <v>2153</v>
      </c>
      <c r="E2963" s="15" t="s">
        <v>2151</v>
      </c>
      <c r="F2963" s="15" t="s">
        <v>2116</v>
      </c>
      <c r="G2963" s="15" t="s">
        <v>2154</v>
      </c>
      <c r="H2963" s="15">
        <v>3142</v>
      </c>
      <c r="I2963" s="15">
        <v>440.16</v>
      </c>
    </row>
    <row r="2964" spans="1:9">
      <c r="A2964" s="13">
        <v>44748</v>
      </c>
      <c r="B2964" s="91">
        <f t="shared" si="48"/>
        <v>2022</v>
      </c>
      <c r="C2964" s="15" t="s">
        <v>104</v>
      </c>
      <c r="D2964" s="15" t="s">
        <v>2114</v>
      </c>
      <c r="E2964" s="15" t="s">
        <v>2115</v>
      </c>
      <c r="F2964" s="15" t="s">
        <v>2124</v>
      </c>
      <c r="G2964" s="15" t="s">
        <v>2130</v>
      </c>
      <c r="H2964" s="15">
        <v>5221</v>
      </c>
      <c r="I2964" s="15">
        <v>1163.3</v>
      </c>
    </row>
    <row r="2965" spans="1:9">
      <c r="A2965" s="13">
        <v>45504</v>
      </c>
      <c r="B2965" s="91">
        <f t="shared" si="48"/>
        <v>2024</v>
      </c>
      <c r="C2965" s="15" t="s">
        <v>104</v>
      </c>
      <c r="D2965" s="15" t="s">
        <v>2152</v>
      </c>
      <c r="E2965" s="15" t="s">
        <v>2115</v>
      </c>
      <c r="F2965" s="15" t="s">
        <v>2124</v>
      </c>
      <c r="G2965" s="15" t="s">
        <v>2130</v>
      </c>
      <c r="H2965" s="15">
        <v>2314</v>
      </c>
      <c r="I2965" s="15">
        <v>607.54</v>
      </c>
    </row>
    <row r="2966" spans="1:9">
      <c r="A2966" s="13">
        <v>45287</v>
      </c>
      <c r="B2966" s="91">
        <f t="shared" si="48"/>
        <v>2023</v>
      </c>
      <c r="C2966" s="15" t="s">
        <v>104</v>
      </c>
      <c r="D2966" s="15" t="s">
        <v>2152</v>
      </c>
      <c r="E2966" s="15" t="s">
        <v>2129</v>
      </c>
      <c r="F2966" s="15" t="s">
        <v>2116</v>
      </c>
      <c r="G2966" s="15" t="s">
        <v>2154</v>
      </c>
      <c r="H2966" s="15">
        <v>2249</v>
      </c>
      <c r="I2966" s="15">
        <v>385.33</v>
      </c>
    </row>
    <row r="2967" spans="1:9">
      <c r="A2967" s="13">
        <v>44806</v>
      </c>
      <c r="B2967" s="91">
        <f t="shared" si="48"/>
        <v>2022</v>
      </c>
      <c r="C2967" s="15" t="s">
        <v>2141</v>
      </c>
      <c r="D2967" s="15" t="s">
        <v>2126</v>
      </c>
      <c r="E2967" s="15" t="s">
        <v>2143</v>
      </c>
      <c r="F2967" s="15" t="s">
        <v>2138</v>
      </c>
      <c r="G2967" s="15" t="s">
        <v>2139</v>
      </c>
      <c r="H2967" s="15">
        <v>2825</v>
      </c>
      <c r="I2967" s="15">
        <v>426.53</v>
      </c>
    </row>
    <row r="2968" spans="1:9">
      <c r="A2968" s="13">
        <v>45371</v>
      </c>
      <c r="B2968" s="91">
        <f t="shared" si="48"/>
        <v>2024</v>
      </c>
      <c r="C2968" s="15" t="s">
        <v>104</v>
      </c>
      <c r="D2968" s="15" t="s">
        <v>2142</v>
      </c>
      <c r="E2968" s="15" t="s">
        <v>2119</v>
      </c>
      <c r="F2968" s="15" t="s">
        <v>2120</v>
      </c>
      <c r="G2968" s="15" t="s">
        <v>2132</v>
      </c>
      <c r="H2968" s="15">
        <v>9784</v>
      </c>
      <c r="I2968" s="15">
        <v>1554.29</v>
      </c>
    </row>
    <row r="2969" spans="1:9">
      <c r="A2969" s="13">
        <v>45512</v>
      </c>
      <c r="B2969" s="91">
        <f t="shared" si="48"/>
        <v>2024</v>
      </c>
      <c r="C2969" s="15" t="s">
        <v>104</v>
      </c>
      <c r="D2969" s="15" t="s">
        <v>2148</v>
      </c>
      <c r="E2969" s="15" t="s">
        <v>2145</v>
      </c>
      <c r="F2969" s="15" t="s">
        <v>2138</v>
      </c>
      <c r="G2969" s="15" t="s">
        <v>2149</v>
      </c>
      <c r="H2969" s="15">
        <v>9291</v>
      </c>
      <c r="I2969" s="15">
        <v>2677.31</v>
      </c>
    </row>
    <row r="2970" spans="1:9">
      <c r="A2970" s="13">
        <v>45198</v>
      </c>
      <c r="B2970" s="91">
        <f t="shared" si="48"/>
        <v>2023</v>
      </c>
      <c r="C2970" s="15" t="s">
        <v>104</v>
      </c>
      <c r="D2970" s="15" t="s">
        <v>2126</v>
      </c>
      <c r="E2970" s="15" t="s">
        <v>2145</v>
      </c>
      <c r="F2970" s="15" t="s">
        <v>2124</v>
      </c>
      <c r="G2970" s="15" t="s">
        <v>2125</v>
      </c>
      <c r="H2970" s="15">
        <v>2557</v>
      </c>
      <c r="I2970" s="15">
        <v>351.79</v>
      </c>
    </row>
    <row r="2971" spans="1:9">
      <c r="A2971" s="13">
        <v>44943</v>
      </c>
      <c r="B2971" s="91">
        <f t="shared" si="48"/>
        <v>2023</v>
      </c>
      <c r="C2971" s="15" t="s">
        <v>2113</v>
      </c>
      <c r="D2971" s="15" t="s">
        <v>2142</v>
      </c>
      <c r="E2971" s="15" t="s">
        <v>2145</v>
      </c>
      <c r="F2971" s="15" t="s">
        <v>2124</v>
      </c>
      <c r="G2971" s="15" t="s">
        <v>2140</v>
      </c>
      <c r="H2971" s="15">
        <v>2886</v>
      </c>
      <c r="I2971" s="15">
        <v>486.69</v>
      </c>
    </row>
    <row r="2972" spans="1:9">
      <c r="A2972" s="13">
        <v>44600</v>
      </c>
      <c r="B2972" s="91">
        <f t="shared" si="48"/>
        <v>2022</v>
      </c>
      <c r="C2972" s="15" t="s">
        <v>2113</v>
      </c>
      <c r="D2972" s="15" t="s">
        <v>2142</v>
      </c>
      <c r="E2972" s="15" t="s">
        <v>2143</v>
      </c>
      <c r="F2972" s="15" t="s">
        <v>2124</v>
      </c>
      <c r="G2972" s="15" t="s">
        <v>2125</v>
      </c>
      <c r="H2972" s="15">
        <v>7153</v>
      </c>
      <c r="I2972" s="15">
        <v>1288.5899999999999</v>
      </c>
    </row>
    <row r="2973" spans="1:9">
      <c r="A2973" s="13">
        <v>44568</v>
      </c>
      <c r="B2973" s="91">
        <f t="shared" si="48"/>
        <v>2022</v>
      </c>
      <c r="C2973" s="15" t="s">
        <v>2113</v>
      </c>
      <c r="D2973" s="15" t="s">
        <v>2135</v>
      </c>
      <c r="E2973" s="15" t="s">
        <v>2129</v>
      </c>
      <c r="F2973" s="15" t="s">
        <v>2120</v>
      </c>
      <c r="G2973" s="15" t="s">
        <v>2132</v>
      </c>
      <c r="H2973" s="15">
        <v>4485</v>
      </c>
      <c r="I2973" s="15">
        <v>1302.22</v>
      </c>
    </row>
    <row r="2974" spans="1:9">
      <c r="A2974" s="13">
        <v>45589</v>
      </c>
      <c r="B2974" s="91">
        <f t="shared" si="48"/>
        <v>2024</v>
      </c>
      <c r="C2974" s="15" t="s">
        <v>104</v>
      </c>
      <c r="D2974" s="15" t="s">
        <v>2135</v>
      </c>
      <c r="E2974" s="15" t="s">
        <v>2144</v>
      </c>
      <c r="F2974" s="15" t="s">
        <v>2116</v>
      </c>
      <c r="G2974" s="15" t="s">
        <v>2154</v>
      </c>
      <c r="H2974" s="15">
        <v>8504</v>
      </c>
      <c r="I2974" s="15">
        <v>911.41</v>
      </c>
    </row>
    <row r="2975" spans="1:9">
      <c r="A2975" s="13">
        <v>45559</v>
      </c>
      <c r="B2975" s="91">
        <f t="shared" si="48"/>
        <v>2024</v>
      </c>
      <c r="C2975" s="15" t="s">
        <v>2141</v>
      </c>
      <c r="D2975" s="15" t="s">
        <v>2152</v>
      </c>
      <c r="E2975" s="15" t="s">
        <v>2143</v>
      </c>
      <c r="F2975" s="15" t="s">
        <v>2120</v>
      </c>
      <c r="G2975" s="15" t="s">
        <v>2133</v>
      </c>
      <c r="H2975" s="15">
        <v>3103</v>
      </c>
      <c r="I2975" s="15">
        <v>867.25</v>
      </c>
    </row>
    <row r="2976" spans="1:9">
      <c r="A2976" s="13">
        <v>45419</v>
      </c>
      <c r="B2976" s="91">
        <f t="shared" si="48"/>
        <v>2024</v>
      </c>
      <c r="C2976" s="15" t="s">
        <v>2141</v>
      </c>
      <c r="D2976" s="15" t="s">
        <v>2153</v>
      </c>
      <c r="E2976" s="15" t="s">
        <v>2119</v>
      </c>
      <c r="F2976" s="15" t="s">
        <v>2124</v>
      </c>
      <c r="G2976" s="15" t="s">
        <v>2140</v>
      </c>
      <c r="H2976" s="15">
        <v>9338</v>
      </c>
      <c r="I2976" s="15">
        <v>2012.09</v>
      </c>
    </row>
    <row r="2977" spans="1:9">
      <c r="A2977" s="13">
        <v>44839</v>
      </c>
      <c r="B2977" s="91">
        <f t="shared" si="48"/>
        <v>2022</v>
      </c>
      <c r="C2977" s="15" t="s">
        <v>2141</v>
      </c>
      <c r="D2977" s="15" t="s">
        <v>2118</v>
      </c>
      <c r="E2977" s="15" t="s">
        <v>2143</v>
      </c>
      <c r="F2977" s="15" t="s">
        <v>2120</v>
      </c>
      <c r="G2977" s="15" t="s">
        <v>2121</v>
      </c>
      <c r="H2977" s="15">
        <v>1078</v>
      </c>
      <c r="I2977" s="15">
        <v>318.20999999999998</v>
      </c>
    </row>
    <row r="2978" spans="1:9">
      <c r="A2978" s="13">
        <v>45323</v>
      </c>
      <c r="B2978" s="91">
        <f t="shared" si="48"/>
        <v>2024</v>
      </c>
      <c r="C2978" s="15" t="s">
        <v>107</v>
      </c>
      <c r="D2978" s="15" t="s">
        <v>2142</v>
      </c>
      <c r="E2978" s="15" t="s">
        <v>2151</v>
      </c>
      <c r="F2978" s="15" t="s">
        <v>2138</v>
      </c>
      <c r="G2978" s="15" t="s">
        <v>2146</v>
      </c>
      <c r="H2978" s="15">
        <v>4901</v>
      </c>
      <c r="I2978" s="15">
        <v>1340.47</v>
      </c>
    </row>
    <row r="2979" spans="1:9">
      <c r="A2979" s="13">
        <v>44886</v>
      </c>
      <c r="B2979" s="91">
        <f t="shared" si="48"/>
        <v>2022</v>
      </c>
      <c r="C2979" s="15" t="s">
        <v>2141</v>
      </c>
      <c r="D2979" s="15" t="s">
        <v>2114</v>
      </c>
      <c r="E2979" s="15" t="s">
        <v>2115</v>
      </c>
      <c r="F2979" s="15" t="s">
        <v>2120</v>
      </c>
      <c r="G2979" s="15" t="s">
        <v>2132</v>
      </c>
      <c r="H2979" s="15">
        <v>8632</v>
      </c>
      <c r="I2979" s="15">
        <v>1981.99</v>
      </c>
    </row>
    <row r="2980" spans="1:9">
      <c r="A2980" s="13">
        <v>45251</v>
      </c>
      <c r="B2980" s="91">
        <f t="shared" si="48"/>
        <v>2023</v>
      </c>
      <c r="C2980" s="15" t="s">
        <v>2113</v>
      </c>
      <c r="D2980" s="15" t="s">
        <v>2118</v>
      </c>
      <c r="E2980" s="15" t="s">
        <v>2115</v>
      </c>
      <c r="F2980" s="15" t="s">
        <v>2124</v>
      </c>
      <c r="G2980" s="15" t="s">
        <v>2130</v>
      </c>
      <c r="H2980" s="15">
        <v>8718</v>
      </c>
      <c r="I2980" s="15">
        <v>1026.42</v>
      </c>
    </row>
    <row r="2981" spans="1:9">
      <c r="A2981" s="13">
        <v>45508</v>
      </c>
      <c r="B2981" s="91">
        <f t="shared" si="48"/>
        <v>2024</v>
      </c>
      <c r="C2981" s="15" t="s">
        <v>104</v>
      </c>
      <c r="D2981" s="15" t="s">
        <v>2148</v>
      </c>
      <c r="E2981" s="15" t="s">
        <v>2144</v>
      </c>
      <c r="F2981" s="15" t="s">
        <v>2120</v>
      </c>
      <c r="G2981" s="15" t="s">
        <v>2132</v>
      </c>
      <c r="H2981" s="15">
        <v>7767</v>
      </c>
      <c r="I2981" s="15">
        <v>1896.75</v>
      </c>
    </row>
    <row r="2982" spans="1:9">
      <c r="A2982" s="13">
        <v>45541</v>
      </c>
      <c r="B2982" s="91">
        <f t="shared" si="48"/>
        <v>2024</v>
      </c>
      <c r="C2982" s="15" t="s">
        <v>2141</v>
      </c>
      <c r="D2982" s="15" t="s">
        <v>2142</v>
      </c>
      <c r="E2982" s="15" t="s">
        <v>2123</v>
      </c>
      <c r="F2982" s="15" t="s">
        <v>2138</v>
      </c>
      <c r="G2982" s="15" t="s">
        <v>2149</v>
      </c>
      <c r="H2982" s="15">
        <v>9380</v>
      </c>
      <c r="I2982" s="15">
        <v>2077.42</v>
      </c>
    </row>
    <row r="2983" spans="1:9">
      <c r="A2983" s="13">
        <v>45166</v>
      </c>
      <c r="B2983" s="91">
        <f t="shared" si="48"/>
        <v>2023</v>
      </c>
      <c r="C2983" s="15" t="s">
        <v>107</v>
      </c>
      <c r="D2983" s="15" t="s">
        <v>2153</v>
      </c>
      <c r="E2983" s="15" t="s">
        <v>2145</v>
      </c>
      <c r="F2983" s="15" t="s">
        <v>2120</v>
      </c>
      <c r="G2983" s="15" t="s">
        <v>2133</v>
      </c>
      <c r="H2983" s="15">
        <v>4626</v>
      </c>
      <c r="I2983" s="15">
        <v>1193.95</v>
      </c>
    </row>
    <row r="2984" spans="1:9">
      <c r="A2984" s="13">
        <v>45295</v>
      </c>
      <c r="B2984" s="91">
        <f t="shared" si="48"/>
        <v>2024</v>
      </c>
      <c r="C2984" s="15" t="s">
        <v>107</v>
      </c>
      <c r="D2984" s="15" t="s">
        <v>2142</v>
      </c>
      <c r="E2984" s="15" t="s">
        <v>2123</v>
      </c>
      <c r="F2984" s="15" t="s">
        <v>2124</v>
      </c>
      <c r="G2984" s="15" t="s">
        <v>2125</v>
      </c>
      <c r="H2984" s="15">
        <v>7917</v>
      </c>
      <c r="I2984" s="15">
        <v>2334.38</v>
      </c>
    </row>
    <row r="2985" spans="1:9">
      <c r="A2985" s="13">
        <v>44735</v>
      </c>
      <c r="B2985" s="91">
        <f t="shared" si="48"/>
        <v>2022</v>
      </c>
      <c r="C2985" s="15" t="s">
        <v>107</v>
      </c>
      <c r="D2985" s="15" t="s">
        <v>2126</v>
      </c>
      <c r="E2985" s="15" t="s">
        <v>2151</v>
      </c>
      <c r="F2985" s="15" t="s">
        <v>2124</v>
      </c>
      <c r="G2985" s="15" t="s">
        <v>2140</v>
      </c>
      <c r="H2985" s="15">
        <v>6053</v>
      </c>
      <c r="I2985" s="15">
        <v>1179.26</v>
      </c>
    </row>
    <row r="2986" spans="1:9">
      <c r="A2986" s="13">
        <v>45055</v>
      </c>
      <c r="B2986" s="91">
        <f t="shared" si="48"/>
        <v>2023</v>
      </c>
      <c r="C2986" s="15" t="s">
        <v>107</v>
      </c>
      <c r="D2986" s="15" t="s">
        <v>2135</v>
      </c>
      <c r="E2986" s="15" t="s">
        <v>2136</v>
      </c>
      <c r="F2986" s="15" t="s">
        <v>2116</v>
      </c>
      <c r="G2986" s="15" t="s">
        <v>2127</v>
      </c>
      <c r="H2986" s="15">
        <v>3592</v>
      </c>
      <c r="I2986" s="15">
        <v>585.95000000000005</v>
      </c>
    </row>
    <row r="2987" spans="1:9">
      <c r="A2987" s="13">
        <v>45542</v>
      </c>
      <c r="B2987" s="91">
        <f t="shared" si="48"/>
        <v>2024</v>
      </c>
      <c r="C2987" s="15" t="s">
        <v>104</v>
      </c>
      <c r="D2987" s="15" t="s">
        <v>2118</v>
      </c>
      <c r="E2987" s="15" t="s">
        <v>2144</v>
      </c>
      <c r="F2987" s="15" t="s">
        <v>2138</v>
      </c>
      <c r="G2987" s="15" t="s">
        <v>2149</v>
      </c>
      <c r="H2987" s="15">
        <v>4216</v>
      </c>
      <c r="I2987" s="15">
        <v>484.99</v>
      </c>
    </row>
    <row r="2988" spans="1:9">
      <c r="A2988" s="13">
        <v>45651</v>
      </c>
      <c r="B2988" s="91">
        <f t="shared" si="48"/>
        <v>2024</v>
      </c>
      <c r="C2988" s="15" t="s">
        <v>104</v>
      </c>
      <c r="D2988" s="15" t="s">
        <v>2131</v>
      </c>
      <c r="E2988" s="15" t="s">
        <v>2119</v>
      </c>
      <c r="F2988" s="15" t="s">
        <v>2138</v>
      </c>
      <c r="G2988" s="15" t="s">
        <v>2139</v>
      </c>
      <c r="H2988" s="15">
        <v>3901</v>
      </c>
      <c r="I2988" s="15">
        <v>577.42999999999995</v>
      </c>
    </row>
    <row r="2989" spans="1:9">
      <c r="A2989" s="13">
        <v>45557</v>
      </c>
      <c r="B2989" s="91">
        <f t="shared" si="48"/>
        <v>2024</v>
      </c>
      <c r="C2989" s="15" t="s">
        <v>104</v>
      </c>
      <c r="D2989" s="15" t="s">
        <v>2142</v>
      </c>
      <c r="E2989" s="15" t="s">
        <v>2129</v>
      </c>
      <c r="F2989" s="15" t="s">
        <v>2138</v>
      </c>
      <c r="G2989" s="15" t="s">
        <v>2149</v>
      </c>
      <c r="H2989" s="15">
        <v>2744</v>
      </c>
      <c r="I2989" s="15">
        <v>491.62</v>
      </c>
    </row>
    <row r="2990" spans="1:9">
      <c r="A2990" s="13">
        <v>45196</v>
      </c>
      <c r="B2990" s="91">
        <f t="shared" si="48"/>
        <v>2023</v>
      </c>
      <c r="C2990" s="15" t="s">
        <v>2141</v>
      </c>
      <c r="D2990" s="15" t="s">
        <v>2131</v>
      </c>
      <c r="E2990" s="15" t="s">
        <v>2145</v>
      </c>
      <c r="F2990" s="15" t="s">
        <v>2124</v>
      </c>
      <c r="G2990" s="15" t="s">
        <v>2130</v>
      </c>
      <c r="H2990" s="15">
        <v>1668</v>
      </c>
      <c r="I2990" s="15">
        <v>207.39</v>
      </c>
    </row>
    <row r="2991" spans="1:9">
      <c r="A2991" s="13">
        <v>45225</v>
      </c>
      <c r="B2991" s="91">
        <f t="shared" si="48"/>
        <v>2023</v>
      </c>
      <c r="C2991" s="15" t="s">
        <v>2141</v>
      </c>
      <c r="D2991" s="15" t="s">
        <v>2114</v>
      </c>
      <c r="E2991" s="15" t="s">
        <v>2151</v>
      </c>
      <c r="F2991" s="15" t="s">
        <v>2124</v>
      </c>
      <c r="G2991" s="15" t="s">
        <v>2130</v>
      </c>
      <c r="H2991" s="15">
        <v>4340</v>
      </c>
      <c r="I2991" s="15">
        <v>1045.25</v>
      </c>
    </row>
    <row r="2992" spans="1:9">
      <c r="A2992" s="13">
        <v>45284</v>
      </c>
      <c r="B2992" s="91">
        <f t="shared" si="48"/>
        <v>2023</v>
      </c>
      <c r="C2992" s="15" t="s">
        <v>104</v>
      </c>
      <c r="D2992" s="15" t="s">
        <v>2142</v>
      </c>
      <c r="E2992" s="15" t="s">
        <v>2123</v>
      </c>
      <c r="F2992" s="15" t="s">
        <v>2124</v>
      </c>
      <c r="G2992" s="15" t="s">
        <v>2130</v>
      </c>
      <c r="H2992" s="15">
        <v>8366</v>
      </c>
      <c r="I2992" s="15">
        <v>1746.08</v>
      </c>
    </row>
    <row r="2993" spans="1:9">
      <c r="A2993" s="13">
        <v>44828</v>
      </c>
      <c r="B2993" s="91">
        <f t="shared" si="48"/>
        <v>2022</v>
      </c>
      <c r="C2993" s="15" t="s">
        <v>107</v>
      </c>
      <c r="D2993" s="15" t="s">
        <v>2114</v>
      </c>
      <c r="E2993" s="15" t="s">
        <v>2145</v>
      </c>
      <c r="F2993" s="15" t="s">
        <v>2124</v>
      </c>
      <c r="G2993" s="15" t="s">
        <v>2125</v>
      </c>
      <c r="H2993" s="15">
        <v>1583</v>
      </c>
      <c r="I2993" s="15">
        <v>304.26</v>
      </c>
    </row>
    <row r="2994" spans="1:9">
      <c r="A2994" s="13">
        <v>45147</v>
      </c>
      <c r="B2994" s="91">
        <f t="shared" si="48"/>
        <v>2023</v>
      </c>
      <c r="C2994" s="15" t="s">
        <v>2141</v>
      </c>
      <c r="D2994" s="15" t="s">
        <v>2126</v>
      </c>
      <c r="E2994" s="15" t="s">
        <v>2129</v>
      </c>
      <c r="F2994" s="15" t="s">
        <v>2120</v>
      </c>
      <c r="G2994" s="15" t="s">
        <v>2133</v>
      </c>
      <c r="H2994" s="15">
        <v>9770</v>
      </c>
      <c r="I2994" s="15">
        <v>2182.92</v>
      </c>
    </row>
    <row r="2995" spans="1:9">
      <c r="A2995" s="13">
        <v>45629</v>
      </c>
      <c r="B2995" s="91">
        <f t="shared" si="48"/>
        <v>2024</v>
      </c>
      <c r="C2995" s="15" t="s">
        <v>2141</v>
      </c>
      <c r="D2995" s="15" t="s">
        <v>2118</v>
      </c>
      <c r="E2995" s="15" t="s">
        <v>2123</v>
      </c>
      <c r="F2995" s="15" t="s">
        <v>2138</v>
      </c>
      <c r="G2995" s="15" t="s">
        <v>2146</v>
      </c>
      <c r="H2995" s="15">
        <v>1654</v>
      </c>
      <c r="I2995" s="15">
        <v>229.25</v>
      </c>
    </row>
    <row r="2996" spans="1:9">
      <c r="A2996" s="13">
        <v>45562</v>
      </c>
      <c r="B2996" s="91">
        <f t="shared" si="48"/>
        <v>2024</v>
      </c>
      <c r="C2996" s="15" t="s">
        <v>2141</v>
      </c>
      <c r="D2996" s="15" t="s">
        <v>2131</v>
      </c>
      <c r="E2996" s="15" t="s">
        <v>2134</v>
      </c>
      <c r="F2996" s="15" t="s">
        <v>2120</v>
      </c>
      <c r="G2996" s="15" t="s">
        <v>2133</v>
      </c>
      <c r="H2996" s="15">
        <v>1284</v>
      </c>
      <c r="I2996" s="15">
        <v>253.84</v>
      </c>
    </row>
    <row r="2997" spans="1:9">
      <c r="A2997" s="13">
        <v>45207</v>
      </c>
      <c r="B2997" s="91">
        <f t="shared" si="48"/>
        <v>2023</v>
      </c>
      <c r="C2997" s="15" t="s">
        <v>104</v>
      </c>
      <c r="D2997" s="15" t="s">
        <v>2118</v>
      </c>
      <c r="E2997" s="15" t="s">
        <v>2119</v>
      </c>
      <c r="F2997" s="15" t="s">
        <v>2116</v>
      </c>
      <c r="G2997" s="15" t="s">
        <v>2127</v>
      </c>
      <c r="H2997" s="15">
        <v>4199</v>
      </c>
      <c r="I2997" s="15">
        <v>709.89</v>
      </c>
    </row>
    <row r="2998" spans="1:9">
      <c r="A2998" s="13">
        <v>45568</v>
      </c>
      <c r="B2998" s="91">
        <f t="shared" si="48"/>
        <v>2024</v>
      </c>
      <c r="C2998" s="15" t="s">
        <v>107</v>
      </c>
      <c r="D2998" s="15" t="s">
        <v>2128</v>
      </c>
      <c r="E2998" s="15" t="s">
        <v>2143</v>
      </c>
      <c r="F2998" s="15" t="s">
        <v>2124</v>
      </c>
      <c r="G2998" s="15" t="s">
        <v>2125</v>
      </c>
      <c r="H2998" s="15">
        <v>4690</v>
      </c>
      <c r="I2998" s="15">
        <v>1076.28</v>
      </c>
    </row>
    <row r="2999" spans="1:9">
      <c r="A2999" s="13">
        <v>45503</v>
      </c>
      <c r="B2999" s="91">
        <f t="shared" si="48"/>
        <v>2024</v>
      </c>
      <c r="C2999" s="15" t="s">
        <v>107</v>
      </c>
      <c r="D2999" s="15" t="s">
        <v>2153</v>
      </c>
      <c r="E2999" s="15" t="s">
        <v>2119</v>
      </c>
      <c r="F2999" s="15" t="s">
        <v>2124</v>
      </c>
      <c r="G2999" s="15" t="s">
        <v>2125</v>
      </c>
      <c r="H2999" s="15">
        <v>6050</v>
      </c>
      <c r="I2999" s="15">
        <v>1708.02</v>
      </c>
    </row>
    <row r="3000" spans="1:9">
      <c r="A3000" s="13">
        <v>45454</v>
      </c>
      <c r="B3000" s="91">
        <f t="shared" si="48"/>
        <v>2024</v>
      </c>
      <c r="C3000" s="15" t="s">
        <v>107</v>
      </c>
      <c r="D3000" s="15" t="s">
        <v>2135</v>
      </c>
      <c r="E3000" s="15" t="s">
        <v>2144</v>
      </c>
      <c r="F3000" s="15" t="s">
        <v>2138</v>
      </c>
      <c r="G3000" s="15" t="s">
        <v>2139</v>
      </c>
      <c r="H3000" s="15">
        <v>7382</v>
      </c>
      <c r="I3000" s="15">
        <v>1110.08</v>
      </c>
    </row>
    <row r="3001" spans="1:9">
      <c r="A3001" s="13">
        <v>45535</v>
      </c>
      <c r="B3001" s="91">
        <f t="shared" si="48"/>
        <v>2024</v>
      </c>
      <c r="C3001" s="15" t="s">
        <v>107</v>
      </c>
      <c r="D3001" s="15" t="s">
        <v>2131</v>
      </c>
      <c r="E3001" s="15" t="s">
        <v>2115</v>
      </c>
      <c r="F3001" s="15" t="s">
        <v>2116</v>
      </c>
      <c r="G3001" s="15" t="s">
        <v>2127</v>
      </c>
      <c r="H3001" s="15">
        <v>8753</v>
      </c>
      <c r="I3001" s="15">
        <v>1153.4100000000001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topLeftCell="A9" workbookViewId="0">
      <selection activeCell="D17" sqref="D17"/>
    </sheetView>
  </sheetViews>
  <sheetFormatPr defaultColWidth="9.140625" defaultRowHeight="14.45"/>
  <cols>
    <col min="1" max="1" width="12.85546875" style="24" bestFit="1" customWidth="1"/>
    <col min="2" max="2" width="14.140625" style="24" customWidth="1"/>
    <col min="3" max="3" width="14.28515625" style="24" customWidth="1"/>
    <col min="4" max="4" width="17.7109375" style="24" bestFit="1" customWidth="1"/>
    <col min="5" max="5" width="15.28515625" style="24" customWidth="1"/>
    <col min="6" max="6" width="12.5703125" style="24" customWidth="1"/>
    <col min="7" max="7" width="16" style="24" bestFit="1" customWidth="1"/>
    <col min="8" max="8" width="15.42578125" style="24" bestFit="1" customWidth="1"/>
    <col min="9" max="16384" width="9.140625" style="24"/>
  </cols>
  <sheetData>
    <row r="1" spans="1:8">
      <c r="A1" s="26" t="s">
        <v>2155</v>
      </c>
      <c r="D1" s="26" t="s">
        <v>2156</v>
      </c>
      <c r="G1" s="26" t="s">
        <v>2157</v>
      </c>
    </row>
    <row r="2" spans="1:8">
      <c r="A2" s="69" t="s">
        <v>2158</v>
      </c>
      <c r="B2" s="69" t="s">
        <v>2159</v>
      </c>
      <c r="D2" s="66" t="s">
        <v>2159</v>
      </c>
      <c r="E2" s="66" t="s">
        <v>2160</v>
      </c>
      <c r="G2" s="65" t="s">
        <v>2159</v>
      </c>
      <c r="H2" s="65" t="s">
        <v>2161</v>
      </c>
    </row>
    <row r="3" spans="1:8">
      <c r="A3" s="25" t="s">
        <v>2162</v>
      </c>
      <c r="B3" s="25">
        <v>5095</v>
      </c>
      <c r="D3" s="25">
        <v>1462</v>
      </c>
      <c r="E3" s="27">
        <v>14401.604513010927</v>
      </c>
      <c r="G3" s="25">
        <v>1466</v>
      </c>
      <c r="H3" s="27">
        <v>50135.992876095297</v>
      </c>
    </row>
    <row r="4" spans="1:8">
      <c r="A4" s="25" t="s">
        <v>2163</v>
      </c>
      <c r="B4" s="25">
        <v>2431</v>
      </c>
      <c r="D4" s="25">
        <v>2427</v>
      </c>
      <c r="E4" s="27">
        <v>33825.172991908876</v>
      </c>
      <c r="G4" s="25">
        <v>2431</v>
      </c>
      <c r="H4" s="27">
        <v>38734.26446847646</v>
      </c>
    </row>
    <row r="5" spans="1:8">
      <c r="A5" s="25" t="s">
        <v>2164</v>
      </c>
      <c r="B5" s="25">
        <v>2426</v>
      </c>
      <c r="D5" s="25">
        <v>1466</v>
      </c>
      <c r="E5" s="27">
        <v>33332.892692677204</v>
      </c>
      <c r="G5" s="25">
        <v>1470</v>
      </c>
      <c r="H5" s="27">
        <v>48335.473662255616</v>
      </c>
    </row>
    <row r="6" spans="1:8">
      <c r="A6" s="25" t="s">
        <v>2165</v>
      </c>
      <c r="B6" s="25">
        <v>2427</v>
      </c>
      <c r="D6" s="25">
        <v>1469</v>
      </c>
      <c r="E6" s="27">
        <v>30406.536776530462</v>
      </c>
      <c r="G6" s="25">
        <v>5095</v>
      </c>
      <c r="H6" s="27">
        <v>48992.558271153925</v>
      </c>
    </row>
    <row r="7" spans="1:8">
      <c r="A7" s="25" t="s">
        <v>2166</v>
      </c>
      <c r="B7" s="25">
        <v>1469</v>
      </c>
      <c r="D7" s="25">
        <v>5093</v>
      </c>
      <c r="E7" s="27">
        <v>49548.909251671161</v>
      </c>
      <c r="G7" s="25">
        <v>5093</v>
      </c>
      <c r="H7" s="27">
        <v>54220.025018956883</v>
      </c>
    </row>
    <row r="8" spans="1:8">
      <c r="A8" s="25" t="s">
        <v>2167</v>
      </c>
      <c r="B8" s="25">
        <v>1466</v>
      </c>
      <c r="D8" s="25">
        <v>1470</v>
      </c>
      <c r="E8" s="27">
        <v>29772.750986913867</v>
      </c>
      <c r="G8" s="25">
        <v>1462</v>
      </c>
      <c r="H8" s="27">
        <v>15179.014536677372</v>
      </c>
    </row>
    <row r="9" spans="1:8">
      <c r="A9" s="25" t="s">
        <v>2168</v>
      </c>
      <c r="B9" s="25">
        <v>1462</v>
      </c>
      <c r="D9" s="25">
        <v>2426</v>
      </c>
      <c r="E9" s="27">
        <v>46978.192896374574</v>
      </c>
      <c r="G9" s="25">
        <v>2427</v>
      </c>
      <c r="H9" s="27">
        <v>19797.129625330424</v>
      </c>
    </row>
    <row r="10" spans="1:8">
      <c r="A10" s="25" t="s">
        <v>2169</v>
      </c>
      <c r="B10" s="25">
        <v>1470</v>
      </c>
      <c r="D10" s="25">
        <v>2431</v>
      </c>
      <c r="E10" s="27">
        <v>15509.961722771812</v>
      </c>
      <c r="G10" s="25">
        <v>1469</v>
      </c>
      <c r="H10" s="27">
        <v>48987.586566963204</v>
      </c>
    </row>
    <row r="11" spans="1:8">
      <c r="A11" s="25" t="s">
        <v>2170</v>
      </c>
      <c r="B11" s="25">
        <v>5093</v>
      </c>
      <c r="D11" s="25">
        <v>5095</v>
      </c>
      <c r="E11" s="27">
        <v>36523.748265894457</v>
      </c>
      <c r="G11" s="25">
        <v>2426</v>
      </c>
      <c r="H11" s="27">
        <v>49004.414997574764</v>
      </c>
    </row>
    <row r="15" spans="1:8">
      <c r="A15" s="26" t="s">
        <v>2171</v>
      </c>
    </row>
    <row r="16" spans="1:8">
      <c r="A16" s="60" t="s">
        <v>2158</v>
      </c>
      <c r="B16" s="60" t="s">
        <v>2159</v>
      </c>
      <c r="C16" s="60" t="s">
        <v>2172</v>
      </c>
      <c r="D16" s="60" t="s">
        <v>2173</v>
      </c>
      <c r="F16" s="26"/>
    </row>
    <row r="17" spans="1:7">
      <c r="A17" s="25" t="s">
        <v>2162</v>
      </c>
      <c r="B17" s="28">
        <f>_xlfn.XLOOKUP(A17,$A$3:$A$11,$B$3:$B$11)</f>
        <v>5095</v>
      </c>
      <c r="C17" s="29">
        <f>_xlfn.XLOOKUP(B17,$G$3:$G$11,$H$3:$H$11)-_xlfn.XLOOKUP(B17,$D$3:$D$11,$E$3:$E$11)</f>
        <v>12468.810005259467</v>
      </c>
      <c r="D17" s="30">
        <f>C17/_xlfn.XLOOKUP(B17,$D$3:$D$11,$E$3:$E$11)</f>
        <v>0.34138911248883863</v>
      </c>
      <c r="F17" s="48" t="s">
        <v>0</v>
      </c>
      <c r="G17" s="48" t="s">
        <v>2174</v>
      </c>
    </row>
    <row r="18" spans="1:7">
      <c r="A18" s="25" t="s">
        <v>2163</v>
      </c>
      <c r="B18" s="28">
        <f t="shared" ref="B18:B25" si="0">_xlfn.XLOOKUP(A18,$A$3:$A$11,$B$3:$B$11)</f>
        <v>2431</v>
      </c>
      <c r="C18" s="29">
        <f t="shared" ref="C18:C25" si="1">_xlfn.XLOOKUP(B18,$G$3:$G$11,$H$3:$H$11)-_xlfn.XLOOKUP(B18,$D$3:$D$11,$E$3:$E$11)</f>
        <v>23224.302745704648</v>
      </c>
      <c r="D18" s="30">
        <f t="shared" ref="D18:D25" si="2">C18/_xlfn.XLOOKUP(B18,$D$3:$D$11,$E$3:$E$11)</f>
        <v>1.4973797589459295</v>
      </c>
      <c r="F18" s="48" t="s">
        <v>2</v>
      </c>
      <c r="G18" s="48" t="s">
        <v>2175</v>
      </c>
    </row>
    <row r="19" spans="1:7">
      <c r="A19" s="25" t="s">
        <v>2164</v>
      </c>
      <c r="B19" s="28">
        <f t="shared" si="0"/>
        <v>2426</v>
      </c>
      <c r="C19" s="29">
        <f t="shared" si="1"/>
        <v>2026.2221012001901</v>
      </c>
      <c r="D19" s="30">
        <f t="shared" si="2"/>
        <v>4.3131120553523007E-2</v>
      </c>
      <c r="F19" s="48" t="s">
        <v>5</v>
      </c>
      <c r="G19" s="48" t="s">
        <v>2176</v>
      </c>
    </row>
    <row r="20" spans="1:7">
      <c r="A20" s="25" t="s">
        <v>2165</v>
      </c>
      <c r="B20" s="28">
        <f t="shared" si="0"/>
        <v>2427</v>
      </c>
      <c r="C20" s="29">
        <f t="shared" si="1"/>
        <v>-14028.043366578451</v>
      </c>
      <c r="D20" s="30">
        <f t="shared" si="2"/>
        <v>-0.41472199920260627</v>
      </c>
      <c r="F20" s="48"/>
      <c r="G20" s="48" t="s">
        <v>2177</v>
      </c>
    </row>
    <row r="21" spans="1:7">
      <c r="A21" s="25" t="s">
        <v>2166</v>
      </c>
      <c r="B21" s="28">
        <f t="shared" si="0"/>
        <v>1469</v>
      </c>
      <c r="C21" s="29">
        <f t="shared" si="1"/>
        <v>18581.049790432742</v>
      </c>
      <c r="D21" s="30">
        <f t="shared" si="2"/>
        <v>0.61108734371796924</v>
      </c>
    </row>
    <row r="22" spans="1:7">
      <c r="A22" s="25" t="s">
        <v>2167</v>
      </c>
      <c r="B22" s="28">
        <f t="shared" si="0"/>
        <v>1466</v>
      </c>
      <c r="C22" s="29">
        <f t="shared" si="1"/>
        <v>16803.100183418093</v>
      </c>
      <c r="D22" s="30">
        <f t="shared" si="2"/>
        <v>0.50409966930681394</v>
      </c>
    </row>
    <row r="23" spans="1:7">
      <c r="A23" s="25" t="s">
        <v>2168</v>
      </c>
      <c r="B23" s="28">
        <f t="shared" si="0"/>
        <v>1462</v>
      </c>
      <c r="C23" s="29">
        <f t="shared" si="1"/>
        <v>777.41002366644534</v>
      </c>
      <c r="D23" s="30">
        <f t="shared" si="2"/>
        <v>5.398079241546351E-2</v>
      </c>
      <c r="F23" s="31" t="s">
        <v>52</v>
      </c>
      <c r="G23" s="31" t="s">
        <v>53</v>
      </c>
    </row>
    <row r="24" spans="1:7">
      <c r="A24" s="25" t="s">
        <v>2169</v>
      </c>
      <c r="B24" s="28">
        <f t="shared" si="0"/>
        <v>1470</v>
      </c>
      <c r="C24" s="29">
        <f t="shared" si="1"/>
        <v>18562.722675341749</v>
      </c>
      <c r="D24" s="30">
        <f t="shared" si="2"/>
        <v>0.62348026500811748</v>
      </c>
      <c r="F24" s="15" t="s">
        <v>0</v>
      </c>
      <c r="G24" s="15">
        <v>2</v>
      </c>
    </row>
    <row r="25" spans="1:7">
      <c r="A25" s="25" t="s">
        <v>2170</v>
      </c>
      <c r="B25" s="28">
        <f t="shared" si="0"/>
        <v>5093</v>
      </c>
      <c r="C25" s="29">
        <f t="shared" si="1"/>
        <v>4671.1157672857225</v>
      </c>
      <c r="D25" s="30">
        <f t="shared" si="2"/>
        <v>9.4272827350446217E-2</v>
      </c>
      <c r="F25" s="15" t="s">
        <v>2</v>
      </c>
      <c r="G25" s="15">
        <v>2</v>
      </c>
    </row>
    <row r="26" spans="1:7">
      <c r="F26" s="75" t="s">
        <v>5</v>
      </c>
      <c r="G26" s="15">
        <v>2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6"/>
  <sheetViews>
    <sheetView workbookViewId="0">
      <selection activeCell="G2" sqref="G2"/>
    </sheetView>
  </sheetViews>
  <sheetFormatPr defaultRowHeight="14.45"/>
  <cols>
    <col min="1" max="1" width="4.85546875" customWidth="1"/>
    <col min="2" max="2" width="17.42578125" bestFit="1" customWidth="1"/>
    <col min="3" max="3" width="12.140625" bestFit="1" customWidth="1"/>
    <col min="4" max="4" width="13.85546875" bestFit="1" customWidth="1"/>
    <col min="5" max="5" width="12.42578125" bestFit="1" customWidth="1"/>
    <col min="6" max="6" width="12" bestFit="1" customWidth="1"/>
    <col min="7" max="7" width="15.7109375" customWidth="1"/>
    <col min="9" max="9" width="12.42578125" bestFit="1" customWidth="1"/>
  </cols>
  <sheetData>
    <row r="1" spans="1:14">
      <c r="A1" s="60" t="s">
        <v>2178</v>
      </c>
      <c r="B1" s="60" t="s">
        <v>2179</v>
      </c>
      <c r="C1" s="60" t="s">
        <v>2180</v>
      </c>
      <c r="D1" s="60" t="s">
        <v>2181</v>
      </c>
      <c r="E1" s="60" t="s">
        <v>2182</v>
      </c>
      <c r="F1" s="60" t="s">
        <v>2183</v>
      </c>
      <c r="G1" s="60" t="s">
        <v>2184</v>
      </c>
      <c r="I1" s="68" t="s">
        <v>2182</v>
      </c>
      <c r="J1" s="68" t="s">
        <v>2185</v>
      </c>
    </row>
    <row r="2" spans="1:14">
      <c r="A2" s="15">
        <v>1</v>
      </c>
      <c r="B2" s="15" t="s">
        <v>2186</v>
      </c>
      <c r="C2" s="15">
        <v>29804</v>
      </c>
      <c r="D2" s="15" t="s">
        <v>2187</v>
      </c>
      <c r="E2" s="15" t="s">
        <v>2188</v>
      </c>
      <c r="F2" s="33">
        <v>45670.984261974532</v>
      </c>
      <c r="G2" s="34">
        <f>IFERROR(_xlfn.XLOOKUP(E2,$I$2:$I$6,$J$2:$J$6)*F2,"Oops,no bonus")</f>
        <v>9742.6317500297901</v>
      </c>
      <c r="I2" s="15" t="s">
        <v>2189</v>
      </c>
      <c r="J2" s="37">
        <v>0.21866219335420145</v>
      </c>
    </row>
    <row r="3" spans="1:14">
      <c r="A3" s="15">
        <v>2</v>
      </c>
      <c r="B3" s="15" t="s">
        <v>2190</v>
      </c>
      <c r="C3" s="15">
        <v>33337</v>
      </c>
      <c r="D3" s="15" t="s">
        <v>2191</v>
      </c>
      <c r="E3" s="15" t="s">
        <v>2192</v>
      </c>
      <c r="F3" s="33">
        <v>38095.072016354403</v>
      </c>
      <c r="G3" s="34" t="str">
        <f t="shared" ref="G3:G26" si="0">IFERROR(_xlfn.XLOOKUP(E3,$I$2:$I$6,$J$2:$J$6)*F3,"Oops,no bonus")</f>
        <v>Oops,no bonus</v>
      </c>
      <c r="I3" s="15" t="s">
        <v>2188</v>
      </c>
      <c r="J3" s="37">
        <v>0.21332213236624864</v>
      </c>
    </row>
    <row r="4" spans="1:14">
      <c r="A4" s="15">
        <v>3</v>
      </c>
      <c r="B4" s="15" t="s">
        <v>2193</v>
      </c>
      <c r="C4" s="15">
        <v>39098</v>
      </c>
      <c r="D4" s="15" t="s">
        <v>2194</v>
      </c>
      <c r="E4" s="15" t="s">
        <v>2195</v>
      </c>
      <c r="F4" s="33">
        <v>61847.566927062435</v>
      </c>
      <c r="G4" s="34" t="str">
        <f t="shared" si="0"/>
        <v>Oops,no bonus</v>
      </c>
      <c r="I4" s="15" t="s">
        <v>2196</v>
      </c>
      <c r="J4" s="37">
        <v>0.57392722686587627</v>
      </c>
    </row>
    <row r="5" spans="1:14">
      <c r="A5" s="15">
        <v>4</v>
      </c>
      <c r="B5" s="15" t="s">
        <v>2197</v>
      </c>
      <c r="C5" s="15">
        <v>24205</v>
      </c>
      <c r="D5" s="15" t="s">
        <v>2194</v>
      </c>
      <c r="E5" s="15" t="s">
        <v>2196</v>
      </c>
      <c r="F5" s="33">
        <v>74258.158619337148</v>
      </c>
      <c r="G5" s="34">
        <f t="shared" si="0"/>
        <v>42618.779048562537</v>
      </c>
      <c r="I5" s="15" t="s">
        <v>2198</v>
      </c>
      <c r="J5" s="37">
        <v>0.212048711247108</v>
      </c>
    </row>
    <row r="6" spans="1:14">
      <c r="A6" s="15">
        <v>5</v>
      </c>
      <c r="B6" s="15" t="s">
        <v>2199</v>
      </c>
      <c r="C6" s="15">
        <v>30013</v>
      </c>
      <c r="D6" s="15" t="s">
        <v>2200</v>
      </c>
      <c r="E6" s="15" t="s">
        <v>2195</v>
      </c>
      <c r="F6" s="33">
        <v>60677.765664458333</v>
      </c>
      <c r="G6" s="34" t="str">
        <f t="shared" si="0"/>
        <v>Oops,no bonus</v>
      </c>
      <c r="I6" s="15" t="s">
        <v>2195</v>
      </c>
      <c r="J6" s="33" t="s">
        <v>2201</v>
      </c>
    </row>
    <row r="7" spans="1:14">
      <c r="A7" s="15">
        <v>6</v>
      </c>
      <c r="B7" s="15" t="s">
        <v>2202</v>
      </c>
      <c r="C7" s="15">
        <v>24752</v>
      </c>
      <c r="D7" s="15" t="s">
        <v>2187</v>
      </c>
      <c r="E7" s="15" t="s">
        <v>2189</v>
      </c>
      <c r="F7" s="33">
        <v>45748.904231299457</v>
      </c>
      <c r="G7" s="34">
        <f t="shared" si="0"/>
        <v>10003.555742767247</v>
      </c>
    </row>
    <row r="8" spans="1:14">
      <c r="A8" s="15">
        <v>7</v>
      </c>
      <c r="B8" s="15" t="s">
        <v>2203</v>
      </c>
      <c r="C8" s="15">
        <v>27919</v>
      </c>
      <c r="D8" s="15" t="s">
        <v>2204</v>
      </c>
      <c r="E8" s="15" t="s">
        <v>2188</v>
      </c>
      <c r="F8" s="33">
        <v>31109.134578470243</v>
      </c>
      <c r="G8" s="34">
        <f t="shared" si="0"/>
        <v>6636.2669243478713</v>
      </c>
    </row>
    <row r="9" spans="1:14">
      <c r="A9" s="15">
        <v>8</v>
      </c>
      <c r="B9" s="15" t="s">
        <v>2205</v>
      </c>
      <c r="C9" s="15">
        <v>36539</v>
      </c>
      <c r="D9" s="15" t="s">
        <v>2194</v>
      </c>
      <c r="E9" s="15" t="s">
        <v>2196</v>
      </c>
      <c r="F9" s="33">
        <v>57406.95631068942</v>
      </c>
      <c r="G9" s="34">
        <f t="shared" si="0"/>
        <v>32947.415238204492</v>
      </c>
      <c r="I9" s="48" t="s">
        <v>0</v>
      </c>
      <c r="J9" s="48" t="s">
        <v>2206</v>
      </c>
    </row>
    <row r="10" spans="1:14">
      <c r="A10" s="15">
        <v>9</v>
      </c>
      <c r="B10" s="15" t="s">
        <v>2207</v>
      </c>
      <c r="C10" s="15">
        <v>26806</v>
      </c>
      <c r="D10" s="15" t="s">
        <v>2194</v>
      </c>
      <c r="E10" s="15" t="s">
        <v>2198</v>
      </c>
      <c r="F10" s="33">
        <v>54568.425327364952</v>
      </c>
      <c r="G10" s="34">
        <f t="shared" si="0"/>
        <v>11571.164265451785</v>
      </c>
      <c r="I10" s="48"/>
      <c r="J10" s="48" t="s">
        <v>2208</v>
      </c>
    </row>
    <row r="11" spans="1:14">
      <c r="A11" s="15">
        <v>10</v>
      </c>
      <c r="B11" s="15" t="s">
        <v>2209</v>
      </c>
      <c r="C11" s="15">
        <v>34030</v>
      </c>
      <c r="D11" s="15" t="s">
        <v>2187</v>
      </c>
      <c r="E11" s="15" t="s">
        <v>2195</v>
      </c>
      <c r="F11" s="33">
        <v>56597.112592682039</v>
      </c>
      <c r="G11" s="34" t="str">
        <f t="shared" si="0"/>
        <v>Oops,no bonus</v>
      </c>
      <c r="I11" s="48"/>
      <c r="J11" s="48"/>
    </row>
    <row r="12" spans="1:14">
      <c r="A12" s="15">
        <v>11</v>
      </c>
      <c r="B12" s="15" t="s">
        <v>2210</v>
      </c>
      <c r="C12" s="15">
        <v>30179</v>
      </c>
      <c r="D12" s="15" t="s">
        <v>2191</v>
      </c>
      <c r="E12" s="15" t="s">
        <v>2195</v>
      </c>
      <c r="F12" s="33">
        <v>50370.812061384466</v>
      </c>
      <c r="G12" s="34" t="str">
        <f t="shared" si="0"/>
        <v>Oops,no bonus</v>
      </c>
      <c r="N12">
        <f>F2*J3</f>
        <v>9742.6317500297901</v>
      </c>
    </row>
    <row r="13" spans="1:14">
      <c r="A13" s="15">
        <v>12</v>
      </c>
      <c r="B13" s="15" t="s">
        <v>2211</v>
      </c>
      <c r="C13" s="15">
        <v>39682</v>
      </c>
      <c r="D13" s="15" t="s">
        <v>2204</v>
      </c>
      <c r="E13" s="15" t="s">
        <v>2189</v>
      </c>
      <c r="F13" s="33">
        <v>63483.64419948608</v>
      </c>
      <c r="G13" s="34">
        <f t="shared" si="0"/>
        <v>13881.472882777354</v>
      </c>
      <c r="J13" s="31" t="s">
        <v>52</v>
      </c>
      <c r="K13" s="31" t="s">
        <v>53</v>
      </c>
    </row>
    <row r="14" spans="1:14">
      <c r="A14" s="15">
        <v>13</v>
      </c>
      <c r="B14" s="15" t="s">
        <v>2212</v>
      </c>
      <c r="C14" s="15">
        <v>30471</v>
      </c>
      <c r="D14" s="15" t="s">
        <v>2187</v>
      </c>
      <c r="E14" s="15" t="s">
        <v>2196</v>
      </c>
      <c r="F14" s="33">
        <v>38973.344706210293</v>
      </c>
      <c r="G14" s="34">
        <f t="shared" si="0"/>
        <v>22367.863648923154</v>
      </c>
      <c r="J14" s="15" t="s">
        <v>0</v>
      </c>
      <c r="K14" s="15">
        <v>4</v>
      </c>
    </row>
    <row r="15" spans="1:14">
      <c r="A15" s="15">
        <v>14</v>
      </c>
      <c r="B15" s="15" t="s">
        <v>2213</v>
      </c>
      <c r="C15" s="15">
        <v>30102</v>
      </c>
      <c r="D15" s="15" t="s">
        <v>2187</v>
      </c>
      <c r="E15" s="15" t="s">
        <v>2195</v>
      </c>
      <c r="F15" s="33">
        <v>67729.40031139442</v>
      </c>
      <c r="G15" s="34" t="str">
        <f t="shared" si="0"/>
        <v>Oops,no bonus</v>
      </c>
      <c r="J15" s="55"/>
      <c r="K15" s="55"/>
    </row>
    <row r="16" spans="1:14">
      <c r="A16" s="15">
        <v>15</v>
      </c>
      <c r="B16" s="15" t="s">
        <v>2214</v>
      </c>
      <c r="C16" s="15">
        <v>36761</v>
      </c>
      <c r="D16" s="15" t="s">
        <v>2187</v>
      </c>
      <c r="E16" s="15" t="s">
        <v>2188</v>
      </c>
      <c r="F16" s="33">
        <v>62979.064673076689</v>
      </c>
      <c r="G16" s="34">
        <f t="shared" si="0"/>
        <v>13434.8283704926</v>
      </c>
      <c r="J16" s="55"/>
      <c r="K16" s="55"/>
    </row>
    <row r="17" spans="1:7">
      <c r="A17" s="15">
        <v>16</v>
      </c>
      <c r="B17" s="15" t="s">
        <v>2215</v>
      </c>
      <c r="C17" s="15">
        <v>22264</v>
      </c>
      <c r="D17" s="15" t="s">
        <v>2200</v>
      </c>
      <c r="E17" s="15" t="s">
        <v>2188</v>
      </c>
      <c r="F17" s="33">
        <v>31429.09059122196</v>
      </c>
      <c r="G17" s="34">
        <f t="shared" si="0"/>
        <v>6704.5206232514711</v>
      </c>
    </row>
    <row r="18" spans="1:7">
      <c r="A18" s="15">
        <v>17</v>
      </c>
      <c r="B18" s="15" t="s">
        <v>2216</v>
      </c>
      <c r="C18" s="15">
        <v>27041</v>
      </c>
      <c r="D18" s="15" t="s">
        <v>2200</v>
      </c>
      <c r="E18" s="15" t="s">
        <v>2192</v>
      </c>
      <c r="F18" s="33">
        <v>70039.081174460473</v>
      </c>
      <c r="G18" s="34" t="str">
        <f t="shared" si="0"/>
        <v>Oops,no bonus</v>
      </c>
    </row>
    <row r="19" spans="1:7">
      <c r="A19" s="15">
        <v>18</v>
      </c>
      <c r="B19" s="15" t="s">
        <v>2217</v>
      </c>
      <c r="C19" s="15">
        <v>24267</v>
      </c>
      <c r="D19" s="15" t="s">
        <v>2200</v>
      </c>
      <c r="E19" s="15" t="s">
        <v>2188</v>
      </c>
      <c r="F19" s="33">
        <v>51266.656351038298</v>
      </c>
      <c r="G19" s="34">
        <f t="shared" si="0"/>
        <v>10936.312452091173</v>
      </c>
    </row>
    <row r="20" spans="1:7">
      <c r="A20" s="15">
        <v>19</v>
      </c>
      <c r="B20" s="15" t="s">
        <v>2218</v>
      </c>
      <c r="C20" s="15">
        <v>29183</v>
      </c>
      <c r="D20" s="15" t="s">
        <v>2187</v>
      </c>
      <c r="E20" s="15" t="s">
        <v>2196</v>
      </c>
      <c r="F20" s="33">
        <v>66874.250888846698</v>
      </c>
      <c r="G20" s="34">
        <f t="shared" si="0"/>
        <v>38380.953361368644</v>
      </c>
    </row>
    <row r="21" spans="1:7">
      <c r="A21" s="15">
        <v>20</v>
      </c>
      <c r="B21" s="15" t="s">
        <v>2219</v>
      </c>
      <c r="C21" s="15">
        <v>25271</v>
      </c>
      <c r="D21" s="15" t="s">
        <v>2200</v>
      </c>
      <c r="E21" s="15" t="s">
        <v>2195</v>
      </c>
      <c r="F21" s="33">
        <v>36837.007189626253</v>
      </c>
      <c r="G21" s="34" t="str">
        <f t="shared" si="0"/>
        <v>Oops,no bonus</v>
      </c>
    </row>
    <row r="22" spans="1:7">
      <c r="A22" s="15">
        <v>21</v>
      </c>
      <c r="B22" s="15" t="s">
        <v>2220</v>
      </c>
      <c r="C22" s="15">
        <v>34663</v>
      </c>
      <c r="D22" s="15" t="s">
        <v>2194</v>
      </c>
      <c r="E22" s="15" t="s">
        <v>2198</v>
      </c>
      <c r="F22" s="33">
        <v>39872.102651335546</v>
      </c>
      <c r="G22" s="34">
        <f t="shared" si="0"/>
        <v>8454.8279819281015</v>
      </c>
    </row>
    <row r="23" spans="1:7">
      <c r="A23" s="15">
        <v>22</v>
      </c>
      <c r="B23" s="15" t="s">
        <v>2221</v>
      </c>
      <c r="C23" s="15">
        <v>35835</v>
      </c>
      <c r="D23" s="15" t="s">
        <v>2191</v>
      </c>
      <c r="E23" s="15" t="s">
        <v>2189</v>
      </c>
      <c r="F23" s="33">
        <v>62704.285548702916</v>
      </c>
      <c r="G23" s="34">
        <f t="shared" si="0"/>
        <v>13711.056610787537</v>
      </c>
    </row>
    <row r="24" spans="1:7">
      <c r="A24" s="15">
        <v>23</v>
      </c>
      <c r="B24" s="15" t="s">
        <v>2222</v>
      </c>
      <c r="C24" s="15">
        <v>23476</v>
      </c>
      <c r="D24" s="15" t="s">
        <v>2204</v>
      </c>
      <c r="E24" s="15" t="s">
        <v>2196</v>
      </c>
      <c r="F24" s="33">
        <v>56703.895850582587</v>
      </c>
      <c r="G24" s="34">
        <f t="shared" si="0"/>
        <v>32543.909698016334</v>
      </c>
    </row>
    <row r="25" spans="1:7">
      <c r="A25" s="15">
        <v>24</v>
      </c>
      <c r="B25" s="15" t="s">
        <v>2223</v>
      </c>
      <c r="C25" s="15">
        <v>28729</v>
      </c>
      <c r="D25" s="15" t="s">
        <v>2200</v>
      </c>
      <c r="E25" s="15" t="s">
        <v>2195</v>
      </c>
      <c r="F25" s="33">
        <v>61425.322505239819</v>
      </c>
      <c r="G25" s="34" t="str">
        <f t="shared" si="0"/>
        <v>Oops,no bonus</v>
      </c>
    </row>
    <row r="26" spans="1:7">
      <c r="A26" s="15">
        <v>25</v>
      </c>
      <c r="B26" s="15" t="s">
        <v>2224</v>
      </c>
      <c r="C26" s="15">
        <v>23893</v>
      </c>
      <c r="D26" s="15" t="s">
        <v>2191</v>
      </c>
      <c r="E26" s="15" t="s">
        <v>2195</v>
      </c>
      <c r="F26" s="33">
        <v>74757.672773480226</v>
      </c>
      <c r="G26" s="34" t="str">
        <f t="shared" si="0"/>
        <v>Oops,no bonus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9"/>
  <sheetViews>
    <sheetView workbookViewId="0">
      <selection activeCell="F4" sqref="F4"/>
    </sheetView>
  </sheetViews>
  <sheetFormatPr defaultRowHeight="14.45"/>
  <cols>
    <col min="1" max="1" width="13.28515625" bestFit="1" customWidth="1"/>
    <col min="4" max="4" width="11.140625" customWidth="1"/>
    <col min="5" max="5" width="13.28515625" customWidth="1"/>
    <col min="6" max="6" width="15.7109375" bestFit="1" customWidth="1"/>
    <col min="7" max="7" width="12.85546875" customWidth="1"/>
    <col min="8" max="8" width="21.85546875" bestFit="1" customWidth="1"/>
    <col min="9" max="9" width="10.7109375" bestFit="1" customWidth="1"/>
  </cols>
  <sheetData>
    <row r="1" spans="1:13">
      <c r="A1" s="48" t="s">
        <v>67</v>
      </c>
      <c r="B1" s="48" t="s">
        <v>2225</v>
      </c>
    </row>
    <row r="2" spans="1:13">
      <c r="H2" s="36" t="s">
        <v>2226</v>
      </c>
    </row>
    <row r="3" spans="1:13">
      <c r="A3" s="67" t="s">
        <v>2227</v>
      </c>
      <c r="B3" s="38">
        <v>50</v>
      </c>
      <c r="D3" s="60" t="s">
        <v>74</v>
      </c>
      <c r="E3" s="60" t="s">
        <v>2228</v>
      </c>
      <c r="F3" s="60" t="s">
        <v>2229</v>
      </c>
      <c r="H3" s="67" t="s">
        <v>2230</v>
      </c>
      <c r="I3" s="67" t="s">
        <v>2231</v>
      </c>
    </row>
    <row r="4" spans="1:13">
      <c r="D4" s="15" t="s">
        <v>2232</v>
      </c>
      <c r="E4" s="15">
        <v>26</v>
      </c>
      <c r="F4" s="39">
        <f>(1-_xlfn.XLOOKUP(E4,$H$4:$H$9,$I$4:$I$9,,1))*$B$3*E4</f>
        <v>650</v>
      </c>
      <c r="H4" s="15">
        <v>1</v>
      </c>
      <c r="I4" s="37">
        <v>0</v>
      </c>
    </row>
    <row r="5" spans="1:13">
      <c r="D5" s="15" t="s">
        <v>2233</v>
      </c>
      <c r="E5" s="15">
        <v>45</v>
      </c>
      <c r="F5" s="39">
        <f t="shared" ref="F5:F16" si="0">(1-_xlfn.XLOOKUP(E5,$H$4:$H$9,$I$4:$I$9,,1))*$B$3*E5</f>
        <v>1125</v>
      </c>
      <c r="H5" s="15">
        <v>3</v>
      </c>
      <c r="I5" s="37">
        <v>0.1</v>
      </c>
      <c r="L5" s="31" t="s">
        <v>52</v>
      </c>
      <c r="M5" s="31" t="s">
        <v>53</v>
      </c>
    </row>
    <row r="6" spans="1:13">
      <c r="D6" s="15" t="s">
        <v>2234</v>
      </c>
      <c r="E6" s="15">
        <v>97</v>
      </c>
      <c r="F6" s="39">
        <f t="shared" si="0"/>
        <v>2425</v>
      </c>
      <c r="H6" s="15">
        <v>5</v>
      </c>
      <c r="I6" s="37">
        <v>0.15</v>
      </c>
      <c r="L6" s="15" t="s">
        <v>0</v>
      </c>
      <c r="M6" s="15">
        <v>5</v>
      </c>
    </row>
    <row r="7" spans="1:13">
      <c r="D7" s="15" t="s">
        <v>2235</v>
      </c>
      <c r="E7" s="15">
        <v>76</v>
      </c>
      <c r="F7" s="39">
        <f t="shared" si="0"/>
        <v>1900</v>
      </c>
      <c r="H7" s="15">
        <v>10</v>
      </c>
      <c r="I7" s="37">
        <v>0.2</v>
      </c>
    </row>
    <row r="8" spans="1:13">
      <c r="D8" s="15" t="s">
        <v>2236</v>
      </c>
      <c r="E8" s="15">
        <v>46</v>
      </c>
      <c r="F8" s="39">
        <f t="shared" si="0"/>
        <v>1150</v>
      </c>
      <c r="H8" s="15">
        <v>25</v>
      </c>
      <c r="I8" s="37">
        <v>0.25</v>
      </c>
    </row>
    <row r="9" spans="1:13">
      <c r="D9" s="15" t="s">
        <v>2237</v>
      </c>
      <c r="E9" s="15">
        <v>9</v>
      </c>
      <c r="F9" s="39">
        <f t="shared" si="0"/>
        <v>360</v>
      </c>
      <c r="H9" s="15">
        <v>100</v>
      </c>
      <c r="I9" s="37">
        <v>0.5</v>
      </c>
    </row>
    <row r="10" spans="1:13">
      <c r="D10" s="15" t="s">
        <v>2238</v>
      </c>
      <c r="E10" s="15">
        <v>12</v>
      </c>
      <c r="F10" s="39">
        <f t="shared" si="0"/>
        <v>450</v>
      </c>
    </row>
    <row r="11" spans="1:13">
      <c r="D11" s="15" t="s">
        <v>2239</v>
      </c>
      <c r="E11" s="15">
        <v>78</v>
      </c>
      <c r="F11" s="39">
        <f t="shared" si="0"/>
        <v>1950</v>
      </c>
    </row>
    <row r="12" spans="1:13">
      <c r="D12" s="15" t="s">
        <v>2240</v>
      </c>
      <c r="E12" s="15">
        <v>54</v>
      </c>
      <c r="F12" s="39">
        <f t="shared" si="0"/>
        <v>1350</v>
      </c>
      <c r="K12" s="95">
        <f>E4*B3*I9</f>
        <v>650</v>
      </c>
    </row>
    <row r="13" spans="1:13">
      <c r="D13" s="15" t="s">
        <v>2241</v>
      </c>
      <c r="E13" s="15">
        <v>1</v>
      </c>
      <c r="F13" s="39">
        <f t="shared" si="0"/>
        <v>50</v>
      </c>
    </row>
    <row r="14" spans="1:13">
      <c r="D14" s="15" t="s">
        <v>2242</v>
      </c>
      <c r="E14" s="15">
        <v>27</v>
      </c>
      <c r="F14" s="39">
        <f t="shared" si="0"/>
        <v>675</v>
      </c>
    </row>
    <row r="15" spans="1:13">
      <c r="D15" s="15" t="s">
        <v>2243</v>
      </c>
      <c r="E15" s="15">
        <v>13</v>
      </c>
      <c r="F15" s="39">
        <f t="shared" si="0"/>
        <v>487.5</v>
      </c>
    </row>
    <row r="16" spans="1:13">
      <c r="D16" s="15" t="s">
        <v>2244</v>
      </c>
      <c r="E16" s="15">
        <v>77</v>
      </c>
      <c r="F16" s="39">
        <f t="shared" si="0"/>
        <v>1925</v>
      </c>
    </row>
    <row r="19" spans="9:9">
      <c r="I19" s="5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34"/>
  <sheetViews>
    <sheetView topLeftCell="A12" zoomScaleNormal="100" workbookViewId="0">
      <selection activeCell="B30" sqref="B30"/>
    </sheetView>
  </sheetViews>
  <sheetFormatPr defaultRowHeight="14.45"/>
  <cols>
    <col min="1" max="1" width="23.7109375" bestFit="1" customWidth="1"/>
    <col min="2" max="2" width="10.5703125" customWidth="1"/>
    <col min="3" max="3" width="7" customWidth="1"/>
    <col min="4" max="4" width="7.85546875" customWidth="1"/>
    <col min="5" max="5" width="7" customWidth="1"/>
    <col min="6" max="6" width="8.42578125" customWidth="1"/>
    <col min="7" max="7" width="7.7109375" customWidth="1"/>
    <col min="8" max="8" width="7.42578125" customWidth="1"/>
    <col min="9" max="9" width="6.7109375" customWidth="1"/>
    <col min="10" max="10" width="6.28515625" customWidth="1"/>
    <col min="11" max="11" width="7.7109375" customWidth="1"/>
    <col min="12" max="12" width="7.140625" customWidth="1"/>
    <col min="13" max="15" width="7.28515625" customWidth="1"/>
    <col min="16" max="16" width="6.85546875" customWidth="1"/>
    <col min="17" max="17" width="7.42578125" customWidth="1"/>
    <col min="18" max="18" width="7" customWidth="1"/>
    <col min="19" max="19" width="7.7109375" customWidth="1"/>
    <col min="20" max="20" width="7.140625" customWidth="1"/>
    <col min="21" max="21" width="7" customWidth="1"/>
    <col min="22" max="22" width="6.140625" customWidth="1"/>
  </cols>
  <sheetData>
    <row r="1" spans="1:22" ht="15">
      <c r="A1" s="48" t="s">
        <v>2245</v>
      </c>
    </row>
    <row r="3" spans="1:22" ht="85.5" customHeight="1">
      <c r="A3" s="16"/>
      <c r="B3" s="74" t="s">
        <v>2142</v>
      </c>
      <c r="C3" s="74" t="s">
        <v>2131</v>
      </c>
      <c r="D3" s="74" t="s">
        <v>2153</v>
      </c>
      <c r="E3" s="74" t="s">
        <v>2148</v>
      </c>
      <c r="F3" s="74" t="s">
        <v>2128</v>
      </c>
      <c r="G3" s="74" t="s">
        <v>2152</v>
      </c>
      <c r="H3" s="74" t="s">
        <v>2114</v>
      </c>
      <c r="I3" s="74" t="s">
        <v>2135</v>
      </c>
      <c r="J3" s="74" t="s">
        <v>2246</v>
      </c>
      <c r="K3" s="74" t="s">
        <v>2126</v>
      </c>
      <c r="L3" s="74" t="s">
        <v>2247</v>
      </c>
      <c r="M3" s="74" t="s">
        <v>2248</v>
      </c>
      <c r="N3" s="74" t="s">
        <v>2249</v>
      </c>
      <c r="O3" s="74" t="s">
        <v>2250</v>
      </c>
      <c r="P3" s="74" t="s">
        <v>2251</v>
      </c>
      <c r="Q3" s="74" t="s">
        <v>2252</v>
      </c>
      <c r="R3" s="74" t="s">
        <v>2253</v>
      </c>
      <c r="S3" s="74" t="s">
        <v>2254</v>
      </c>
      <c r="T3" s="74" t="s">
        <v>2255</v>
      </c>
      <c r="U3" s="74" t="s">
        <v>2256</v>
      </c>
      <c r="V3" s="74" t="s">
        <v>2257</v>
      </c>
    </row>
    <row r="4" spans="1:22" ht="15">
      <c r="A4" s="56" t="s">
        <v>2142</v>
      </c>
      <c r="B4" s="17">
        <v>0</v>
      </c>
      <c r="C4" s="17">
        <v>209</v>
      </c>
      <c r="D4" s="17">
        <v>403</v>
      </c>
      <c r="E4" s="17">
        <v>1071</v>
      </c>
      <c r="F4" s="17">
        <v>1139</v>
      </c>
      <c r="G4" s="17">
        <v>927</v>
      </c>
      <c r="H4" s="17">
        <v>288</v>
      </c>
      <c r="I4" s="17">
        <v>645</v>
      </c>
      <c r="J4" s="17">
        <v>579</v>
      </c>
      <c r="K4" s="17">
        <v>685</v>
      </c>
      <c r="L4" s="17">
        <v>366</v>
      </c>
      <c r="M4" s="17">
        <v>710</v>
      </c>
      <c r="N4" s="17">
        <v>785</v>
      </c>
      <c r="O4" s="17">
        <v>1150</v>
      </c>
      <c r="P4" s="17">
        <v>922</v>
      </c>
      <c r="Q4" s="17">
        <v>334</v>
      </c>
      <c r="R4" s="17">
        <v>296</v>
      </c>
      <c r="S4" s="17">
        <v>286</v>
      </c>
      <c r="T4" s="17">
        <v>175</v>
      </c>
      <c r="U4" s="17">
        <v>262</v>
      </c>
      <c r="V4" s="17">
        <v>234</v>
      </c>
    </row>
    <row r="5" spans="1:22" ht="15">
      <c r="A5" s="56" t="s">
        <v>2131</v>
      </c>
      <c r="B5" s="17">
        <v>209</v>
      </c>
      <c r="C5" s="17">
        <v>0</v>
      </c>
      <c r="D5" s="17">
        <v>218</v>
      </c>
      <c r="E5" s="17">
        <v>1288</v>
      </c>
      <c r="F5" s="17">
        <v>1356</v>
      </c>
      <c r="G5" s="17">
        <v>1144</v>
      </c>
      <c r="H5" s="17">
        <v>506</v>
      </c>
      <c r="I5" s="17">
        <v>862</v>
      </c>
      <c r="J5" s="17">
        <v>796</v>
      </c>
      <c r="K5" s="17">
        <v>902</v>
      </c>
      <c r="L5" s="17">
        <v>583</v>
      </c>
      <c r="M5" s="17">
        <v>928</v>
      </c>
      <c r="N5" s="17">
        <v>1002</v>
      </c>
      <c r="O5" s="17">
        <v>1367</v>
      </c>
      <c r="P5" s="17">
        <v>1139</v>
      </c>
      <c r="Q5" s="17">
        <v>551</v>
      </c>
      <c r="R5" s="17">
        <v>514</v>
      </c>
      <c r="S5" s="17">
        <v>503</v>
      </c>
      <c r="T5" s="17">
        <v>392</v>
      </c>
      <c r="U5" s="17">
        <v>480</v>
      </c>
      <c r="V5" s="17">
        <v>451</v>
      </c>
    </row>
    <row r="6" spans="1:22" ht="15">
      <c r="A6" s="56" t="s">
        <v>2153</v>
      </c>
      <c r="B6" s="17">
        <v>403</v>
      </c>
      <c r="C6" s="17">
        <v>218</v>
      </c>
      <c r="D6" s="17">
        <v>0</v>
      </c>
      <c r="E6" s="17">
        <v>1483</v>
      </c>
      <c r="F6" s="17">
        <v>1551</v>
      </c>
      <c r="G6" s="17">
        <v>1339</v>
      </c>
      <c r="H6" s="17">
        <v>700</v>
      </c>
      <c r="I6" s="17">
        <v>1057</v>
      </c>
      <c r="J6" s="17">
        <v>990</v>
      </c>
      <c r="K6" s="17">
        <v>1096</v>
      </c>
      <c r="L6" s="17">
        <v>778</v>
      </c>
      <c r="M6" s="17">
        <v>1122</v>
      </c>
      <c r="N6" s="17">
        <v>1197</v>
      </c>
      <c r="O6" s="17">
        <v>1561</v>
      </c>
      <c r="P6" s="17">
        <v>1334</v>
      </c>
      <c r="Q6" s="17">
        <v>746</v>
      </c>
      <c r="R6" s="17">
        <v>709</v>
      </c>
      <c r="S6" s="17">
        <v>608</v>
      </c>
      <c r="T6" s="17">
        <v>587</v>
      </c>
      <c r="U6" s="17">
        <v>674</v>
      </c>
      <c r="V6" s="17">
        <v>645</v>
      </c>
    </row>
    <row r="7" spans="1:22" ht="15">
      <c r="A7" s="56" t="s">
        <v>2148</v>
      </c>
      <c r="B7" s="17">
        <v>1071</v>
      </c>
      <c r="C7" s="17">
        <v>1288</v>
      </c>
      <c r="D7" s="17">
        <v>1483</v>
      </c>
      <c r="E7" s="17">
        <v>0</v>
      </c>
      <c r="F7" s="17">
        <v>221</v>
      </c>
      <c r="G7" s="17">
        <v>384</v>
      </c>
      <c r="H7" s="17">
        <v>789</v>
      </c>
      <c r="I7" s="17">
        <v>430</v>
      </c>
      <c r="J7" s="17">
        <v>769</v>
      </c>
      <c r="K7" s="17">
        <v>1441</v>
      </c>
      <c r="L7" s="17">
        <v>1092</v>
      </c>
      <c r="M7" s="17">
        <v>1222</v>
      </c>
      <c r="N7" s="17">
        <v>980</v>
      </c>
      <c r="O7" s="17">
        <v>1221</v>
      </c>
      <c r="P7" s="17">
        <v>1080</v>
      </c>
      <c r="Q7" s="17">
        <v>1099</v>
      </c>
      <c r="R7" s="17">
        <v>1062</v>
      </c>
      <c r="S7" s="17">
        <v>1052</v>
      </c>
      <c r="T7" s="17">
        <v>924</v>
      </c>
      <c r="U7" s="17">
        <v>964</v>
      </c>
      <c r="V7" s="17">
        <v>999</v>
      </c>
    </row>
    <row r="8" spans="1:22" ht="15">
      <c r="A8" s="56" t="s">
        <v>2128</v>
      </c>
      <c r="B8" s="17">
        <v>1139</v>
      </c>
      <c r="C8" s="17">
        <v>1356</v>
      </c>
      <c r="D8" s="17">
        <v>1551</v>
      </c>
      <c r="E8" s="17">
        <v>221</v>
      </c>
      <c r="F8" s="17">
        <v>0</v>
      </c>
      <c r="G8" s="17">
        <v>217</v>
      </c>
      <c r="H8" s="17">
        <v>686</v>
      </c>
      <c r="I8" s="17">
        <v>505</v>
      </c>
      <c r="J8" s="17">
        <v>609</v>
      </c>
      <c r="K8" s="17">
        <v>1374</v>
      </c>
      <c r="L8" s="17">
        <v>1071</v>
      </c>
      <c r="M8" s="17">
        <v>1062</v>
      </c>
      <c r="N8" s="17">
        <v>820</v>
      </c>
      <c r="O8" s="17">
        <v>1061</v>
      </c>
      <c r="P8" s="17">
        <v>920</v>
      </c>
      <c r="Q8" s="17">
        <v>1166</v>
      </c>
      <c r="R8" s="17">
        <v>1129</v>
      </c>
      <c r="S8" s="17">
        <v>1101</v>
      </c>
      <c r="T8" s="17">
        <v>991</v>
      </c>
      <c r="U8" s="17">
        <v>1031</v>
      </c>
      <c r="V8" s="17">
        <v>1066</v>
      </c>
    </row>
    <row r="9" spans="1:22" ht="15">
      <c r="A9" s="56" t="s">
        <v>2152</v>
      </c>
      <c r="B9" s="17">
        <v>927</v>
      </c>
      <c r="C9" s="17">
        <v>1144</v>
      </c>
      <c r="D9" s="17">
        <v>1339</v>
      </c>
      <c r="E9" s="17">
        <v>384</v>
      </c>
      <c r="F9" s="17">
        <v>217</v>
      </c>
      <c r="G9" s="17">
        <v>0</v>
      </c>
      <c r="H9" s="17">
        <v>644</v>
      </c>
      <c r="I9" s="17">
        <v>395</v>
      </c>
      <c r="J9" s="17">
        <v>397</v>
      </c>
      <c r="K9" s="17">
        <v>1161</v>
      </c>
      <c r="L9" s="17">
        <v>859</v>
      </c>
      <c r="M9" s="17">
        <v>850</v>
      </c>
      <c r="N9" s="17">
        <v>607</v>
      </c>
      <c r="O9" s="17">
        <v>849</v>
      </c>
      <c r="P9" s="17">
        <v>707</v>
      </c>
      <c r="Q9" s="17">
        <v>945</v>
      </c>
      <c r="R9" s="17">
        <v>917</v>
      </c>
      <c r="S9" s="17">
        <v>889</v>
      </c>
      <c r="T9" s="17">
        <v>779</v>
      </c>
      <c r="U9" s="17">
        <v>819</v>
      </c>
      <c r="V9" s="17">
        <v>854</v>
      </c>
    </row>
    <row r="10" spans="1:22" ht="15">
      <c r="A10" s="56" t="s">
        <v>2114</v>
      </c>
      <c r="B10" s="17">
        <v>288</v>
      </c>
      <c r="C10" s="17">
        <v>506</v>
      </c>
      <c r="D10" s="17">
        <v>700</v>
      </c>
      <c r="E10" s="17">
        <v>789</v>
      </c>
      <c r="F10" s="17">
        <v>686</v>
      </c>
      <c r="G10" s="17">
        <v>644</v>
      </c>
      <c r="H10" s="17">
        <v>0</v>
      </c>
      <c r="I10" s="17">
        <v>362</v>
      </c>
      <c r="J10" s="17">
        <v>290</v>
      </c>
      <c r="K10" s="17">
        <v>654</v>
      </c>
      <c r="L10" s="17">
        <v>305</v>
      </c>
      <c r="M10" s="17">
        <v>523</v>
      </c>
      <c r="N10" s="17">
        <v>529</v>
      </c>
      <c r="O10" s="17">
        <v>892</v>
      </c>
      <c r="P10" s="17">
        <v>664</v>
      </c>
      <c r="Q10" s="17">
        <v>313</v>
      </c>
      <c r="R10" s="17">
        <v>275</v>
      </c>
      <c r="S10" s="17">
        <v>265</v>
      </c>
      <c r="T10" s="17">
        <v>137</v>
      </c>
      <c r="U10" s="17">
        <v>177</v>
      </c>
      <c r="V10" s="17">
        <v>212</v>
      </c>
    </row>
    <row r="11" spans="1:22" ht="15">
      <c r="A11" s="56" t="s">
        <v>2135</v>
      </c>
      <c r="B11" s="17">
        <v>645</v>
      </c>
      <c r="C11" s="17">
        <v>862</v>
      </c>
      <c r="D11" s="17">
        <v>1057</v>
      </c>
      <c r="E11" s="17">
        <v>430</v>
      </c>
      <c r="F11" s="17">
        <v>505</v>
      </c>
      <c r="G11" s="17">
        <v>395</v>
      </c>
      <c r="H11" s="17">
        <v>362</v>
      </c>
      <c r="I11" s="17">
        <v>0</v>
      </c>
      <c r="J11" s="17">
        <v>365</v>
      </c>
      <c r="K11" s="17">
        <v>1014</v>
      </c>
      <c r="L11" s="17">
        <v>664</v>
      </c>
      <c r="M11" s="17">
        <v>827</v>
      </c>
      <c r="N11" s="17">
        <v>630</v>
      </c>
      <c r="O11" s="17">
        <v>936</v>
      </c>
      <c r="P11" s="17">
        <v>750</v>
      </c>
      <c r="Q11" s="17">
        <v>672</v>
      </c>
      <c r="R11" s="17">
        <v>635</v>
      </c>
      <c r="S11" s="17">
        <v>624</v>
      </c>
      <c r="T11" s="17">
        <v>496</v>
      </c>
      <c r="U11" s="17">
        <v>537</v>
      </c>
      <c r="V11" s="17">
        <v>572</v>
      </c>
    </row>
    <row r="12" spans="1:22" ht="15">
      <c r="A12" s="56" t="s">
        <v>2246</v>
      </c>
      <c r="B12" s="17">
        <v>579</v>
      </c>
      <c r="C12" s="17">
        <v>796</v>
      </c>
      <c r="D12" s="17">
        <v>990</v>
      </c>
      <c r="E12" s="17">
        <v>769</v>
      </c>
      <c r="F12" s="17">
        <v>609</v>
      </c>
      <c r="G12" s="17">
        <v>397</v>
      </c>
      <c r="H12" s="17">
        <v>290</v>
      </c>
      <c r="I12" s="17">
        <v>365</v>
      </c>
      <c r="J12" s="17">
        <v>0</v>
      </c>
      <c r="K12" s="17">
        <v>767</v>
      </c>
      <c r="L12" s="17">
        <v>464</v>
      </c>
      <c r="M12" s="17">
        <v>455</v>
      </c>
      <c r="N12" s="17">
        <v>278</v>
      </c>
      <c r="O12" s="17">
        <v>626</v>
      </c>
      <c r="P12" s="17">
        <v>399</v>
      </c>
      <c r="Q12" s="17">
        <v>575</v>
      </c>
      <c r="R12" s="17">
        <v>537</v>
      </c>
      <c r="S12" s="17">
        <v>493</v>
      </c>
      <c r="T12" s="17">
        <v>428</v>
      </c>
      <c r="U12" s="17">
        <v>44</v>
      </c>
      <c r="V12" s="17">
        <v>477</v>
      </c>
    </row>
    <row r="13" spans="1:22" ht="15">
      <c r="A13" s="56" t="s">
        <v>2126</v>
      </c>
      <c r="B13" s="17">
        <v>685</v>
      </c>
      <c r="C13" s="17">
        <v>902</v>
      </c>
      <c r="D13" s="17">
        <v>1096</v>
      </c>
      <c r="E13" s="17">
        <v>1441</v>
      </c>
      <c r="F13" s="17">
        <v>1374</v>
      </c>
      <c r="G13" s="17">
        <v>1161</v>
      </c>
      <c r="H13" s="17">
        <v>654</v>
      </c>
      <c r="I13" s="17">
        <v>1014</v>
      </c>
      <c r="J13" s="17">
        <v>767</v>
      </c>
      <c r="K13" s="17">
        <v>0</v>
      </c>
      <c r="L13" s="17">
        <v>357</v>
      </c>
      <c r="M13" s="17">
        <v>364</v>
      </c>
      <c r="N13" s="17">
        <v>644</v>
      </c>
      <c r="O13" s="17">
        <v>943</v>
      </c>
      <c r="P13" s="17">
        <v>715</v>
      </c>
      <c r="Q13" s="17">
        <v>408</v>
      </c>
      <c r="R13" s="17">
        <v>403</v>
      </c>
      <c r="S13" s="17">
        <v>399</v>
      </c>
      <c r="T13" s="17">
        <v>403</v>
      </c>
      <c r="U13" s="17">
        <v>483</v>
      </c>
      <c r="V13" s="17">
        <v>452</v>
      </c>
    </row>
    <row r="14" spans="1:22" ht="15">
      <c r="A14" s="56" t="s">
        <v>2247</v>
      </c>
      <c r="B14" s="17">
        <v>366</v>
      </c>
      <c r="C14" s="17">
        <v>583</v>
      </c>
      <c r="D14" s="17">
        <v>778</v>
      </c>
      <c r="E14" s="17">
        <v>1092</v>
      </c>
      <c r="F14" s="17">
        <v>1071</v>
      </c>
      <c r="G14" s="17">
        <v>859</v>
      </c>
      <c r="H14" s="17">
        <v>305</v>
      </c>
      <c r="I14" s="17">
        <v>664</v>
      </c>
      <c r="J14" s="17">
        <v>464</v>
      </c>
      <c r="K14" s="17">
        <v>357</v>
      </c>
      <c r="L14" s="17">
        <v>0</v>
      </c>
      <c r="M14" s="17">
        <v>358</v>
      </c>
      <c r="N14" s="17">
        <v>514</v>
      </c>
      <c r="O14" s="17">
        <v>879</v>
      </c>
      <c r="P14" s="17">
        <v>651</v>
      </c>
      <c r="Q14" s="17">
        <v>166</v>
      </c>
      <c r="R14" s="17">
        <v>165</v>
      </c>
      <c r="S14" s="17">
        <v>95</v>
      </c>
      <c r="T14" s="17">
        <v>205</v>
      </c>
      <c r="U14" s="17">
        <v>137</v>
      </c>
      <c r="V14" s="17">
        <v>137</v>
      </c>
    </row>
    <row r="15" spans="1:22" ht="15">
      <c r="A15" s="56" t="s">
        <v>2248</v>
      </c>
      <c r="B15" s="17">
        <v>710</v>
      </c>
      <c r="C15" s="17">
        <v>928</v>
      </c>
      <c r="D15" s="17">
        <v>1122</v>
      </c>
      <c r="E15" s="17">
        <v>1222</v>
      </c>
      <c r="F15" s="17">
        <v>1062</v>
      </c>
      <c r="G15" s="17">
        <v>850</v>
      </c>
      <c r="H15" s="17">
        <v>523</v>
      </c>
      <c r="I15" s="17">
        <v>827</v>
      </c>
      <c r="J15" s="17">
        <v>455</v>
      </c>
      <c r="K15" s="17">
        <v>364</v>
      </c>
      <c r="L15" s="17">
        <v>358</v>
      </c>
      <c r="M15" s="17">
        <v>0</v>
      </c>
      <c r="N15" s="17">
        <v>307</v>
      </c>
      <c r="O15" s="17">
        <v>578</v>
      </c>
      <c r="P15" s="17">
        <v>350</v>
      </c>
      <c r="Q15" s="17">
        <v>514</v>
      </c>
      <c r="R15" s="17">
        <v>522</v>
      </c>
      <c r="S15" s="17">
        <v>452</v>
      </c>
      <c r="T15" s="17">
        <v>555</v>
      </c>
      <c r="U15" s="17">
        <v>487</v>
      </c>
      <c r="V15" s="17">
        <v>487</v>
      </c>
    </row>
    <row r="16" spans="1:22" ht="15">
      <c r="A16" s="56" t="s">
        <v>2249</v>
      </c>
      <c r="B16" s="17">
        <v>785</v>
      </c>
      <c r="C16" s="17">
        <v>1002</v>
      </c>
      <c r="D16" s="17">
        <v>1197</v>
      </c>
      <c r="E16" s="17">
        <v>980</v>
      </c>
      <c r="F16" s="17">
        <v>820</v>
      </c>
      <c r="G16" s="17">
        <v>607</v>
      </c>
      <c r="H16" s="17">
        <v>529</v>
      </c>
      <c r="I16" s="17">
        <v>630</v>
      </c>
      <c r="J16" s="17">
        <v>278</v>
      </c>
      <c r="K16" s="17">
        <v>644</v>
      </c>
      <c r="L16" s="17">
        <v>514</v>
      </c>
      <c r="M16" s="17">
        <v>307</v>
      </c>
      <c r="N16" s="17">
        <v>0</v>
      </c>
      <c r="O16" s="17">
        <v>363</v>
      </c>
      <c r="P16" s="17">
        <v>136</v>
      </c>
      <c r="Q16" s="17">
        <v>670</v>
      </c>
      <c r="R16" s="17">
        <v>647</v>
      </c>
      <c r="S16" s="17">
        <v>618</v>
      </c>
      <c r="T16" s="17">
        <v>636</v>
      </c>
      <c r="U16" s="17">
        <v>551</v>
      </c>
      <c r="V16" s="17">
        <v>587</v>
      </c>
    </row>
    <row r="17" spans="1:22" ht="15">
      <c r="A17" s="56" t="s">
        <v>2250</v>
      </c>
      <c r="B17" s="17">
        <v>1150</v>
      </c>
      <c r="C17" s="17">
        <v>1367</v>
      </c>
      <c r="D17" s="17">
        <v>1561</v>
      </c>
      <c r="E17" s="17">
        <v>1221</v>
      </c>
      <c r="F17" s="17">
        <v>1061</v>
      </c>
      <c r="G17" s="17">
        <v>849</v>
      </c>
      <c r="H17" s="17">
        <v>892</v>
      </c>
      <c r="I17" s="17">
        <v>936</v>
      </c>
      <c r="J17" s="17">
        <v>626</v>
      </c>
      <c r="K17" s="17">
        <v>943</v>
      </c>
      <c r="L17" s="17">
        <v>879</v>
      </c>
      <c r="M17" s="17">
        <v>578</v>
      </c>
      <c r="N17" s="17">
        <v>363</v>
      </c>
      <c r="O17" s="17">
        <v>0</v>
      </c>
      <c r="P17" s="17">
        <v>248</v>
      </c>
      <c r="Q17" s="17">
        <v>1041</v>
      </c>
      <c r="R17" s="17">
        <v>1018</v>
      </c>
      <c r="S17" s="17">
        <v>964</v>
      </c>
      <c r="T17" s="17">
        <v>1006</v>
      </c>
      <c r="U17" s="17">
        <v>921</v>
      </c>
      <c r="V17" s="17">
        <v>958</v>
      </c>
    </row>
    <row r="18" spans="1:22" ht="15">
      <c r="A18" s="56" t="s">
        <v>2251</v>
      </c>
      <c r="B18" s="17">
        <v>922</v>
      </c>
      <c r="C18" s="17">
        <v>1139</v>
      </c>
      <c r="D18" s="17">
        <v>1334</v>
      </c>
      <c r="E18" s="17">
        <v>1080</v>
      </c>
      <c r="F18" s="17">
        <v>920</v>
      </c>
      <c r="G18" s="17">
        <v>707</v>
      </c>
      <c r="H18" s="17">
        <v>664</v>
      </c>
      <c r="I18" s="17">
        <v>750</v>
      </c>
      <c r="J18" s="17">
        <v>399</v>
      </c>
      <c r="K18" s="17">
        <v>715</v>
      </c>
      <c r="L18" s="17">
        <v>651</v>
      </c>
      <c r="M18" s="17">
        <v>350</v>
      </c>
      <c r="N18" s="17">
        <v>136</v>
      </c>
      <c r="O18" s="17">
        <v>248</v>
      </c>
      <c r="P18" s="17">
        <v>0</v>
      </c>
      <c r="Q18" s="17">
        <v>808</v>
      </c>
      <c r="R18" s="17">
        <v>75</v>
      </c>
      <c r="S18" s="17">
        <v>731</v>
      </c>
      <c r="T18" s="17">
        <v>774</v>
      </c>
      <c r="U18" s="17">
        <v>689</v>
      </c>
      <c r="V18" s="17">
        <v>725</v>
      </c>
    </row>
    <row r="19" spans="1:22" ht="15">
      <c r="A19" s="56" t="s">
        <v>2252</v>
      </c>
      <c r="B19" s="17">
        <v>334</v>
      </c>
      <c r="C19" s="17">
        <v>551</v>
      </c>
      <c r="D19" s="17">
        <v>746</v>
      </c>
      <c r="E19" s="17">
        <v>1099</v>
      </c>
      <c r="F19" s="17">
        <v>1166</v>
      </c>
      <c r="G19" s="17">
        <v>954</v>
      </c>
      <c r="H19" s="17">
        <v>313</v>
      </c>
      <c r="I19" s="17">
        <v>672</v>
      </c>
      <c r="J19" s="17">
        <v>575</v>
      </c>
      <c r="K19" s="17">
        <v>408</v>
      </c>
      <c r="L19" s="17">
        <v>166</v>
      </c>
      <c r="M19" s="17">
        <v>514</v>
      </c>
      <c r="N19" s="17">
        <v>670</v>
      </c>
      <c r="O19" s="17">
        <v>1041</v>
      </c>
      <c r="P19" s="17">
        <v>808</v>
      </c>
      <c r="Q19" s="17">
        <v>0</v>
      </c>
      <c r="R19" s="17">
        <v>50</v>
      </c>
      <c r="S19" s="17">
        <v>76</v>
      </c>
      <c r="T19" s="17">
        <v>178</v>
      </c>
      <c r="U19" s="17">
        <v>170</v>
      </c>
      <c r="V19" s="17">
        <v>99</v>
      </c>
    </row>
    <row r="20" spans="1:22" ht="15">
      <c r="A20" s="56" t="s">
        <v>2253</v>
      </c>
      <c r="B20" s="19">
        <v>296</v>
      </c>
      <c r="C20" s="19">
        <v>514</v>
      </c>
      <c r="D20" s="19">
        <v>709</v>
      </c>
      <c r="E20" s="19">
        <v>1062</v>
      </c>
      <c r="F20" s="19">
        <v>1129</v>
      </c>
      <c r="G20" s="19">
        <v>917</v>
      </c>
      <c r="H20" s="19">
        <v>275</v>
      </c>
      <c r="I20" s="19">
        <v>635</v>
      </c>
      <c r="J20" s="19">
        <v>537</v>
      </c>
      <c r="K20" s="19">
        <v>430</v>
      </c>
      <c r="L20" s="19">
        <v>165</v>
      </c>
      <c r="M20" s="19">
        <v>522</v>
      </c>
      <c r="N20" s="19">
        <v>647</v>
      </c>
      <c r="O20" s="19">
        <v>1018</v>
      </c>
      <c r="P20" s="19">
        <v>785</v>
      </c>
      <c r="Q20" s="19">
        <v>50</v>
      </c>
      <c r="R20" s="19">
        <v>0</v>
      </c>
      <c r="S20" s="19">
        <v>69</v>
      </c>
      <c r="T20" s="19">
        <v>141</v>
      </c>
      <c r="U20" s="19">
        <v>132</v>
      </c>
      <c r="V20" s="19">
        <v>61</v>
      </c>
    </row>
    <row r="21" spans="1:22" ht="15">
      <c r="A21" s="56" t="s">
        <v>2254</v>
      </c>
      <c r="B21" s="17">
        <v>286</v>
      </c>
      <c r="C21" s="17">
        <v>503</v>
      </c>
      <c r="D21" s="17">
        <v>608</v>
      </c>
      <c r="E21" s="17">
        <v>1052</v>
      </c>
      <c r="F21" s="17">
        <v>1101</v>
      </c>
      <c r="G21" s="17">
        <v>889</v>
      </c>
      <c r="H21" s="17">
        <v>265</v>
      </c>
      <c r="I21" s="17">
        <v>624</v>
      </c>
      <c r="J21" s="17">
        <v>493</v>
      </c>
      <c r="K21" s="17">
        <v>399</v>
      </c>
      <c r="L21" s="17">
        <v>95</v>
      </c>
      <c r="M21" s="17">
        <v>452</v>
      </c>
      <c r="N21" s="17">
        <v>593</v>
      </c>
      <c r="O21" s="17">
        <v>964</v>
      </c>
      <c r="P21" s="17">
        <v>731</v>
      </c>
      <c r="Q21" s="17">
        <v>76</v>
      </c>
      <c r="R21" s="17">
        <v>69</v>
      </c>
      <c r="S21" s="17">
        <v>0</v>
      </c>
      <c r="T21" s="17">
        <v>132</v>
      </c>
      <c r="U21" s="17">
        <v>123</v>
      </c>
      <c r="V21" s="17">
        <v>58</v>
      </c>
    </row>
    <row r="22" spans="1:22">
      <c r="A22" s="56" t="s">
        <v>2255</v>
      </c>
      <c r="B22" s="17">
        <v>175</v>
      </c>
      <c r="C22" s="17">
        <v>392</v>
      </c>
      <c r="D22" s="17">
        <v>587</v>
      </c>
      <c r="E22" s="17">
        <v>924</v>
      </c>
      <c r="F22" s="17">
        <v>991</v>
      </c>
      <c r="G22" s="17">
        <v>779</v>
      </c>
      <c r="H22" s="17">
        <v>137</v>
      </c>
      <c r="I22" s="17">
        <v>496</v>
      </c>
      <c r="J22" s="17">
        <v>428</v>
      </c>
      <c r="K22" s="17">
        <v>403</v>
      </c>
      <c r="L22" s="17">
        <v>205</v>
      </c>
      <c r="M22" s="17">
        <v>555</v>
      </c>
      <c r="N22" s="17">
        <v>636</v>
      </c>
      <c r="O22" s="17">
        <v>1006</v>
      </c>
      <c r="P22" s="17">
        <v>774</v>
      </c>
      <c r="Q22" s="17">
        <v>178</v>
      </c>
      <c r="R22" s="17">
        <v>141</v>
      </c>
      <c r="S22" s="17">
        <v>132</v>
      </c>
      <c r="T22" s="17">
        <v>0</v>
      </c>
      <c r="U22" s="17">
        <v>76</v>
      </c>
      <c r="V22" s="17">
        <v>78</v>
      </c>
    </row>
    <row r="23" spans="1:22">
      <c r="A23" s="56" t="s">
        <v>2256</v>
      </c>
      <c r="B23" s="17">
        <v>262</v>
      </c>
      <c r="C23" s="17">
        <v>480</v>
      </c>
      <c r="D23" s="17">
        <v>674</v>
      </c>
      <c r="E23" s="17">
        <v>964</v>
      </c>
      <c r="F23" s="17">
        <v>1031</v>
      </c>
      <c r="G23" s="17">
        <v>819</v>
      </c>
      <c r="H23" s="17">
        <v>177</v>
      </c>
      <c r="I23" s="17">
        <v>537</v>
      </c>
      <c r="J23" s="17">
        <v>441</v>
      </c>
      <c r="K23" s="17">
        <v>483</v>
      </c>
      <c r="L23" s="17">
        <v>137</v>
      </c>
      <c r="M23" s="17">
        <v>487</v>
      </c>
      <c r="N23" s="17">
        <v>551</v>
      </c>
      <c r="O23" s="17">
        <v>921</v>
      </c>
      <c r="P23" s="17">
        <v>689</v>
      </c>
      <c r="Q23" s="17">
        <v>170</v>
      </c>
      <c r="R23" s="17">
        <v>132</v>
      </c>
      <c r="S23" s="17">
        <v>123</v>
      </c>
      <c r="T23" s="17">
        <v>76</v>
      </c>
      <c r="U23" s="17">
        <v>0</v>
      </c>
      <c r="V23" s="17">
        <v>66</v>
      </c>
    </row>
    <row r="24" spans="1:22">
      <c r="A24" s="56" t="s">
        <v>2257</v>
      </c>
      <c r="B24" s="17">
        <v>234</v>
      </c>
      <c r="C24" s="17">
        <v>451</v>
      </c>
      <c r="D24" s="17">
        <v>645</v>
      </c>
      <c r="E24" s="17">
        <v>999</v>
      </c>
      <c r="F24" s="17">
        <v>1066</v>
      </c>
      <c r="G24" s="17">
        <v>854</v>
      </c>
      <c r="H24" s="17">
        <v>212</v>
      </c>
      <c r="I24" s="17">
        <v>572</v>
      </c>
      <c r="J24" s="17">
        <v>477</v>
      </c>
      <c r="K24" s="17">
        <v>452</v>
      </c>
      <c r="L24" s="17">
        <v>137</v>
      </c>
      <c r="M24" s="17">
        <v>487</v>
      </c>
      <c r="N24" s="17">
        <v>587</v>
      </c>
      <c r="O24" s="17">
        <v>958</v>
      </c>
      <c r="P24" s="17">
        <v>725</v>
      </c>
      <c r="Q24" s="17">
        <v>99</v>
      </c>
      <c r="R24" s="17">
        <v>61</v>
      </c>
      <c r="S24" s="17">
        <v>58</v>
      </c>
      <c r="T24" s="17">
        <v>78</v>
      </c>
      <c r="U24" s="17">
        <v>66</v>
      </c>
      <c r="V24" s="17">
        <v>0</v>
      </c>
    </row>
    <row r="27" spans="1:22">
      <c r="A27" s="70" t="s">
        <v>2258</v>
      </c>
      <c r="B27" s="20" t="s">
        <v>2148</v>
      </c>
      <c r="D27" s="48" t="s">
        <v>2259</v>
      </c>
    </row>
    <row r="28" spans="1:22">
      <c r="A28" s="70" t="s">
        <v>2260</v>
      </c>
      <c r="B28" s="20" t="s">
        <v>2128</v>
      </c>
      <c r="D28" s="48" t="s">
        <v>2261</v>
      </c>
    </row>
    <row r="29" spans="1:22" ht="15">
      <c r="A29" s="70" t="s">
        <v>2262</v>
      </c>
      <c r="B29" s="20">
        <f>INDEX($B$4:$V$24,MATCH($B$27,$A$4:$A$24,0),MATCH($B$28,$B$3:$V$3,0))</f>
        <v>221</v>
      </c>
    </row>
    <row r="30" spans="1:22">
      <c r="A30" s="70" t="s">
        <v>2263</v>
      </c>
      <c r="B30" s="20">
        <f>VLOOKUP(B27,$A$4:$V$24,MATCH(B28,$A$3:$V$3,0),FALSE)</f>
        <v>221</v>
      </c>
    </row>
    <row r="32" spans="1:22" ht="15">
      <c r="F32" s="31" t="s">
        <v>52</v>
      </c>
      <c r="G32" s="31" t="s">
        <v>53</v>
      </c>
    </row>
    <row r="33" spans="6:7">
      <c r="F33" s="15" t="s">
        <v>0</v>
      </c>
      <c r="G33" s="15">
        <v>5</v>
      </c>
    </row>
    <row r="34" spans="6:7">
      <c r="F34" s="15" t="s">
        <v>2</v>
      </c>
      <c r="G34" s="15">
        <v>5</v>
      </c>
    </row>
  </sheetData>
  <dataValidations count="2">
    <dataValidation type="list" allowBlank="1" showInputMessage="1" showErrorMessage="1" sqref="B27" xr:uid="{104A10B8-4BA6-4D9D-9AD8-7E18417B46D2}">
      <formula1>$A$4:$A$24</formula1>
    </dataValidation>
    <dataValidation type="list" allowBlank="1" showInputMessage="1" showErrorMessage="1" sqref="B28" xr:uid="{38074CAE-80E2-4343-AAAB-E8DBBC4C1AB8}">
      <formula1>$B$3:$V$3</formula1>
    </dataValidation>
  </dataValidation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30"/>
  <sheetViews>
    <sheetView tabSelected="1" topLeftCell="B4" workbookViewId="0">
      <selection activeCell="G12" sqref="G12"/>
    </sheetView>
  </sheetViews>
  <sheetFormatPr defaultRowHeight="14.45"/>
  <cols>
    <col min="1" max="1" width="15.42578125" customWidth="1"/>
    <col min="2" max="2" width="18.7109375" bestFit="1" customWidth="1"/>
    <col min="3" max="3" width="24.5703125" bestFit="1" customWidth="1"/>
    <col min="4" max="4" width="22.5703125" bestFit="1" customWidth="1"/>
    <col min="5" max="5" width="28.5703125" bestFit="1" customWidth="1"/>
    <col min="6" max="6" width="21.42578125" bestFit="1" customWidth="1"/>
    <col min="7" max="7" width="16.85546875" bestFit="1" customWidth="1"/>
    <col min="8" max="8" width="11.42578125" customWidth="1"/>
    <col min="9" max="9" width="13.7109375" customWidth="1"/>
    <col min="11" max="11" width="11.42578125" bestFit="1" customWidth="1"/>
  </cols>
  <sheetData>
    <row r="1" spans="1:26">
      <c r="A1" s="69" t="s">
        <v>2264</v>
      </c>
      <c r="B1" s="69" t="s">
        <v>2265</v>
      </c>
      <c r="C1" s="69" t="s">
        <v>2266</v>
      </c>
      <c r="D1" s="69" t="s">
        <v>2267</v>
      </c>
      <c r="E1" s="69" t="s">
        <v>2268</v>
      </c>
      <c r="F1" s="69" t="s">
        <v>2269</v>
      </c>
      <c r="G1" s="69" t="s">
        <v>2270</v>
      </c>
      <c r="H1" s="69" t="s">
        <v>2271</v>
      </c>
      <c r="I1" s="69" t="s">
        <v>2272</v>
      </c>
    </row>
    <row r="2" spans="1:26">
      <c r="A2" s="31" t="s">
        <v>2273</v>
      </c>
      <c r="B2" s="15" t="s">
        <v>2274</v>
      </c>
      <c r="C2" s="15" t="s">
        <v>2275</v>
      </c>
      <c r="D2" s="15" t="s">
        <v>2276</v>
      </c>
      <c r="E2" s="15" t="s">
        <v>2277</v>
      </c>
      <c r="F2" s="15" t="s">
        <v>2278</v>
      </c>
      <c r="G2" s="15" t="s">
        <v>2279</v>
      </c>
      <c r="H2" s="15" t="s">
        <v>2280</v>
      </c>
      <c r="I2" s="15" t="s">
        <v>2281</v>
      </c>
    </row>
    <row r="3" spans="1:26">
      <c r="A3" s="31" t="s">
        <v>2282</v>
      </c>
      <c r="B3" s="15" t="s">
        <v>2283</v>
      </c>
      <c r="C3" s="15" t="s">
        <v>2284</v>
      </c>
      <c r="D3" s="15" t="s">
        <v>2285</v>
      </c>
      <c r="E3" s="15" t="s">
        <v>2286</v>
      </c>
      <c r="F3" s="15" t="s">
        <v>2287</v>
      </c>
      <c r="G3" s="15" t="s">
        <v>2288</v>
      </c>
      <c r="H3" s="15" t="s">
        <v>2289</v>
      </c>
      <c r="I3" s="15" t="s">
        <v>2290</v>
      </c>
      <c r="K3" s="23">
        <v>36526</v>
      </c>
    </row>
    <row r="4" spans="1:26">
      <c r="A4" s="31" t="s">
        <v>2291</v>
      </c>
      <c r="B4" s="15" t="s">
        <v>2292</v>
      </c>
      <c r="C4" s="15" t="s">
        <v>2293</v>
      </c>
      <c r="D4" s="15" t="s">
        <v>2294</v>
      </c>
      <c r="E4" s="15" t="s">
        <v>2295</v>
      </c>
      <c r="F4" s="15" t="s">
        <v>2296</v>
      </c>
      <c r="G4" s="15"/>
      <c r="H4" s="15"/>
      <c r="I4" s="15"/>
    </row>
    <row r="5" spans="1:26">
      <c r="A5" s="31" t="s">
        <v>2297</v>
      </c>
      <c r="B5" s="15" t="s">
        <v>2298</v>
      </c>
      <c r="C5" s="15" t="s">
        <v>2299</v>
      </c>
      <c r="D5" s="15" t="s">
        <v>2300</v>
      </c>
      <c r="E5" s="15" t="s">
        <v>2301</v>
      </c>
      <c r="F5" s="15"/>
      <c r="G5" s="15"/>
      <c r="H5" s="15"/>
      <c r="I5" s="15"/>
    </row>
    <row r="6" spans="1:26">
      <c r="A6" s="31" t="s">
        <v>2302</v>
      </c>
      <c r="B6" s="15" t="s">
        <v>2303</v>
      </c>
      <c r="C6" s="15" t="s">
        <v>2304</v>
      </c>
      <c r="D6" s="15" t="s">
        <v>2305</v>
      </c>
      <c r="E6" s="15" t="s">
        <v>2306</v>
      </c>
      <c r="F6" s="15" t="s">
        <v>2307</v>
      </c>
      <c r="G6" s="15" t="s">
        <v>2295</v>
      </c>
      <c r="H6" s="15"/>
      <c r="I6" s="15"/>
    </row>
    <row r="9" spans="1:26">
      <c r="A9" s="48" t="s">
        <v>2308</v>
      </c>
    </row>
    <row r="11" spans="1:26">
      <c r="A11" s="71" t="s">
        <v>23</v>
      </c>
      <c r="B11" s="71" t="s">
        <v>2309</v>
      </c>
      <c r="C11" s="71" t="s">
        <v>2310</v>
      </c>
      <c r="D11" s="71" t="s">
        <v>2311</v>
      </c>
      <c r="E11" s="71" t="s">
        <v>2312</v>
      </c>
      <c r="F11" s="71" t="s">
        <v>2264</v>
      </c>
      <c r="G11" s="71" t="s">
        <v>2313</v>
      </c>
      <c r="I11" s="48"/>
    </row>
    <row r="12" spans="1:26" ht="15">
      <c r="A12" s="15" t="s">
        <v>2314</v>
      </c>
      <c r="B12" s="13">
        <f ca="1">EOMONTH($K$3,RANDBETWEEN(1,24))</f>
        <v>36738</v>
      </c>
      <c r="C12" s="15">
        <f ca="1">RANDBETWEEN(18,25)</f>
        <v>25</v>
      </c>
      <c r="D12" s="15">
        <v>9830150145</v>
      </c>
      <c r="E12" s="96" t="str">
        <f>_xlfn.CONCAT(LOWER(A12),"@gmail.com")</f>
        <v>arjun sharma@gmail.com</v>
      </c>
      <c r="F12" s="15" t="s">
        <v>2297</v>
      </c>
      <c r="G12" s="15" t="s">
        <v>2300</v>
      </c>
      <c r="I12" s="48" t="s">
        <v>2315</v>
      </c>
      <c r="S12" t="str" cm="1">
        <f t="array" ref="S12:Z12">_xlfn.XLOOKUP($F12,$A$2:$A$6,$B$2:$I$6,,0)</f>
        <v>Web Development</v>
      </c>
      <c r="T12" t="str">
        <v>Operating Systems</v>
      </c>
      <c r="U12" t="str">
        <v>Computer Networks</v>
      </c>
      <c r="V12" t="str">
        <v>Data Science</v>
      </c>
      <c r="W12">
        <v>0</v>
      </c>
      <c r="X12">
        <v>0</v>
      </c>
      <c r="Y12">
        <v>0</v>
      </c>
      <c r="Z12">
        <v>0</v>
      </c>
    </row>
    <row r="13" spans="1:26" ht="15">
      <c r="A13" s="15" t="s">
        <v>2316</v>
      </c>
      <c r="B13" s="13">
        <f t="shared" ref="B13:B30" ca="1" si="0">EOMONTH(K4,RANDBETWEEN(1,24))</f>
        <v>486</v>
      </c>
      <c r="C13" s="15">
        <f t="shared" ref="C13:C29" ca="1" si="1">RANDBETWEEN(18,25)</f>
        <v>18</v>
      </c>
      <c r="D13" s="15">
        <v>9051019609</v>
      </c>
      <c r="E13" s="96" t="str">
        <f t="shared" ref="E13:E30" si="2">_xlfn.CONCAT(LOWER(A13),"@gmail.com")</f>
        <v>priya iyer@gmail.com</v>
      </c>
      <c r="F13" s="15"/>
      <c r="G13" s="15"/>
      <c r="I13" s="48" t="s">
        <v>2317</v>
      </c>
    </row>
    <row r="14" spans="1:26" ht="15">
      <c r="A14" s="15" t="s">
        <v>2318</v>
      </c>
      <c r="B14" s="13">
        <f t="shared" ca="1" si="0"/>
        <v>670</v>
      </c>
      <c r="C14" s="15">
        <f t="shared" ca="1" si="1"/>
        <v>22</v>
      </c>
      <c r="D14" s="15">
        <v>9038960901</v>
      </c>
      <c r="E14" s="96" t="str">
        <f t="shared" si="2"/>
        <v>rohan mehta@gmail.com</v>
      </c>
      <c r="F14" s="15"/>
      <c r="G14" s="15"/>
      <c r="I14" s="48" t="s">
        <v>2319</v>
      </c>
    </row>
    <row r="15" spans="1:26" ht="15">
      <c r="A15" s="15" t="s">
        <v>2320</v>
      </c>
      <c r="B15" s="13">
        <f t="shared" ca="1" si="0"/>
        <v>182</v>
      </c>
      <c r="C15" s="15">
        <f t="shared" ca="1" si="1"/>
        <v>21</v>
      </c>
      <c r="D15" s="15">
        <v>8515520974.3333302</v>
      </c>
      <c r="E15" s="96" t="str">
        <f t="shared" si="2"/>
        <v>kavita rao@gmail.com</v>
      </c>
      <c r="F15" s="15"/>
      <c r="G15" s="15"/>
      <c r="I15" s="48" t="s">
        <v>2321</v>
      </c>
    </row>
    <row r="16" spans="1:26" ht="15">
      <c r="A16" s="15" t="s">
        <v>2322</v>
      </c>
      <c r="B16" s="13">
        <f t="shared" ca="1" si="0"/>
        <v>91</v>
      </c>
      <c r="C16" s="15">
        <f t="shared" ca="1" si="1"/>
        <v>21</v>
      </c>
      <c r="D16" s="15">
        <v>8119926352.3333302</v>
      </c>
      <c r="E16" s="96" t="str">
        <f t="shared" si="2"/>
        <v>vijay patil@gmail.com</v>
      </c>
      <c r="F16" s="15"/>
      <c r="G16" s="15"/>
      <c r="I16" s="48" t="s">
        <v>2323</v>
      </c>
    </row>
    <row r="17" spans="1:10" ht="15">
      <c r="A17" s="15" t="s">
        <v>2324</v>
      </c>
      <c r="B17" s="13">
        <f t="shared" ca="1" si="0"/>
        <v>305</v>
      </c>
      <c r="C17" s="15">
        <f t="shared" ca="1" si="1"/>
        <v>20</v>
      </c>
      <c r="D17" s="15">
        <v>7724331730.3333397</v>
      </c>
      <c r="E17" s="96" t="str">
        <f t="shared" si="2"/>
        <v>ananya das@gmail.com</v>
      </c>
      <c r="F17" s="15"/>
      <c r="G17" s="15"/>
      <c r="I17" s="48" t="s">
        <v>2325</v>
      </c>
    </row>
    <row r="18" spans="1:10" ht="15">
      <c r="A18" s="15" t="s">
        <v>2326</v>
      </c>
      <c r="B18" s="13">
        <f t="shared" ca="1" si="0"/>
        <v>305</v>
      </c>
      <c r="C18" s="15">
        <f t="shared" ca="1" si="1"/>
        <v>24</v>
      </c>
      <c r="D18" s="15">
        <v>7328737108.3333302</v>
      </c>
      <c r="E18" s="96" t="str">
        <f t="shared" si="2"/>
        <v>neha kapoor@gmail.com</v>
      </c>
      <c r="F18" s="15"/>
      <c r="G18" s="15"/>
    </row>
    <row r="19" spans="1:10" ht="15">
      <c r="A19" s="15" t="s">
        <v>2327</v>
      </c>
      <c r="B19" s="13">
        <f t="shared" ca="1" si="0"/>
        <v>547</v>
      </c>
      <c r="C19" s="15">
        <f t="shared" ca="1" si="1"/>
        <v>19</v>
      </c>
      <c r="D19" s="15">
        <v>6933142486.3333302</v>
      </c>
      <c r="E19" s="96" t="str">
        <f t="shared" si="2"/>
        <v>rahul verma@gmail.com</v>
      </c>
      <c r="F19" s="15"/>
      <c r="G19" s="15"/>
    </row>
    <row r="20" spans="1:10" ht="15">
      <c r="A20" s="15" t="s">
        <v>2328</v>
      </c>
      <c r="B20" s="13">
        <f t="shared" ca="1" si="0"/>
        <v>578</v>
      </c>
      <c r="C20" s="15">
        <f t="shared" ca="1" si="1"/>
        <v>25</v>
      </c>
      <c r="D20" s="15">
        <v>6537547864.3333302</v>
      </c>
      <c r="E20" s="96" t="str">
        <f t="shared" si="2"/>
        <v>sneha nair@gmail.com</v>
      </c>
      <c r="F20" s="15"/>
      <c r="G20" s="15"/>
    </row>
    <row r="21" spans="1:10" ht="15">
      <c r="A21" s="15" t="s">
        <v>2329</v>
      </c>
      <c r="B21" s="13">
        <f t="shared" ca="1" si="0"/>
        <v>274</v>
      </c>
      <c r="C21" s="15">
        <f t="shared" ca="1" si="1"/>
        <v>23</v>
      </c>
      <c r="D21" s="15">
        <v>6141953242.3333302</v>
      </c>
      <c r="E21" s="96" t="str">
        <f t="shared" si="2"/>
        <v>sandeep kar@gmail.com</v>
      </c>
      <c r="F21" s="15"/>
      <c r="G21" s="15"/>
      <c r="I21" s="31" t="s">
        <v>53</v>
      </c>
      <c r="J21" s="15">
        <v>10</v>
      </c>
    </row>
    <row r="22" spans="1:10" ht="15">
      <c r="A22" s="15" t="s">
        <v>2330</v>
      </c>
      <c r="B22" s="13">
        <f t="shared" ca="1" si="0"/>
        <v>639</v>
      </c>
      <c r="C22" s="15">
        <f t="shared" ca="1" si="1"/>
        <v>24</v>
      </c>
      <c r="D22" s="15">
        <v>5746358620.3333302</v>
      </c>
      <c r="E22" s="96" t="str">
        <f t="shared" si="2"/>
        <v>pooja joshi@gmail.com</v>
      </c>
      <c r="F22" s="15"/>
      <c r="G22" s="15"/>
    </row>
    <row r="23" spans="1:10" ht="15">
      <c r="A23" s="15" t="s">
        <v>2331</v>
      </c>
      <c r="B23" s="13">
        <f t="shared" ca="1" si="0"/>
        <v>700</v>
      </c>
      <c r="C23" s="15">
        <f t="shared" ca="1" si="1"/>
        <v>22</v>
      </c>
      <c r="D23" s="15">
        <v>5350763998.3333302</v>
      </c>
      <c r="E23" s="96" t="str">
        <f t="shared" si="2"/>
        <v>amit tiwari@gmail.com</v>
      </c>
      <c r="F23" s="15"/>
      <c r="G23" s="15"/>
    </row>
    <row r="24" spans="1:10" ht="15">
      <c r="A24" s="15" t="s">
        <v>2332</v>
      </c>
      <c r="B24" s="13">
        <f t="shared" ca="1" si="0"/>
        <v>547</v>
      </c>
      <c r="C24" s="15">
        <f t="shared" ca="1" si="1"/>
        <v>24</v>
      </c>
      <c r="D24" s="15">
        <v>4955169376.3333302</v>
      </c>
      <c r="E24" s="96" t="str">
        <f t="shared" si="2"/>
        <v>rina srivastava@gmail.com</v>
      </c>
      <c r="F24" s="15"/>
      <c r="G24" s="15"/>
    </row>
    <row r="25" spans="1:10" ht="15">
      <c r="A25" s="15" t="s">
        <v>2333</v>
      </c>
      <c r="B25" s="13">
        <f t="shared" ca="1" si="0"/>
        <v>213</v>
      </c>
      <c r="C25" s="15">
        <f ca="1">RANDBETWEEN(18,25)</f>
        <v>23</v>
      </c>
      <c r="D25" s="15">
        <v>4559574754.3333302</v>
      </c>
      <c r="E25" s="96" t="str">
        <f t="shared" si="2"/>
        <v>sunita agarwal@gmail.com</v>
      </c>
      <c r="F25" s="15"/>
      <c r="G25" s="15"/>
    </row>
    <row r="26" spans="1:10" ht="15">
      <c r="A26" s="15" t="s">
        <v>2334</v>
      </c>
      <c r="B26" s="13">
        <f t="shared" ca="1" si="0"/>
        <v>762</v>
      </c>
      <c r="C26" s="15">
        <f t="shared" ca="1" si="1"/>
        <v>22</v>
      </c>
      <c r="D26" s="15">
        <v>4163980132.3333302</v>
      </c>
      <c r="E26" s="96" t="str">
        <f t="shared" si="2"/>
        <v>vikram saxena@gmail.com</v>
      </c>
      <c r="F26" s="15"/>
      <c r="G26" s="15"/>
    </row>
    <row r="27" spans="1:10" ht="15">
      <c r="A27" s="15" t="s">
        <v>2335</v>
      </c>
      <c r="B27" s="13">
        <f t="shared" ca="1" si="0"/>
        <v>91</v>
      </c>
      <c r="C27" s="15">
        <f t="shared" ca="1" si="1"/>
        <v>18</v>
      </c>
      <c r="D27" s="15">
        <v>3768385510.3333302</v>
      </c>
      <c r="E27" s="96" t="str">
        <f t="shared" si="2"/>
        <v>deepak reddy@gmail.com</v>
      </c>
      <c r="F27" s="15"/>
      <c r="G27" s="15"/>
    </row>
    <row r="28" spans="1:10" ht="15">
      <c r="A28" s="15" t="s">
        <v>2336</v>
      </c>
      <c r="B28" s="13">
        <f t="shared" ca="1" si="0"/>
        <v>547</v>
      </c>
      <c r="C28" s="15">
        <f t="shared" ca="1" si="1"/>
        <v>19</v>
      </c>
      <c r="D28" s="15">
        <v>3372790888.3333302</v>
      </c>
      <c r="E28" s="96" t="str">
        <f t="shared" si="2"/>
        <v>meera banerjee@gmail.com</v>
      </c>
      <c r="F28" s="15"/>
      <c r="G28" s="15"/>
    </row>
    <row r="29" spans="1:10" ht="15">
      <c r="A29" s="15" t="s">
        <v>2337</v>
      </c>
      <c r="B29" s="13">
        <f t="shared" ca="1" si="0"/>
        <v>486</v>
      </c>
      <c r="C29" s="15">
        <f t="shared" ca="1" si="1"/>
        <v>25</v>
      </c>
      <c r="D29" s="15">
        <v>2977196266.3333302</v>
      </c>
      <c r="E29" s="96" t="str">
        <f t="shared" si="2"/>
        <v>shweta kulkarni@gmail.com</v>
      </c>
      <c r="F29" s="15"/>
      <c r="G29" s="15"/>
    </row>
    <row r="30" spans="1:10" ht="15">
      <c r="A30" s="15" t="s">
        <v>2338</v>
      </c>
      <c r="B30" s="13">
        <f t="shared" ca="1" si="0"/>
        <v>182</v>
      </c>
      <c r="C30" s="15">
        <f ca="1">RANDBETWEEN(18,25)</f>
        <v>23</v>
      </c>
      <c r="D30" s="15">
        <v>2581601644.3333302</v>
      </c>
      <c r="E30" s="96" t="str">
        <f t="shared" si="2"/>
        <v>karthik menon@gmail.com</v>
      </c>
      <c r="F30" s="15"/>
      <c r="G30" s="15"/>
    </row>
  </sheetData>
  <dataValidations count="4">
    <dataValidation type="list" allowBlank="1" showInputMessage="1" showErrorMessage="1" sqref="F12:F30" xr:uid="{2DF2A144-1497-4C33-A409-739A93471A9E}">
      <formula1>$A$2:$A$6</formula1>
    </dataValidation>
    <dataValidation type="custom" allowBlank="1" showInputMessage="1" showErrorMessage="1" sqref="E12:E30" xr:uid="{C0B015B7-EB84-4A99-A05D-7C23C07BBC7A}">
      <formula1>EXACT(RIGHT($E$12:$E$30,10),"@gmail.com")</formula1>
    </dataValidation>
    <dataValidation allowBlank="1" showInputMessage="1" showErrorMessage="1" sqref="G13:G30" xr:uid="{0A6C7C51-AEEA-4C8C-B336-CCEC752FBEB5}"/>
    <dataValidation type="list" allowBlank="1" showInputMessage="1" showErrorMessage="1" sqref="G12" xr:uid="{7373D20E-B778-4450-9B96-177972941033}">
      <formula1>_xlfn.ANCHORARRAY($S$12)</formula1>
    </dataValidation>
  </dataValidations>
  <hyperlinks>
    <hyperlink ref="E12" r:id="rId1" display="=CONCAT(LOWER(A12),&quot;@gmail.com&quot;)" xr:uid="{1722CB18-E955-4262-9DDB-309052F4B9D9}"/>
    <hyperlink ref="E13:E30" r:id="rId2" display="=CONCAT(LOWER(A12),&quot;@gmail.com&quot;)" xr:uid="{A4F2FE31-1C20-494F-93FE-4E68F2900B44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9"/>
  <sheetViews>
    <sheetView workbookViewId="0">
      <selection activeCell="D4" sqref="D4"/>
    </sheetView>
  </sheetViews>
  <sheetFormatPr defaultRowHeight="14.45"/>
  <cols>
    <col min="1" max="1" width="10.85546875" customWidth="1"/>
    <col min="2" max="2" width="11.42578125" bestFit="1" customWidth="1"/>
    <col min="9" max="9" width="6.85546875" customWidth="1"/>
  </cols>
  <sheetData>
    <row r="1" spans="1:11">
      <c r="A1" s="60" t="s">
        <v>2339</v>
      </c>
      <c r="B1" s="60" t="s">
        <v>70</v>
      </c>
      <c r="C1" s="60" t="s">
        <v>2340</v>
      </c>
      <c r="D1" s="60" t="s">
        <v>75</v>
      </c>
      <c r="E1" s="60" t="s">
        <v>2341</v>
      </c>
      <c r="F1" s="60" t="s">
        <v>2077</v>
      </c>
      <c r="G1" s="60" t="s">
        <v>77</v>
      </c>
    </row>
    <row r="2" spans="1:11">
      <c r="A2" s="15">
        <v>10500</v>
      </c>
      <c r="B2" s="13">
        <v>40688</v>
      </c>
      <c r="C2" s="15" t="s">
        <v>2342</v>
      </c>
      <c r="D2" s="15" t="s">
        <v>2343</v>
      </c>
      <c r="E2" s="14">
        <v>30</v>
      </c>
      <c r="F2" s="15">
        <v>25</v>
      </c>
      <c r="G2" s="14">
        <v>750</v>
      </c>
      <c r="I2" s="54" t="s">
        <v>67</v>
      </c>
      <c r="J2" s="48" t="s">
        <v>2344</v>
      </c>
    </row>
    <row r="3" spans="1:11">
      <c r="A3" s="15">
        <v>10501</v>
      </c>
      <c r="B3" s="13">
        <v>40688</v>
      </c>
      <c r="C3" s="15" t="s">
        <v>2345</v>
      </c>
      <c r="D3" s="15" t="s">
        <v>2343</v>
      </c>
      <c r="E3" s="14">
        <v>30</v>
      </c>
      <c r="F3" s="15">
        <v>9</v>
      </c>
      <c r="G3" s="14">
        <v>270</v>
      </c>
    </row>
    <row r="4" spans="1:11">
      <c r="A4" s="15">
        <v>10501</v>
      </c>
      <c r="B4" s="13">
        <v>40688</v>
      </c>
      <c r="C4" s="15" t="s">
        <v>2345</v>
      </c>
      <c r="D4" s="15" t="s">
        <v>2346</v>
      </c>
      <c r="E4" s="14">
        <v>32</v>
      </c>
      <c r="F4" s="15">
        <v>21</v>
      </c>
      <c r="G4" s="14">
        <v>672</v>
      </c>
    </row>
    <row r="5" spans="1:11">
      <c r="A5" s="15">
        <v>10501</v>
      </c>
      <c r="B5" s="13">
        <v>40688</v>
      </c>
      <c r="C5" s="15" t="s">
        <v>2345</v>
      </c>
      <c r="D5" s="15" t="s">
        <v>2347</v>
      </c>
      <c r="E5" s="14">
        <v>22</v>
      </c>
      <c r="F5" s="15">
        <v>7</v>
      </c>
      <c r="G5" s="14">
        <v>154</v>
      </c>
      <c r="J5" s="31" t="s">
        <v>53</v>
      </c>
      <c r="K5" s="15">
        <v>2</v>
      </c>
    </row>
    <row r="6" spans="1:11">
      <c r="A6" s="15">
        <v>10501</v>
      </c>
      <c r="B6" s="13">
        <v>40688</v>
      </c>
      <c r="C6" s="15" t="s">
        <v>2345</v>
      </c>
      <c r="D6" s="15" t="s">
        <v>2348</v>
      </c>
      <c r="E6" s="14">
        <v>25</v>
      </c>
      <c r="F6" s="15">
        <v>11</v>
      </c>
      <c r="G6" s="14">
        <v>275</v>
      </c>
    </row>
    <row r="7" spans="1:11">
      <c r="A7" s="15">
        <v>10502</v>
      </c>
      <c r="B7" s="13">
        <v>40690</v>
      </c>
      <c r="C7" s="15" t="s">
        <v>2345</v>
      </c>
      <c r="D7" s="15" t="s">
        <v>2343</v>
      </c>
      <c r="E7" s="14">
        <v>30</v>
      </c>
      <c r="F7" s="15">
        <v>5</v>
      </c>
      <c r="G7" s="14">
        <v>150</v>
      </c>
    </row>
    <row r="8" spans="1:11">
      <c r="A8" s="15">
        <v>10502</v>
      </c>
      <c r="B8" s="13">
        <v>40690</v>
      </c>
      <c r="C8" s="15" t="s">
        <v>2345</v>
      </c>
      <c r="D8" s="15" t="s">
        <v>2348</v>
      </c>
      <c r="E8" s="14">
        <v>25</v>
      </c>
      <c r="F8" s="15">
        <v>25</v>
      </c>
      <c r="G8" s="14">
        <v>625</v>
      </c>
    </row>
    <row r="9" spans="1:11">
      <c r="A9" s="15">
        <v>10503</v>
      </c>
      <c r="B9" s="13">
        <v>40691</v>
      </c>
      <c r="C9" s="15" t="s">
        <v>87</v>
      </c>
      <c r="D9" s="15" t="s">
        <v>2348</v>
      </c>
      <c r="E9" s="14">
        <v>25</v>
      </c>
      <c r="F9" s="15">
        <v>21</v>
      </c>
      <c r="G9" s="14">
        <v>525</v>
      </c>
    </row>
    <row r="10" spans="1:11">
      <c r="A10" s="15">
        <v>10503</v>
      </c>
      <c r="B10" s="13">
        <v>40691</v>
      </c>
      <c r="C10" s="15" t="s">
        <v>87</v>
      </c>
      <c r="D10" s="15" t="s">
        <v>2347</v>
      </c>
      <c r="E10" s="14">
        <v>22</v>
      </c>
      <c r="F10" s="15">
        <v>16</v>
      </c>
      <c r="G10" s="14">
        <v>352</v>
      </c>
    </row>
    <row r="11" spans="1:11">
      <c r="A11" s="15">
        <v>10503</v>
      </c>
      <c r="B11" s="13">
        <v>40691</v>
      </c>
      <c r="C11" s="15" t="s">
        <v>87</v>
      </c>
      <c r="D11" s="15" t="s">
        <v>2346</v>
      </c>
      <c r="E11" s="14">
        <v>32</v>
      </c>
      <c r="F11" s="15">
        <v>4</v>
      </c>
      <c r="G11" s="14">
        <v>128</v>
      </c>
    </row>
    <row r="12" spans="1:11">
      <c r="A12" s="15">
        <v>10503</v>
      </c>
      <c r="B12" s="13">
        <v>40691</v>
      </c>
      <c r="C12" s="15" t="s">
        <v>87</v>
      </c>
      <c r="D12" s="15" t="s">
        <v>2343</v>
      </c>
      <c r="E12" s="14">
        <v>30</v>
      </c>
      <c r="F12" s="15">
        <v>18</v>
      </c>
      <c r="G12" s="14">
        <v>540</v>
      </c>
    </row>
    <row r="13" spans="1:11">
      <c r="A13" s="15">
        <v>10504</v>
      </c>
      <c r="B13" s="13">
        <v>40691</v>
      </c>
      <c r="C13" s="15" t="s">
        <v>2345</v>
      </c>
      <c r="D13" s="15" t="s">
        <v>2349</v>
      </c>
      <c r="E13" s="14">
        <v>23</v>
      </c>
      <c r="F13" s="15">
        <v>17</v>
      </c>
      <c r="G13" s="14">
        <v>391</v>
      </c>
    </row>
    <row r="14" spans="1:11">
      <c r="A14" s="15">
        <v>10504</v>
      </c>
      <c r="B14" s="13">
        <v>40691</v>
      </c>
      <c r="C14" s="15" t="s">
        <v>2345</v>
      </c>
      <c r="D14" s="15" t="s">
        <v>2346</v>
      </c>
      <c r="E14" s="14">
        <v>32</v>
      </c>
      <c r="F14" s="15">
        <v>8</v>
      </c>
      <c r="G14" s="14">
        <v>256</v>
      </c>
    </row>
    <row r="15" spans="1:11">
      <c r="A15" s="15">
        <v>10505</v>
      </c>
      <c r="B15" s="13">
        <v>40691</v>
      </c>
      <c r="C15" s="15" t="s">
        <v>2342</v>
      </c>
      <c r="D15" s="15" t="s">
        <v>2349</v>
      </c>
      <c r="E15" s="14">
        <v>23</v>
      </c>
      <c r="F15" s="15">
        <v>21</v>
      </c>
      <c r="G15" s="14">
        <v>483</v>
      </c>
    </row>
    <row r="16" spans="1:11">
      <c r="A16" s="15">
        <v>10505</v>
      </c>
      <c r="B16" s="13">
        <v>40691</v>
      </c>
      <c r="C16" s="15" t="s">
        <v>2342</v>
      </c>
      <c r="D16" s="15" t="s">
        <v>2348</v>
      </c>
      <c r="E16" s="14">
        <v>25</v>
      </c>
      <c r="F16" s="15">
        <v>8</v>
      </c>
      <c r="G16" s="14">
        <v>200</v>
      </c>
    </row>
    <row r="17" spans="1:7">
      <c r="A17" s="15">
        <v>10505</v>
      </c>
      <c r="B17" s="13">
        <v>40691</v>
      </c>
      <c r="C17" s="15" t="s">
        <v>2342</v>
      </c>
      <c r="D17" s="15" t="s">
        <v>2346</v>
      </c>
      <c r="E17" s="14">
        <v>32</v>
      </c>
      <c r="F17" s="15">
        <v>17</v>
      </c>
      <c r="G17" s="14">
        <v>544</v>
      </c>
    </row>
    <row r="18" spans="1:7">
      <c r="A18" s="15">
        <v>10505</v>
      </c>
      <c r="B18" s="13">
        <v>40691</v>
      </c>
      <c r="C18" s="15" t="s">
        <v>2342</v>
      </c>
      <c r="D18" s="15" t="s">
        <v>2343</v>
      </c>
      <c r="E18" s="14">
        <v>30</v>
      </c>
      <c r="F18" s="15">
        <v>12</v>
      </c>
      <c r="G18" s="14">
        <v>360</v>
      </c>
    </row>
    <row r="19" spans="1:7">
      <c r="A19" s="15">
        <v>10505</v>
      </c>
      <c r="B19" s="13">
        <v>40691</v>
      </c>
      <c r="C19" s="15" t="s">
        <v>2342</v>
      </c>
      <c r="D19" s="15" t="s">
        <v>2347</v>
      </c>
      <c r="E19" s="14">
        <v>22</v>
      </c>
      <c r="F19" s="15">
        <v>18</v>
      </c>
      <c r="G19" s="14">
        <v>396</v>
      </c>
    </row>
  </sheetData>
  <conditionalFormatting sqref="A2:G19">
    <cfRule type="expression" dxfId="5" priority="1">
      <formula>AND($C2="Moe",$G2&gt;500)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66"/>
  <sheetViews>
    <sheetView workbookViewId="0">
      <selection activeCell="D8" sqref="D8"/>
    </sheetView>
  </sheetViews>
  <sheetFormatPr defaultRowHeight="14.45"/>
  <cols>
    <col min="1" max="1" width="11.5703125" bestFit="1" customWidth="1"/>
    <col min="10" max="10" width="11.5703125" bestFit="1" customWidth="1"/>
    <col min="11" max="11" width="10.42578125" bestFit="1" customWidth="1"/>
  </cols>
  <sheetData>
    <row r="1" spans="1:11">
      <c r="A1" s="60" t="s">
        <v>70</v>
      </c>
      <c r="B1" s="60" t="s">
        <v>2350</v>
      </c>
      <c r="C1" s="60" t="s">
        <v>2351</v>
      </c>
      <c r="D1" s="60" t="s">
        <v>2352</v>
      </c>
      <c r="E1" s="60" t="s">
        <v>2353</v>
      </c>
      <c r="F1" s="60" t="s">
        <v>2354</v>
      </c>
      <c r="G1" s="60" t="s">
        <v>2355</v>
      </c>
      <c r="I1" s="68" t="s">
        <v>2356</v>
      </c>
      <c r="J1" s="13">
        <v>44568</v>
      </c>
      <c r="K1" s="23"/>
    </row>
    <row r="2" spans="1:11" ht="15">
      <c r="A2" s="44">
        <v>44562</v>
      </c>
      <c r="B2" s="15" t="s">
        <v>2357</v>
      </c>
      <c r="C2" s="15">
        <v>8</v>
      </c>
      <c r="D2" s="33">
        <v>34</v>
      </c>
      <c r="E2" s="33">
        <v>272</v>
      </c>
      <c r="F2" s="33">
        <v>304</v>
      </c>
      <c r="G2" s="33">
        <v>516.79999999999995</v>
      </c>
      <c r="I2" s="68" t="s">
        <v>2358</v>
      </c>
      <c r="J2" s="13">
        <v>44579</v>
      </c>
      <c r="K2" s="23"/>
    </row>
    <row r="3" spans="1:11" ht="15">
      <c r="A3" s="44">
        <v>44563</v>
      </c>
      <c r="B3" s="15" t="s">
        <v>2359</v>
      </c>
      <c r="C3" s="15">
        <v>9</v>
      </c>
      <c r="D3" s="33">
        <v>60</v>
      </c>
      <c r="E3" s="33">
        <v>540</v>
      </c>
      <c r="F3" s="33">
        <v>603.52941176470586</v>
      </c>
      <c r="G3" s="33">
        <v>1026</v>
      </c>
      <c r="K3" s="23"/>
    </row>
    <row r="4" spans="1:11" ht="15">
      <c r="A4" s="44">
        <v>44564</v>
      </c>
      <c r="B4" s="15" t="s">
        <v>2360</v>
      </c>
      <c r="C4" s="15">
        <v>4</v>
      </c>
      <c r="D4" s="33">
        <v>55</v>
      </c>
      <c r="E4" s="33">
        <v>220</v>
      </c>
      <c r="F4" s="33">
        <v>245.88235294117646</v>
      </c>
      <c r="G4" s="33">
        <v>418</v>
      </c>
    </row>
    <row r="5" spans="1:11">
      <c r="A5" s="44">
        <v>44565</v>
      </c>
      <c r="B5" s="15" t="s">
        <v>2361</v>
      </c>
      <c r="C5" s="15">
        <v>1</v>
      </c>
      <c r="D5" s="33">
        <v>65</v>
      </c>
      <c r="E5" s="33">
        <v>65</v>
      </c>
      <c r="F5" s="33">
        <v>72.64705882352942</v>
      </c>
      <c r="G5" s="33">
        <v>123.5</v>
      </c>
      <c r="I5" s="48" t="s">
        <v>0</v>
      </c>
      <c r="J5" s="48" t="s">
        <v>2362</v>
      </c>
    </row>
    <row r="6" spans="1:11" ht="15">
      <c r="A6" s="44">
        <v>44566</v>
      </c>
      <c r="B6" s="15" t="s">
        <v>2361</v>
      </c>
      <c r="C6" s="15">
        <v>10</v>
      </c>
      <c r="D6" s="33">
        <v>65</v>
      </c>
      <c r="E6" s="33">
        <v>650</v>
      </c>
      <c r="F6" s="33">
        <v>726.47058823529414</v>
      </c>
      <c r="G6" s="33">
        <v>1235</v>
      </c>
      <c r="I6" s="48" t="s">
        <v>2</v>
      </c>
      <c r="J6" s="48" t="s">
        <v>2363</v>
      </c>
    </row>
    <row r="7" spans="1:11" ht="15">
      <c r="A7" s="44">
        <v>44567</v>
      </c>
      <c r="B7" s="15" t="s">
        <v>2360</v>
      </c>
      <c r="C7" s="15">
        <v>5</v>
      </c>
      <c r="D7" s="33">
        <v>55</v>
      </c>
      <c r="E7" s="33">
        <v>275</v>
      </c>
      <c r="F7" s="33">
        <v>307.35294117647061</v>
      </c>
      <c r="G7" s="33">
        <v>522.5</v>
      </c>
      <c r="I7" s="48" t="s">
        <v>5</v>
      </c>
      <c r="J7" s="48" t="s">
        <v>2364</v>
      </c>
    </row>
    <row r="8" spans="1:11" ht="15">
      <c r="A8" s="44">
        <v>44568</v>
      </c>
      <c r="B8" s="15" t="s">
        <v>2361</v>
      </c>
      <c r="C8" s="15">
        <v>3</v>
      </c>
      <c r="D8" s="33">
        <v>65</v>
      </c>
      <c r="E8" s="33">
        <v>195</v>
      </c>
      <c r="F8" s="33">
        <v>217.94117647058823</v>
      </c>
      <c r="G8" s="33">
        <v>370.5</v>
      </c>
    </row>
    <row r="9" spans="1:11" ht="15">
      <c r="A9" s="44">
        <v>44569</v>
      </c>
      <c r="B9" s="15" t="s">
        <v>2357</v>
      </c>
      <c r="C9" s="15">
        <v>10</v>
      </c>
      <c r="D9" s="33">
        <v>34</v>
      </c>
      <c r="E9" s="33">
        <v>340</v>
      </c>
      <c r="F9" s="33">
        <v>380</v>
      </c>
      <c r="G9" s="33">
        <v>646</v>
      </c>
    </row>
    <row r="10" spans="1:11" ht="15">
      <c r="A10" s="44">
        <v>44570</v>
      </c>
      <c r="B10" s="15" t="s">
        <v>2361</v>
      </c>
      <c r="C10" s="15">
        <v>9</v>
      </c>
      <c r="D10" s="33">
        <v>65</v>
      </c>
      <c r="E10" s="33">
        <v>585</v>
      </c>
      <c r="F10" s="33">
        <v>653.82352941176475</v>
      </c>
      <c r="G10" s="33">
        <v>1111.5</v>
      </c>
    </row>
    <row r="11" spans="1:11">
      <c r="A11" s="44">
        <v>44571</v>
      </c>
      <c r="B11" s="15" t="s">
        <v>2365</v>
      </c>
      <c r="C11" s="15">
        <v>2</v>
      </c>
      <c r="D11" s="33">
        <v>46</v>
      </c>
      <c r="E11" s="33">
        <v>92</v>
      </c>
      <c r="F11" s="33">
        <v>102.8235294117647</v>
      </c>
      <c r="G11" s="33">
        <v>174.79999999999998</v>
      </c>
      <c r="J11" s="31" t="s">
        <v>52</v>
      </c>
      <c r="K11" s="31" t="s">
        <v>53</v>
      </c>
    </row>
    <row r="12" spans="1:11" ht="15">
      <c r="A12" s="44">
        <v>44572</v>
      </c>
      <c r="B12" s="15" t="s">
        <v>2359</v>
      </c>
      <c r="C12" s="15">
        <v>7</v>
      </c>
      <c r="D12" s="33">
        <v>60</v>
      </c>
      <c r="E12" s="33">
        <v>420</v>
      </c>
      <c r="F12" s="33">
        <v>469.41176470588238</v>
      </c>
      <c r="G12" s="33">
        <v>798</v>
      </c>
      <c r="J12" s="15" t="s">
        <v>0</v>
      </c>
      <c r="K12" s="15">
        <v>2</v>
      </c>
    </row>
    <row r="13" spans="1:11" ht="15">
      <c r="A13" s="44">
        <v>44573</v>
      </c>
      <c r="B13" s="15" t="s">
        <v>2365</v>
      </c>
      <c r="C13" s="15">
        <v>5</v>
      </c>
      <c r="D13" s="33">
        <v>46</v>
      </c>
      <c r="E13" s="33">
        <v>230</v>
      </c>
      <c r="F13" s="33">
        <v>257.05882352941177</v>
      </c>
      <c r="G13" s="33">
        <v>437</v>
      </c>
      <c r="J13" s="15" t="s">
        <v>2</v>
      </c>
      <c r="K13" s="15">
        <v>2</v>
      </c>
    </row>
    <row r="14" spans="1:11">
      <c r="A14" s="44">
        <v>44574</v>
      </c>
      <c r="B14" s="15" t="s">
        <v>2359</v>
      </c>
      <c r="C14" s="15">
        <v>3</v>
      </c>
      <c r="D14" s="33">
        <v>60</v>
      </c>
      <c r="E14" s="33">
        <v>180</v>
      </c>
      <c r="F14" s="33">
        <v>201.1764705882353</v>
      </c>
      <c r="G14" s="33">
        <v>342</v>
      </c>
      <c r="J14" s="75" t="s">
        <v>5</v>
      </c>
      <c r="K14" s="15">
        <v>2</v>
      </c>
    </row>
    <row r="15" spans="1:11" ht="15">
      <c r="A15" s="44">
        <v>44575</v>
      </c>
      <c r="B15" s="15" t="s">
        <v>2357</v>
      </c>
      <c r="C15" s="15">
        <v>1</v>
      </c>
      <c r="D15" s="33">
        <v>34</v>
      </c>
      <c r="E15" s="33">
        <v>34</v>
      </c>
      <c r="F15" s="33">
        <v>38</v>
      </c>
      <c r="G15" s="33">
        <v>64.599999999999994</v>
      </c>
    </row>
    <row r="16" spans="1:11" ht="15">
      <c r="A16" s="44">
        <v>44576</v>
      </c>
      <c r="B16" s="15" t="s">
        <v>2359</v>
      </c>
      <c r="C16" s="15">
        <v>7</v>
      </c>
      <c r="D16" s="33">
        <v>60</v>
      </c>
      <c r="E16" s="33">
        <v>420</v>
      </c>
      <c r="F16" s="33">
        <v>469.41176470588238</v>
      </c>
      <c r="G16" s="33">
        <v>798</v>
      </c>
    </row>
    <row r="17" spans="1:7" ht="15">
      <c r="A17" s="44">
        <v>44577</v>
      </c>
      <c r="B17" s="15" t="s">
        <v>2360</v>
      </c>
      <c r="C17" s="15">
        <v>6</v>
      </c>
      <c r="D17" s="33">
        <v>55</v>
      </c>
      <c r="E17" s="33">
        <v>330</v>
      </c>
      <c r="F17" s="33">
        <v>368.8235294117647</v>
      </c>
      <c r="G17" s="33">
        <v>627</v>
      </c>
    </row>
    <row r="18" spans="1:7" ht="15">
      <c r="A18" s="44">
        <v>44578</v>
      </c>
      <c r="B18" s="15" t="s">
        <v>2360</v>
      </c>
      <c r="C18" s="15">
        <v>7</v>
      </c>
      <c r="D18" s="33">
        <v>55</v>
      </c>
      <c r="E18" s="33">
        <v>385</v>
      </c>
      <c r="F18" s="33">
        <v>430.29411764705884</v>
      </c>
      <c r="G18" s="33">
        <v>731.5</v>
      </c>
    </row>
    <row r="19" spans="1:7" ht="15">
      <c r="A19" s="44">
        <v>44579</v>
      </c>
      <c r="B19" s="15" t="s">
        <v>2361</v>
      </c>
      <c r="C19" s="15">
        <v>10</v>
      </c>
      <c r="D19" s="33">
        <v>65</v>
      </c>
      <c r="E19" s="33">
        <v>650</v>
      </c>
      <c r="F19" s="33">
        <v>726.47058823529414</v>
      </c>
      <c r="G19" s="33">
        <v>1235</v>
      </c>
    </row>
    <row r="20" spans="1:7" ht="15">
      <c r="A20" s="44">
        <v>44580</v>
      </c>
      <c r="B20" s="15" t="s">
        <v>2365</v>
      </c>
      <c r="C20" s="15">
        <v>1</v>
      </c>
      <c r="D20" s="33">
        <v>46</v>
      </c>
      <c r="E20" s="33">
        <v>46</v>
      </c>
      <c r="F20" s="33">
        <v>51.411764705882348</v>
      </c>
      <c r="G20" s="33">
        <v>87.399999999999991</v>
      </c>
    </row>
    <row r="21" spans="1:7" ht="15">
      <c r="A21" s="44">
        <v>44581</v>
      </c>
      <c r="B21" s="15" t="s">
        <v>2359</v>
      </c>
      <c r="C21" s="15">
        <v>7</v>
      </c>
      <c r="D21" s="33">
        <v>60</v>
      </c>
      <c r="E21" s="33">
        <v>420</v>
      </c>
      <c r="F21" s="33">
        <v>469.41176470588238</v>
      </c>
      <c r="G21" s="33">
        <v>798</v>
      </c>
    </row>
    <row r="22" spans="1:7" ht="15">
      <c r="A22" s="44">
        <v>44582</v>
      </c>
      <c r="B22" s="15" t="s">
        <v>2359</v>
      </c>
      <c r="C22" s="15">
        <v>4</v>
      </c>
      <c r="D22" s="33">
        <v>60</v>
      </c>
      <c r="E22" s="33">
        <v>240</v>
      </c>
      <c r="F22" s="33">
        <v>268.23529411764707</v>
      </c>
      <c r="G22" s="33">
        <v>456</v>
      </c>
    </row>
    <row r="23" spans="1:7" ht="15">
      <c r="A23" s="44">
        <v>44583</v>
      </c>
      <c r="B23" s="15" t="s">
        <v>2361</v>
      </c>
      <c r="C23" s="15">
        <v>4</v>
      </c>
      <c r="D23" s="33">
        <v>65</v>
      </c>
      <c r="E23" s="33">
        <v>260</v>
      </c>
      <c r="F23" s="33">
        <v>290.58823529411768</v>
      </c>
      <c r="G23" s="33">
        <v>494</v>
      </c>
    </row>
    <row r="24" spans="1:7" ht="15">
      <c r="A24" s="44">
        <v>44584</v>
      </c>
      <c r="B24" s="15" t="s">
        <v>2359</v>
      </c>
      <c r="C24" s="15">
        <v>6</v>
      </c>
      <c r="D24" s="33">
        <v>60</v>
      </c>
      <c r="E24" s="33">
        <v>360</v>
      </c>
      <c r="F24" s="33">
        <v>402.35294117647061</v>
      </c>
      <c r="G24" s="33">
        <v>684</v>
      </c>
    </row>
    <row r="25" spans="1:7" ht="15">
      <c r="A25" s="44">
        <v>44585</v>
      </c>
      <c r="B25" s="15" t="s">
        <v>2365</v>
      </c>
      <c r="C25" s="15">
        <v>8</v>
      </c>
      <c r="D25" s="33">
        <v>46</v>
      </c>
      <c r="E25" s="33">
        <v>368</v>
      </c>
      <c r="F25" s="33">
        <v>411.29411764705878</v>
      </c>
      <c r="G25" s="33">
        <v>699.19999999999993</v>
      </c>
    </row>
    <row r="26" spans="1:7">
      <c r="A26" s="44">
        <v>44586</v>
      </c>
      <c r="B26" s="15" t="s">
        <v>2360</v>
      </c>
      <c r="C26" s="15">
        <v>4</v>
      </c>
      <c r="D26" s="33">
        <v>55</v>
      </c>
      <c r="E26" s="33">
        <v>220</v>
      </c>
      <c r="F26" s="33">
        <v>245.88235294117646</v>
      </c>
      <c r="G26" s="33">
        <v>418</v>
      </c>
    </row>
    <row r="27" spans="1:7">
      <c r="A27" s="44">
        <v>44587</v>
      </c>
      <c r="B27" s="15" t="s">
        <v>2361</v>
      </c>
      <c r="C27" s="15">
        <v>7</v>
      </c>
      <c r="D27" s="33">
        <v>65</v>
      </c>
      <c r="E27" s="33">
        <v>455</v>
      </c>
      <c r="F27" s="33">
        <v>508.52941176470591</v>
      </c>
      <c r="G27" s="33">
        <v>864.5</v>
      </c>
    </row>
    <row r="28" spans="1:7">
      <c r="A28" s="44">
        <v>44588</v>
      </c>
      <c r="B28" s="15" t="s">
        <v>2360</v>
      </c>
      <c r="C28" s="15">
        <v>7</v>
      </c>
      <c r="D28" s="33">
        <v>55</v>
      </c>
      <c r="E28" s="33">
        <v>385</v>
      </c>
      <c r="F28" s="33">
        <v>430.29411764705884</v>
      </c>
      <c r="G28" s="33">
        <v>731.5</v>
      </c>
    </row>
    <row r="29" spans="1:7">
      <c r="A29" s="44">
        <v>44589</v>
      </c>
      <c r="B29" s="15" t="s">
        <v>2357</v>
      </c>
      <c r="C29" s="15">
        <v>10</v>
      </c>
      <c r="D29" s="33">
        <v>34</v>
      </c>
      <c r="E29" s="33">
        <v>340</v>
      </c>
      <c r="F29" s="33">
        <v>380</v>
      </c>
      <c r="G29" s="33">
        <v>646</v>
      </c>
    </row>
    <row r="30" spans="1:7">
      <c r="A30" s="44">
        <v>44590</v>
      </c>
      <c r="B30" s="15" t="s">
        <v>2360</v>
      </c>
      <c r="C30" s="15">
        <v>8</v>
      </c>
      <c r="D30" s="33">
        <v>55</v>
      </c>
      <c r="E30" s="33">
        <v>440</v>
      </c>
      <c r="F30" s="33">
        <v>491.76470588235293</v>
      </c>
      <c r="G30" s="33">
        <v>836</v>
      </c>
    </row>
    <row r="31" spans="1:7">
      <c r="A31" s="44">
        <v>44591</v>
      </c>
      <c r="B31" s="15" t="s">
        <v>2359</v>
      </c>
      <c r="C31" s="15">
        <v>10</v>
      </c>
      <c r="D31" s="33">
        <v>60</v>
      </c>
      <c r="E31" s="33">
        <v>600</v>
      </c>
      <c r="F31" s="33">
        <v>670.58823529411768</v>
      </c>
      <c r="G31" s="33">
        <v>1140</v>
      </c>
    </row>
    <row r="32" spans="1:7">
      <c r="A32" s="44">
        <v>44592</v>
      </c>
      <c r="B32" s="15" t="s">
        <v>2359</v>
      </c>
      <c r="C32" s="15">
        <v>5</v>
      </c>
      <c r="D32" s="33">
        <v>60</v>
      </c>
      <c r="E32" s="33">
        <v>300</v>
      </c>
      <c r="F32" s="33">
        <v>335.29411764705884</v>
      </c>
      <c r="G32" s="33">
        <v>570</v>
      </c>
    </row>
    <row r="33" spans="1:7">
      <c r="A33" s="44">
        <v>44593</v>
      </c>
      <c r="B33" s="15" t="s">
        <v>2365</v>
      </c>
      <c r="C33" s="15">
        <v>8</v>
      </c>
      <c r="D33" s="33">
        <v>46</v>
      </c>
      <c r="E33" s="33">
        <v>368</v>
      </c>
      <c r="F33" s="33">
        <v>411.29411764705878</v>
      </c>
      <c r="G33" s="33">
        <v>699.19999999999993</v>
      </c>
    </row>
    <row r="34" spans="1:7">
      <c r="A34" s="44">
        <v>44594</v>
      </c>
      <c r="B34" s="15" t="s">
        <v>2365</v>
      </c>
      <c r="C34" s="15">
        <v>9</v>
      </c>
      <c r="D34" s="33">
        <v>46</v>
      </c>
      <c r="E34" s="33">
        <v>414</v>
      </c>
      <c r="F34" s="33">
        <v>462.70588235294116</v>
      </c>
      <c r="G34" s="33">
        <v>786.59999999999991</v>
      </c>
    </row>
    <row r="35" spans="1:7">
      <c r="A35" s="44">
        <v>44595</v>
      </c>
      <c r="B35" s="15" t="s">
        <v>2357</v>
      </c>
      <c r="C35" s="15">
        <v>6</v>
      </c>
      <c r="D35" s="33">
        <v>34</v>
      </c>
      <c r="E35" s="33">
        <v>204</v>
      </c>
      <c r="F35" s="33">
        <v>228</v>
      </c>
      <c r="G35" s="33">
        <v>387.59999999999997</v>
      </c>
    </row>
    <row r="36" spans="1:7">
      <c r="A36" s="44">
        <v>44596</v>
      </c>
      <c r="B36" s="15" t="s">
        <v>2360</v>
      </c>
      <c r="C36" s="15">
        <v>10</v>
      </c>
      <c r="D36" s="33">
        <v>55</v>
      </c>
      <c r="E36" s="33">
        <v>550</v>
      </c>
      <c r="F36" s="33">
        <v>614.70588235294122</v>
      </c>
      <c r="G36" s="33">
        <v>1045</v>
      </c>
    </row>
    <row r="37" spans="1:7">
      <c r="A37" s="44">
        <v>44597</v>
      </c>
      <c r="B37" s="15" t="s">
        <v>2365</v>
      </c>
      <c r="C37" s="15">
        <v>5</v>
      </c>
      <c r="D37" s="33">
        <v>46</v>
      </c>
      <c r="E37" s="33">
        <v>230</v>
      </c>
      <c r="F37" s="33">
        <v>257.05882352941177</v>
      </c>
      <c r="G37" s="33">
        <v>437</v>
      </c>
    </row>
    <row r="38" spans="1:7">
      <c r="A38" s="44">
        <v>44598</v>
      </c>
      <c r="B38" s="15" t="s">
        <v>2365</v>
      </c>
      <c r="C38" s="15">
        <v>3</v>
      </c>
      <c r="D38" s="33">
        <v>46</v>
      </c>
      <c r="E38" s="33">
        <v>138</v>
      </c>
      <c r="F38" s="33">
        <v>154.23529411764704</v>
      </c>
      <c r="G38" s="33">
        <v>262.2</v>
      </c>
    </row>
    <row r="39" spans="1:7">
      <c r="A39" s="44">
        <v>44599</v>
      </c>
      <c r="B39" s="15" t="s">
        <v>2361</v>
      </c>
      <c r="C39" s="15">
        <v>5</v>
      </c>
      <c r="D39" s="33">
        <v>65</v>
      </c>
      <c r="E39" s="33">
        <v>325</v>
      </c>
      <c r="F39" s="33">
        <v>363.23529411764707</v>
      </c>
      <c r="G39" s="33">
        <v>617.5</v>
      </c>
    </row>
    <row r="40" spans="1:7">
      <c r="A40" s="44">
        <v>44600</v>
      </c>
      <c r="B40" s="15" t="s">
        <v>2357</v>
      </c>
      <c r="C40" s="15">
        <v>1</v>
      </c>
      <c r="D40" s="33">
        <v>34</v>
      </c>
      <c r="E40" s="33">
        <v>34</v>
      </c>
      <c r="F40" s="33">
        <v>38</v>
      </c>
      <c r="G40" s="33">
        <v>64.599999999999994</v>
      </c>
    </row>
    <row r="41" spans="1:7">
      <c r="A41" s="44">
        <v>44601</v>
      </c>
      <c r="B41" s="15" t="s">
        <v>2361</v>
      </c>
      <c r="C41" s="15">
        <v>8</v>
      </c>
      <c r="D41" s="33">
        <v>65</v>
      </c>
      <c r="E41" s="33">
        <v>520</v>
      </c>
      <c r="F41" s="33">
        <v>581.17647058823536</v>
      </c>
      <c r="G41" s="33">
        <v>988</v>
      </c>
    </row>
    <row r="42" spans="1:7">
      <c r="A42" s="44">
        <v>44602</v>
      </c>
      <c r="B42" s="15" t="s">
        <v>2359</v>
      </c>
      <c r="C42" s="15">
        <v>5</v>
      </c>
      <c r="D42" s="33">
        <v>60</v>
      </c>
      <c r="E42" s="33">
        <v>300</v>
      </c>
      <c r="F42" s="33">
        <v>335.29411764705884</v>
      </c>
      <c r="G42" s="33">
        <v>570</v>
      </c>
    </row>
    <row r="43" spans="1:7">
      <c r="A43" s="44">
        <v>44603</v>
      </c>
      <c r="B43" s="15" t="s">
        <v>2360</v>
      </c>
      <c r="C43" s="15">
        <v>1</v>
      </c>
      <c r="D43" s="33">
        <v>55</v>
      </c>
      <c r="E43" s="33">
        <v>55</v>
      </c>
      <c r="F43" s="33">
        <v>61.470588235294116</v>
      </c>
      <c r="G43" s="33">
        <v>104.5</v>
      </c>
    </row>
    <row r="44" spans="1:7">
      <c r="A44" s="44">
        <v>44604</v>
      </c>
      <c r="B44" s="15" t="s">
        <v>2361</v>
      </c>
      <c r="C44" s="15">
        <v>10</v>
      </c>
      <c r="D44" s="33">
        <v>65</v>
      </c>
      <c r="E44" s="33">
        <v>650</v>
      </c>
      <c r="F44" s="33">
        <v>726.47058823529414</v>
      </c>
      <c r="G44" s="33">
        <v>1235</v>
      </c>
    </row>
    <row r="45" spans="1:7">
      <c r="A45" s="44">
        <v>44605</v>
      </c>
      <c r="B45" s="15" t="s">
        <v>2359</v>
      </c>
      <c r="C45" s="15">
        <v>3</v>
      </c>
      <c r="D45" s="33">
        <v>60</v>
      </c>
      <c r="E45" s="33">
        <v>180</v>
      </c>
      <c r="F45" s="33">
        <v>201.1764705882353</v>
      </c>
      <c r="G45" s="33">
        <v>342</v>
      </c>
    </row>
    <row r="46" spans="1:7">
      <c r="A46" s="44">
        <v>44606</v>
      </c>
      <c r="B46" s="15" t="s">
        <v>2361</v>
      </c>
      <c r="C46" s="15">
        <v>10</v>
      </c>
      <c r="D46" s="33">
        <v>65</v>
      </c>
      <c r="E46" s="33">
        <v>650</v>
      </c>
      <c r="F46" s="33">
        <v>726.47058823529414</v>
      </c>
      <c r="G46" s="33">
        <v>1235</v>
      </c>
    </row>
    <row r="47" spans="1:7">
      <c r="A47" s="44">
        <v>44607</v>
      </c>
      <c r="B47" s="15" t="s">
        <v>2357</v>
      </c>
      <c r="C47" s="15">
        <v>9</v>
      </c>
      <c r="D47" s="33">
        <v>34</v>
      </c>
      <c r="E47" s="33">
        <v>306</v>
      </c>
      <c r="F47" s="33">
        <v>342</v>
      </c>
      <c r="G47" s="33">
        <v>581.4</v>
      </c>
    </row>
    <row r="48" spans="1:7">
      <c r="A48" s="44">
        <v>44608</v>
      </c>
      <c r="B48" s="15" t="s">
        <v>2360</v>
      </c>
      <c r="C48" s="15">
        <v>2</v>
      </c>
      <c r="D48" s="33">
        <v>55</v>
      </c>
      <c r="E48" s="33">
        <v>110</v>
      </c>
      <c r="F48" s="33">
        <v>122.94117647058823</v>
      </c>
      <c r="G48" s="33">
        <v>209</v>
      </c>
    </row>
    <row r="49" spans="1:7">
      <c r="A49" s="44">
        <v>44609</v>
      </c>
      <c r="B49" s="15" t="s">
        <v>2360</v>
      </c>
      <c r="C49" s="15">
        <v>3</v>
      </c>
      <c r="D49" s="33">
        <v>55</v>
      </c>
      <c r="E49" s="33">
        <v>165</v>
      </c>
      <c r="F49" s="33">
        <v>184.41176470588235</v>
      </c>
      <c r="G49" s="33">
        <v>313.5</v>
      </c>
    </row>
    <row r="50" spans="1:7">
      <c r="A50" s="44">
        <v>44610</v>
      </c>
      <c r="B50" s="15" t="s">
        <v>2365</v>
      </c>
      <c r="C50" s="15">
        <v>7</v>
      </c>
      <c r="D50" s="33">
        <v>46</v>
      </c>
      <c r="E50" s="33">
        <v>322</v>
      </c>
      <c r="F50" s="33">
        <v>359.88235294117646</v>
      </c>
      <c r="G50" s="33">
        <v>611.79999999999995</v>
      </c>
    </row>
    <row r="51" spans="1:7">
      <c r="A51" s="44">
        <v>44611</v>
      </c>
      <c r="B51" s="15" t="s">
        <v>2357</v>
      </c>
      <c r="C51" s="15">
        <v>5</v>
      </c>
      <c r="D51" s="33">
        <v>34</v>
      </c>
      <c r="E51" s="33">
        <v>170</v>
      </c>
      <c r="F51" s="33">
        <v>190</v>
      </c>
      <c r="G51" s="33">
        <v>323</v>
      </c>
    </row>
    <row r="52" spans="1:7">
      <c r="A52" s="44">
        <v>44612</v>
      </c>
      <c r="B52" s="15" t="s">
        <v>2360</v>
      </c>
      <c r="C52" s="15">
        <v>1</v>
      </c>
      <c r="D52" s="33">
        <v>55</v>
      </c>
      <c r="E52" s="33">
        <v>55</v>
      </c>
      <c r="F52" s="33">
        <v>61.470588235294116</v>
      </c>
      <c r="G52" s="33">
        <v>104.5</v>
      </c>
    </row>
    <row r="53" spans="1:7">
      <c r="A53" s="44">
        <v>44613</v>
      </c>
      <c r="B53" s="15" t="s">
        <v>2360</v>
      </c>
      <c r="C53" s="15">
        <v>9</v>
      </c>
      <c r="D53" s="33">
        <v>55</v>
      </c>
      <c r="E53" s="33">
        <v>495</v>
      </c>
      <c r="F53" s="33">
        <v>553.23529411764707</v>
      </c>
      <c r="G53" s="33">
        <v>940.5</v>
      </c>
    </row>
    <row r="54" spans="1:7">
      <c r="A54" s="44">
        <v>44614</v>
      </c>
      <c r="B54" s="15" t="s">
        <v>2359</v>
      </c>
      <c r="C54" s="15">
        <v>10</v>
      </c>
      <c r="D54" s="33">
        <v>60</v>
      </c>
      <c r="E54" s="33">
        <v>600</v>
      </c>
      <c r="F54" s="33">
        <v>670.58823529411768</v>
      </c>
      <c r="G54" s="33">
        <v>1140</v>
      </c>
    </row>
    <row r="55" spans="1:7">
      <c r="A55" s="44">
        <v>44615</v>
      </c>
      <c r="B55" s="15" t="s">
        <v>2361</v>
      </c>
      <c r="C55" s="15">
        <v>7</v>
      </c>
      <c r="D55" s="33">
        <v>65</v>
      </c>
      <c r="E55" s="33">
        <v>455</v>
      </c>
      <c r="F55" s="33">
        <v>508.52941176470591</v>
      </c>
      <c r="G55" s="33">
        <v>864.5</v>
      </c>
    </row>
    <row r="56" spans="1:7">
      <c r="A56" s="44">
        <v>44616</v>
      </c>
      <c r="B56" s="15" t="s">
        <v>2360</v>
      </c>
      <c r="C56" s="15">
        <v>3</v>
      </c>
      <c r="D56" s="33">
        <v>55</v>
      </c>
      <c r="E56" s="33">
        <v>165</v>
      </c>
      <c r="F56" s="33">
        <v>184.41176470588235</v>
      </c>
      <c r="G56" s="33">
        <v>313.5</v>
      </c>
    </row>
    <row r="57" spans="1:7">
      <c r="A57" s="44">
        <v>44617</v>
      </c>
      <c r="B57" s="15" t="s">
        <v>2365</v>
      </c>
      <c r="C57" s="15">
        <v>1</v>
      </c>
      <c r="D57" s="33">
        <v>46</v>
      </c>
      <c r="E57" s="33">
        <v>46</v>
      </c>
      <c r="F57" s="33">
        <v>51.411764705882348</v>
      </c>
      <c r="G57" s="33">
        <v>87.399999999999991</v>
      </c>
    </row>
    <row r="58" spans="1:7">
      <c r="A58" s="44">
        <v>44618</v>
      </c>
      <c r="B58" s="15" t="s">
        <v>2361</v>
      </c>
      <c r="C58" s="15">
        <v>1</v>
      </c>
      <c r="D58" s="33">
        <v>65</v>
      </c>
      <c r="E58" s="33">
        <v>65</v>
      </c>
      <c r="F58" s="33">
        <v>72.64705882352942</v>
      </c>
      <c r="G58" s="33">
        <v>123.5</v>
      </c>
    </row>
    <row r="59" spans="1:7">
      <c r="A59" s="44">
        <v>44619</v>
      </c>
      <c r="B59" s="15" t="s">
        <v>2360</v>
      </c>
      <c r="C59" s="15">
        <v>2</v>
      </c>
      <c r="D59" s="33">
        <v>55</v>
      </c>
      <c r="E59" s="33">
        <v>110</v>
      </c>
      <c r="F59" s="33">
        <v>122.94117647058823</v>
      </c>
      <c r="G59" s="33">
        <v>209</v>
      </c>
    </row>
    <row r="60" spans="1:7">
      <c r="A60" s="44">
        <v>44620</v>
      </c>
      <c r="B60" s="15" t="s">
        <v>2365</v>
      </c>
      <c r="C60" s="15">
        <v>2</v>
      </c>
      <c r="D60" s="33">
        <v>46</v>
      </c>
      <c r="E60" s="33">
        <v>92</v>
      </c>
      <c r="F60" s="33">
        <v>102.8235294117647</v>
      </c>
      <c r="G60" s="33">
        <v>174.79999999999998</v>
      </c>
    </row>
    <row r="61" spans="1:7">
      <c r="A61" s="44">
        <v>44621</v>
      </c>
      <c r="B61" s="15" t="s">
        <v>2357</v>
      </c>
      <c r="C61" s="15">
        <v>1</v>
      </c>
      <c r="D61" s="33">
        <v>34</v>
      </c>
      <c r="E61" s="33">
        <v>34</v>
      </c>
      <c r="F61" s="33">
        <v>38</v>
      </c>
      <c r="G61" s="33">
        <v>64.599999999999994</v>
      </c>
    </row>
    <row r="62" spans="1:7">
      <c r="A62" s="44">
        <v>44622</v>
      </c>
      <c r="B62" s="15" t="s">
        <v>2360</v>
      </c>
      <c r="C62" s="15">
        <v>4</v>
      </c>
      <c r="D62" s="33">
        <v>55</v>
      </c>
      <c r="E62" s="33">
        <v>220</v>
      </c>
      <c r="F62" s="33">
        <v>245.88235294117646</v>
      </c>
      <c r="G62" s="33">
        <v>418</v>
      </c>
    </row>
    <row r="63" spans="1:7">
      <c r="A63" s="44">
        <v>44623</v>
      </c>
      <c r="B63" s="15" t="s">
        <v>2359</v>
      </c>
      <c r="C63" s="15">
        <v>1</v>
      </c>
      <c r="D63" s="33">
        <v>60</v>
      </c>
      <c r="E63" s="33">
        <v>60</v>
      </c>
      <c r="F63" s="33">
        <v>67.058823529411768</v>
      </c>
      <c r="G63" s="33">
        <v>114</v>
      </c>
    </row>
    <row r="64" spans="1:7">
      <c r="A64" s="44">
        <v>44624</v>
      </c>
      <c r="B64" s="15" t="s">
        <v>2365</v>
      </c>
      <c r="C64" s="15">
        <v>10</v>
      </c>
      <c r="D64" s="33">
        <v>46</v>
      </c>
      <c r="E64" s="33">
        <v>460</v>
      </c>
      <c r="F64" s="33">
        <v>514.11764705882354</v>
      </c>
      <c r="G64" s="33">
        <v>874</v>
      </c>
    </row>
    <row r="65" spans="1:7">
      <c r="A65" s="44">
        <v>44625</v>
      </c>
      <c r="B65" s="15" t="s">
        <v>2357</v>
      </c>
      <c r="C65" s="15">
        <v>2</v>
      </c>
      <c r="D65" s="33">
        <v>34</v>
      </c>
      <c r="E65" s="33">
        <v>68</v>
      </c>
      <c r="F65" s="33">
        <v>76</v>
      </c>
      <c r="G65" s="33">
        <v>129.19999999999999</v>
      </c>
    </row>
    <row r="66" spans="1:7">
      <c r="A66" s="44">
        <v>44626</v>
      </c>
      <c r="B66" s="15" t="s">
        <v>2365</v>
      </c>
      <c r="C66" s="15">
        <v>2</v>
      </c>
      <c r="D66" s="33">
        <v>46</v>
      </c>
      <c r="E66" s="33">
        <v>92</v>
      </c>
      <c r="F66" s="33">
        <v>102.8235294117647</v>
      </c>
      <c r="G66" s="33">
        <v>174.79999999999998</v>
      </c>
    </row>
    <row r="67" spans="1:7">
      <c r="A67" s="44">
        <v>44627</v>
      </c>
      <c r="B67" s="15" t="s">
        <v>2360</v>
      </c>
      <c r="C67" s="15">
        <v>1</v>
      </c>
      <c r="D67" s="33">
        <v>55</v>
      </c>
      <c r="E67" s="33">
        <v>55</v>
      </c>
      <c r="F67" s="33">
        <v>61.470588235294116</v>
      </c>
      <c r="G67" s="33">
        <v>104.5</v>
      </c>
    </row>
    <row r="68" spans="1:7">
      <c r="A68" s="44">
        <v>44628</v>
      </c>
      <c r="B68" s="15" t="s">
        <v>2359</v>
      </c>
      <c r="C68" s="15">
        <v>10</v>
      </c>
      <c r="D68" s="33">
        <v>60</v>
      </c>
      <c r="E68" s="33">
        <v>600</v>
      </c>
      <c r="F68" s="33">
        <v>670.58823529411768</v>
      </c>
      <c r="G68" s="33">
        <v>1140</v>
      </c>
    </row>
    <row r="69" spans="1:7">
      <c r="A69" s="44">
        <v>44629</v>
      </c>
      <c r="B69" s="15" t="s">
        <v>2360</v>
      </c>
      <c r="C69" s="15">
        <v>1</v>
      </c>
      <c r="D69" s="33">
        <v>55</v>
      </c>
      <c r="E69" s="33">
        <v>55</v>
      </c>
      <c r="F69" s="33">
        <v>61.470588235294116</v>
      </c>
      <c r="G69" s="33">
        <v>104.5</v>
      </c>
    </row>
    <row r="70" spans="1:7">
      <c r="A70" s="44">
        <v>44630</v>
      </c>
      <c r="B70" s="15" t="s">
        <v>2359</v>
      </c>
      <c r="C70" s="15">
        <v>8</v>
      </c>
      <c r="D70" s="33">
        <v>60</v>
      </c>
      <c r="E70" s="33">
        <v>480</v>
      </c>
      <c r="F70" s="33">
        <v>536.47058823529414</v>
      </c>
      <c r="G70" s="33">
        <v>912</v>
      </c>
    </row>
    <row r="71" spans="1:7">
      <c r="A71" s="44">
        <v>44631</v>
      </c>
      <c r="B71" s="15" t="s">
        <v>2365</v>
      </c>
      <c r="C71" s="15">
        <v>8</v>
      </c>
      <c r="D71" s="33">
        <v>46</v>
      </c>
      <c r="E71" s="33">
        <v>368</v>
      </c>
      <c r="F71" s="33">
        <v>411.29411764705878</v>
      </c>
      <c r="G71" s="33">
        <v>699.19999999999993</v>
      </c>
    </row>
    <row r="72" spans="1:7">
      <c r="A72" s="44">
        <v>44632</v>
      </c>
      <c r="B72" s="15" t="s">
        <v>2360</v>
      </c>
      <c r="C72" s="15">
        <v>3</v>
      </c>
      <c r="D72" s="33">
        <v>55</v>
      </c>
      <c r="E72" s="33">
        <v>165</v>
      </c>
      <c r="F72" s="33">
        <v>184.41176470588235</v>
      </c>
      <c r="G72" s="33">
        <v>313.5</v>
      </c>
    </row>
    <row r="73" spans="1:7">
      <c r="A73" s="44">
        <v>44633</v>
      </c>
      <c r="B73" s="15" t="s">
        <v>2361</v>
      </c>
      <c r="C73" s="15">
        <v>2</v>
      </c>
      <c r="D73" s="33">
        <v>65</v>
      </c>
      <c r="E73" s="33">
        <v>130</v>
      </c>
      <c r="F73" s="33">
        <v>145.29411764705884</v>
      </c>
      <c r="G73" s="33">
        <v>247</v>
      </c>
    </row>
    <row r="74" spans="1:7">
      <c r="A74" s="44">
        <v>44634</v>
      </c>
      <c r="B74" s="15" t="s">
        <v>2360</v>
      </c>
      <c r="C74" s="15">
        <v>7</v>
      </c>
      <c r="D74" s="33">
        <v>55</v>
      </c>
      <c r="E74" s="33">
        <v>385</v>
      </c>
      <c r="F74" s="33">
        <v>430.29411764705884</v>
      </c>
      <c r="G74" s="33">
        <v>731.5</v>
      </c>
    </row>
    <row r="75" spans="1:7">
      <c r="A75" s="44">
        <v>44635</v>
      </c>
      <c r="B75" s="15" t="s">
        <v>2359</v>
      </c>
      <c r="C75" s="15">
        <v>5</v>
      </c>
      <c r="D75" s="33">
        <v>60</v>
      </c>
      <c r="E75" s="33">
        <v>300</v>
      </c>
      <c r="F75" s="33">
        <v>335.29411764705884</v>
      </c>
      <c r="G75" s="33">
        <v>570</v>
      </c>
    </row>
    <row r="76" spans="1:7">
      <c r="A76" s="44">
        <v>44636</v>
      </c>
      <c r="B76" s="15" t="s">
        <v>2357</v>
      </c>
      <c r="C76" s="15">
        <v>8</v>
      </c>
      <c r="D76" s="33">
        <v>34</v>
      </c>
      <c r="E76" s="33">
        <v>272</v>
      </c>
      <c r="F76" s="33">
        <v>304</v>
      </c>
      <c r="G76" s="33">
        <v>516.79999999999995</v>
      </c>
    </row>
    <row r="77" spans="1:7">
      <c r="A77" s="44">
        <v>44637</v>
      </c>
      <c r="B77" s="15" t="s">
        <v>2361</v>
      </c>
      <c r="C77" s="15">
        <v>7</v>
      </c>
      <c r="D77" s="33">
        <v>65</v>
      </c>
      <c r="E77" s="33">
        <v>455</v>
      </c>
      <c r="F77" s="33">
        <v>508.52941176470591</v>
      </c>
      <c r="G77" s="33">
        <v>864.5</v>
      </c>
    </row>
    <row r="78" spans="1:7">
      <c r="A78" s="44">
        <v>44638</v>
      </c>
      <c r="B78" s="15" t="s">
        <v>2360</v>
      </c>
      <c r="C78" s="15">
        <v>3</v>
      </c>
      <c r="D78" s="33">
        <v>55</v>
      </c>
      <c r="E78" s="33">
        <v>165</v>
      </c>
      <c r="F78" s="33">
        <v>184.41176470588235</v>
      </c>
      <c r="G78" s="33">
        <v>313.5</v>
      </c>
    </row>
    <row r="79" spans="1:7">
      <c r="A79" s="44">
        <v>44639</v>
      </c>
      <c r="B79" s="15" t="s">
        <v>2357</v>
      </c>
      <c r="C79" s="15">
        <v>5</v>
      </c>
      <c r="D79" s="33">
        <v>34</v>
      </c>
      <c r="E79" s="33">
        <v>170</v>
      </c>
      <c r="F79" s="33">
        <v>190</v>
      </c>
      <c r="G79" s="33">
        <v>323</v>
      </c>
    </row>
    <row r="80" spans="1:7">
      <c r="A80" s="44">
        <v>44640</v>
      </c>
      <c r="B80" s="15" t="s">
        <v>2357</v>
      </c>
      <c r="C80" s="15">
        <v>2</v>
      </c>
      <c r="D80" s="33">
        <v>34</v>
      </c>
      <c r="E80" s="33">
        <v>68</v>
      </c>
      <c r="F80" s="33">
        <v>76</v>
      </c>
      <c r="G80" s="33">
        <v>129.19999999999999</v>
      </c>
    </row>
    <row r="81" spans="1:7">
      <c r="A81" s="44">
        <v>44641</v>
      </c>
      <c r="B81" s="15" t="s">
        <v>2357</v>
      </c>
      <c r="C81" s="15">
        <v>9</v>
      </c>
      <c r="D81" s="33">
        <v>34</v>
      </c>
      <c r="E81" s="33">
        <v>306</v>
      </c>
      <c r="F81" s="33">
        <v>342</v>
      </c>
      <c r="G81" s="33">
        <v>581.4</v>
      </c>
    </row>
    <row r="82" spans="1:7">
      <c r="A82" s="44">
        <v>44642</v>
      </c>
      <c r="B82" s="15" t="s">
        <v>2361</v>
      </c>
      <c r="C82" s="15">
        <v>4</v>
      </c>
      <c r="D82" s="33">
        <v>65</v>
      </c>
      <c r="E82" s="33">
        <v>260</v>
      </c>
      <c r="F82" s="33">
        <v>290.58823529411768</v>
      </c>
      <c r="G82" s="33">
        <v>494</v>
      </c>
    </row>
    <row r="83" spans="1:7">
      <c r="A83" s="44">
        <v>44643</v>
      </c>
      <c r="B83" s="15" t="s">
        <v>2357</v>
      </c>
      <c r="C83" s="15">
        <v>1</v>
      </c>
      <c r="D83" s="33">
        <v>34</v>
      </c>
      <c r="E83" s="33">
        <v>34</v>
      </c>
      <c r="F83" s="33">
        <v>38</v>
      </c>
      <c r="G83" s="33">
        <v>64.599999999999994</v>
      </c>
    </row>
    <row r="84" spans="1:7">
      <c r="A84" s="44">
        <v>44644</v>
      </c>
      <c r="B84" s="15" t="s">
        <v>2361</v>
      </c>
      <c r="C84" s="15">
        <v>1</v>
      </c>
      <c r="D84" s="33">
        <v>65</v>
      </c>
      <c r="E84" s="33">
        <v>65</v>
      </c>
      <c r="F84" s="33">
        <v>72.64705882352942</v>
      </c>
      <c r="G84" s="33">
        <v>123.5</v>
      </c>
    </row>
    <row r="85" spans="1:7">
      <c r="A85" s="44">
        <v>44645</v>
      </c>
      <c r="B85" s="15" t="s">
        <v>2365</v>
      </c>
      <c r="C85" s="15">
        <v>1</v>
      </c>
      <c r="D85" s="33">
        <v>46</v>
      </c>
      <c r="E85" s="33">
        <v>46</v>
      </c>
      <c r="F85" s="33">
        <v>51.411764705882348</v>
      </c>
      <c r="G85" s="33">
        <v>87.399999999999991</v>
      </c>
    </row>
    <row r="86" spans="1:7">
      <c r="A86" s="44">
        <v>44646</v>
      </c>
      <c r="B86" s="15" t="s">
        <v>2360</v>
      </c>
      <c r="C86" s="15">
        <v>10</v>
      </c>
      <c r="D86" s="33">
        <v>55</v>
      </c>
      <c r="E86" s="33">
        <v>550</v>
      </c>
      <c r="F86" s="33">
        <v>614.70588235294122</v>
      </c>
      <c r="G86" s="33">
        <v>1045</v>
      </c>
    </row>
    <row r="87" spans="1:7">
      <c r="A87" s="44">
        <v>44647</v>
      </c>
      <c r="B87" s="15" t="s">
        <v>2359</v>
      </c>
      <c r="C87" s="15">
        <v>5</v>
      </c>
      <c r="D87" s="33">
        <v>60</v>
      </c>
      <c r="E87" s="33">
        <v>300</v>
      </c>
      <c r="F87" s="33">
        <v>335.29411764705884</v>
      </c>
      <c r="G87" s="33">
        <v>570</v>
      </c>
    </row>
    <row r="88" spans="1:7">
      <c r="A88" s="44">
        <v>44648</v>
      </c>
      <c r="B88" s="15" t="s">
        <v>2357</v>
      </c>
      <c r="C88" s="15">
        <v>3</v>
      </c>
      <c r="D88" s="33">
        <v>34</v>
      </c>
      <c r="E88" s="33">
        <v>102</v>
      </c>
      <c r="F88" s="33">
        <v>114</v>
      </c>
      <c r="G88" s="33">
        <v>193.79999999999998</v>
      </c>
    </row>
    <row r="89" spans="1:7">
      <c r="A89" s="44">
        <v>44649</v>
      </c>
      <c r="B89" s="15" t="s">
        <v>2359</v>
      </c>
      <c r="C89" s="15">
        <v>10</v>
      </c>
      <c r="D89" s="33">
        <v>60</v>
      </c>
      <c r="E89" s="33">
        <v>600</v>
      </c>
      <c r="F89" s="33">
        <v>670.58823529411768</v>
      </c>
      <c r="G89" s="33">
        <v>1140</v>
      </c>
    </row>
    <row r="90" spans="1:7">
      <c r="A90" s="44">
        <v>44650</v>
      </c>
      <c r="B90" s="15" t="s">
        <v>2359</v>
      </c>
      <c r="C90" s="15">
        <v>9</v>
      </c>
      <c r="D90" s="33">
        <v>60</v>
      </c>
      <c r="E90" s="33">
        <v>540</v>
      </c>
      <c r="F90" s="33">
        <v>603.52941176470586</v>
      </c>
      <c r="G90" s="33">
        <v>1026</v>
      </c>
    </row>
    <row r="91" spans="1:7">
      <c r="A91" s="44">
        <v>44651</v>
      </c>
      <c r="B91" s="15" t="s">
        <v>2361</v>
      </c>
      <c r="C91" s="15">
        <v>8</v>
      </c>
      <c r="D91" s="33">
        <v>65</v>
      </c>
      <c r="E91" s="33">
        <v>520</v>
      </c>
      <c r="F91" s="33">
        <v>581.17647058823536</v>
      </c>
      <c r="G91" s="33">
        <v>988</v>
      </c>
    </row>
    <row r="92" spans="1:7">
      <c r="A92" s="44">
        <v>44652</v>
      </c>
      <c r="B92" s="15" t="s">
        <v>2365</v>
      </c>
      <c r="C92" s="15">
        <v>10</v>
      </c>
      <c r="D92" s="33">
        <v>46</v>
      </c>
      <c r="E92" s="33">
        <v>460</v>
      </c>
      <c r="F92" s="33">
        <v>514.11764705882354</v>
      </c>
      <c r="G92" s="33">
        <v>874</v>
      </c>
    </row>
    <row r="93" spans="1:7">
      <c r="A93" s="44">
        <v>44653</v>
      </c>
      <c r="B93" s="15" t="s">
        <v>2357</v>
      </c>
      <c r="C93" s="15">
        <v>2</v>
      </c>
      <c r="D93" s="33">
        <v>34</v>
      </c>
      <c r="E93" s="33">
        <v>68</v>
      </c>
      <c r="F93" s="33">
        <v>76</v>
      </c>
      <c r="G93" s="33">
        <v>129.19999999999999</v>
      </c>
    </row>
    <row r="94" spans="1:7">
      <c r="A94" s="44">
        <v>44654</v>
      </c>
      <c r="B94" s="15" t="s">
        <v>2365</v>
      </c>
      <c r="C94" s="15">
        <v>9</v>
      </c>
      <c r="D94" s="33">
        <v>46</v>
      </c>
      <c r="E94" s="33">
        <v>414</v>
      </c>
      <c r="F94" s="33">
        <v>462.70588235294116</v>
      </c>
      <c r="G94" s="33">
        <v>786.59999999999991</v>
      </c>
    </row>
    <row r="95" spans="1:7">
      <c r="A95" s="44">
        <v>44655</v>
      </c>
      <c r="B95" s="15" t="s">
        <v>2360</v>
      </c>
      <c r="C95" s="15">
        <v>6</v>
      </c>
      <c r="D95" s="33">
        <v>55</v>
      </c>
      <c r="E95" s="33">
        <v>330</v>
      </c>
      <c r="F95" s="33">
        <v>368.8235294117647</v>
      </c>
      <c r="G95" s="33">
        <v>627</v>
      </c>
    </row>
    <row r="96" spans="1:7">
      <c r="A96" s="44">
        <v>44656</v>
      </c>
      <c r="B96" s="15" t="s">
        <v>2360</v>
      </c>
      <c r="C96" s="15">
        <v>5</v>
      </c>
      <c r="D96" s="33">
        <v>55</v>
      </c>
      <c r="E96" s="33">
        <v>275</v>
      </c>
      <c r="F96" s="33">
        <v>307.35294117647061</v>
      </c>
      <c r="G96" s="33">
        <v>522.5</v>
      </c>
    </row>
    <row r="97" spans="1:7">
      <c r="A97" s="44">
        <v>44657</v>
      </c>
      <c r="B97" s="15" t="s">
        <v>2357</v>
      </c>
      <c r="C97" s="15">
        <v>7</v>
      </c>
      <c r="D97" s="33">
        <v>34</v>
      </c>
      <c r="E97" s="33">
        <v>238</v>
      </c>
      <c r="F97" s="33">
        <v>266</v>
      </c>
      <c r="G97" s="33">
        <v>452.2</v>
      </c>
    </row>
    <row r="98" spans="1:7">
      <c r="A98" s="44">
        <v>44658</v>
      </c>
      <c r="B98" s="15" t="s">
        <v>2357</v>
      </c>
      <c r="C98" s="15">
        <v>4</v>
      </c>
      <c r="D98" s="33">
        <v>34</v>
      </c>
      <c r="E98" s="33">
        <v>136</v>
      </c>
      <c r="F98" s="33">
        <v>152</v>
      </c>
      <c r="G98" s="33">
        <v>258.39999999999998</v>
      </c>
    </row>
    <row r="99" spans="1:7">
      <c r="A99" s="44">
        <v>44659</v>
      </c>
      <c r="B99" s="15" t="s">
        <v>2360</v>
      </c>
      <c r="C99" s="15">
        <v>4</v>
      </c>
      <c r="D99" s="33">
        <v>55</v>
      </c>
      <c r="E99" s="33">
        <v>220</v>
      </c>
      <c r="F99" s="33">
        <v>245.88235294117646</v>
      </c>
      <c r="G99" s="33">
        <v>418</v>
      </c>
    </row>
    <row r="100" spans="1:7">
      <c r="A100" s="44">
        <v>44660</v>
      </c>
      <c r="B100" s="15" t="s">
        <v>2357</v>
      </c>
      <c r="C100" s="15">
        <v>1</v>
      </c>
      <c r="D100" s="33">
        <v>34</v>
      </c>
      <c r="E100" s="33">
        <v>34</v>
      </c>
      <c r="F100" s="33">
        <v>38</v>
      </c>
      <c r="G100" s="33">
        <v>64.599999999999994</v>
      </c>
    </row>
    <row r="101" spans="1:7">
      <c r="A101" s="44">
        <v>44661</v>
      </c>
      <c r="B101" s="15" t="s">
        <v>2365</v>
      </c>
      <c r="C101" s="15">
        <v>10</v>
      </c>
      <c r="D101" s="33">
        <v>46</v>
      </c>
      <c r="E101" s="33">
        <v>460</v>
      </c>
      <c r="F101" s="33">
        <v>514.11764705882354</v>
      </c>
      <c r="G101" s="33">
        <v>874</v>
      </c>
    </row>
    <row r="102" spans="1:7">
      <c r="A102" s="44">
        <v>44662</v>
      </c>
      <c r="B102" s="15" t="s">
        <v>2365</v>
      </c>
      <c r="C102" s="15">
        <v>5</v>
      </c>
      <c r="D102" s="33">
        <v>46</v>
      </c>
      <c r="E102" s="33">
        <v>230</v>
      </c>
      <c r="F102" s="33">
        <v>257.05882352941177</v>
      </c>
      <c r="G102" s="33">
        <v>437</v>
      </c>
    </row>
    <row r="103" spans="1:7">
      <c r="A103" s="44">
        <v>44663</v>
      </c>
      <c r="B103" s="15" t="s">
        <v>2365</v>
      </c>
      <c r="C103" s="15">
        <v>7</v>
      </c>
      <c r="D103" s="33">
        <v>46</v>
      </c>
      <c r="E103" s="33">
        <v>322</v>
      </c>
      <c r="F103" s="33">
        <v>359.88235294117646</v>
      </c>
      <c r="G103" s="33">
        <v>611.79999999999995</v>
      </c>
    </row>
    <row r="104" spans="1:7">
      <c r="A104" s="44">
        <v>44664</v>
      </c>
      <c r="B104" s="15" t="s">
        <v>2361</v>
      </c>
      <c r="C104" s="15">
        <v>2</v>
      </c>
      <c r="D104" s="33">
        <v>65</v>
      </c>
      <c r="E104" s="33">
        <v>130</v>
      </c>
      <c r="F104" s="33">
        <v>145.29411764705884</v>
      </c>
      <c r="G104" s="33">
        <v>247</v>
      </c>
    </row>
    <row r="105" spans="1:7">
      <c r="A105" s="44">
        <v>44665</v>
      </c>
      <c r="B105" s="15" t="s">
        <v>2365</v>
      </c>
      <c r="C105" s="15">
        <v>3</v>
      </c>
      <c r="D105" s="33">
        <v>46</v>
      </c>
      <c r="E105" s="33">
        <v>138</v>
      </c>
      <c r="F105" s="33">
        <v>154.23529411764704</v>
      </c>
      <c r="G105" s="33">
        <v>262.2</v>
      </c>
    </row>
    <row r="106" spans="1:7">
      <c r="A106" s="44">
        <v>44666</v>
      </c>
      <c r="B106" s="15" t="s">
        <v>2357</v>
      </c>
      <c r="C106" s="15">
        <v>2</v>
      </c>
      <c r="D106" s="33">
        <v>34</v>
      </c>
      <c r="E106" s="33">
        <v>68</v>
      </c>
      <c r="F106" s="33">
        <v>76</v>
      </c>
      <c r="G106" s="33">
        <v>129.19999999999999</v>
      </c>
    </row>
    <row r="107" spans="1:7">
      <c r="A107" s="44">
        <v>44667</v>
      </c>
      <c r="B107" s="15" t="s">
        <v>2365</v>
      </c>
      <c r="C107" s="15">
        <v>8</v>
      </c>
      <c r="D107" s="33">
        <v>46</v>
      </c>
      <c r="E107" s="33">
        <v>368</v>
      </c>
      <c r="F107" s="33">
        <v>411.29411764705878</v>
      </c>
      <c r="G107" s="33">
        <v>699.19999999999993</v>
      </c>
    </row>
    <row r="108" spans="1:7">
      <c r="A108" s="44">
        <v>44668</v>
      </c>
      <c r="B108" s="15" t="s">
        <v>2357</v>
      </c>
      <c r="C108" s="15">
        <v>2</v>
      </c>
      <c r="D108" s="33">
        <v>34</v>
      </c>
      <c r="E108" s="33">
        <v>68</v>
      </c>
      <c r="F108" s="33">
        <v>76</v>
      </c>
      <c r="G108" s="33">
        <v>129.19999999999999</v>
      </c>
    </row>
    <row r="109" spans="1:7">
      <c r="A109" s="44">
        <v>44669</v>
      </c>
      <c r="B109" s="15" t="s">
        <v>2357</v>
      </c>
      <c r="C109" s="15">
        <v>9</v>
      </c>
      <c r="D109" s="33">
        <v>34</v>
      </c>
      <c r="E109" s="33">
        <v>306</v>
      </c>
      <c r="F109" s="33">
        <v>342</v>
      </c>
      <c r="G109" s="33">
        <v>581.4</v>
      </c>
    </row>
    <row r="110" spans="1:7">
      <c r="A110" s="44">
        <v>44670</v>
      </c>
      <c r="B110" s="15" t="s">
        <v>2357</v>
      </c>
      <c r="C110" s="15">
        <v>4</v>
      </c>
      <c r="D110" s="33">
        <v>34</v>
      </c>
      <c r="E110" s="33">
        <v>136</v>
      </c>
      <c r="F110" s="33">
        <v>152</v>
      </c>
      <c r="G110" s="33">
        <v>258.39999999999998</v>
      </c>
    </row>
    <row r="111" spans="1:7">
      <c r="A111" s="44">
        <v>44671</v>
      </c>
      <c r="B111" s="15" t="s">
        <v>2361</v>
      </c>
      <c r="C111" s="15">
        <v>6</v>
      </c>
      <c r="D111" s="33">
        <v>65</v>
      </c>
      <c r="E111" s="33">
        <v>390</v>
      </c>
      <c r="F111" s="33">
        <v>435.88235294117646</v>
      </c>
      <c r="G111" s="33">
        <v>741</v>
      </c>
    </row>
    <row r="112" spans="1:7">
      <c r="A112" s="44">
        <v>44672</v>
      </c>
      <c r="B112" s="15" t="s">
        <v>2365</v>
      </c>
      <c r="C112" s="15">
        <v>7</v>
      </c>
      <c r="D112" s="33">
        <v>46</v>
      </c>
      <c r="E112" s="33">
        <v>322</v>
      </c>
      <c r="F112" s="33">
        <v>359.88235294117646</v>
      </c>
      <c r="G112" s="33">
        <v>611.79999999999995</v>
      </c>
    </row>
    <row r="113" spans="1:7">
      <c r="A113" s="44">
        <v>44673</v>
      </c>
      <c r="B113" s="15" t="s">
        <v>2359</v>
      </c>
      <c r="C113" s="15">
        <v>2</v>
      </c>
      <c r="D113" s="33">
        <v>60</v>
      </c>
      <c r="E113" s="33">
        <v>120</v>
      </c>
      <c r="F113" s="33">
        <v>134.11764705882354</v>
      </c>
      <c r="G113" s="33">
        <v>228</v>
      </c>
    </row>
    <row r="114" spans="1:7">
      <c r="A114" s="44">
        <v>44674</v>
      </c>
      <c r="B114" s="15" t="s">
        <v>2365</v>
      </c>
      <c r="C114" s="15">
        <v>5</v>
      </c>
      <c r="D114" s="33">
        <v>46</v>
      </c>
      <c r="E114" s="33">
        <v>230</v>
      </c>
      <c r="F114" s="33">
        <v>257.05882352941177</v>
      </c>
      <c r="G114" s="33">
        <v>437</v>
      </c>
    </row>
    <row r="115" spans="1:7">
      <c r="A115" s="44">
        <v>44675</v>
      </c>
      <c r="B115" s="15" t="s">
        <v>2361</v>
      </c>
      <c r="C115" s="15">
        <v>1</v>
      </c>
      <c r="D115" s="33">
        <v>65</v>
      </c>
      <c r="E115" s="33">
        <v>65</v>
      </c>
      <c r="F115" s="33">
        <v>72.64705882352942</v>
      </c>
      <c r="G115" s="33">
        <v>123.5</v>
      </c>
    </row>
    <row r="116" spans="1:7">
      <c r="A116" s="44">
        <v>44676</v>
      </c>
      <c r="B116" s="15" t="s">
        <v>2361</v>
      </c>
      <c r="C116" s="15">
        <v>5</v>
      </c>
      <c r="D116" s="33">
        <v>65</v>
      </c>
      <c r="E116" s="33">
        <v>325</v>
      </c>
      <c r="F116" s="33">
        <v>363.23529411764707</v>
      </c>
      <c r="G116" s="33">
        <v>617.5</v>
      </c>
    </row>
    <row r="117" spans="1:7">
      <c r="A117" s="44">
        <v>44677</v>
      </c>
      <c r="B117" s="15" t="s">
        <v>2360</v>
      </c>
      <c r="C117" s="15">
        <v>7</v>
      </c>
      <c r="D117" s="33">
        <v>55</v>
      </c>
      <c r="E117" s="33">
        <v>385</v>
      </c>
      <c r="F117" s="33">
        <v>430.29411764705884</v>
      </c>
      <c r="G117" s="33">
        <v>731.5</v>
      </c>
    </row>
    <row r="118" spans="1:7">
      <c r="A118" s="44">
        <v>44678</v>
      </c>
      <c r="B118" s="15" t="s">
        <v>2365</v>
      </c>
      <c r="C118" s="15">
        <v>6</v>
      </c>
      <c r="D118" s="33">
        <v>46</v>
      </c>
      <c r="E118" s="33">
        <v>276</v>
      </c>
      <c r="F118" s="33">
        <v>308.47058823529409</v>
      </c>
      <c r="G118" s="33">
        <v>524.4</v>
      </c>
    </row>
    <row r="119" spans="1:7">
      <c r="A119" s="44">
        <v>44679</v>
      </c>
      <c r="B119" s="15" t="s">
        <v>2359</v>
      </c>
      <c r="C119" s="15">
        <v>2</v>
      </c>
      <c r="D119" s="33">
        <v>60</v>
      </c>
      <c r="E119" s="33">
        <v>120</v>
      </c>
      <c r="F119" s="33">
        <v>134.11764705882354</v>
      </c>
      <c r="G119" s="33">
        <v>228</v>
      </c>
    </row>
    <row r="120" spans="1:7">
      <c r="A120" s="44">
        <v>44680</v>
      </c>
      <c r="B120" s="15" t="s">
        <v>2365</v>
      </c>
      <c r="C120" s="15">
        <v>6</v>
      </c>
      <c r="D120" s="33">
        <v>46</v>
      </c>
      <c r="E120" s="33">
        <v>276</v>
      </c>
      <c r="F120" s="33">
        <v>308.47058823529409</v>
      </c>
      <c r="G120" s="33">
        <v>524.4</v>
      </c>
    </row>
    <row r="121" spans="1:7">
      <c r="A121" s="44">
        <v>44681</v>
      </c>
      <c r="B121" s="15" t="s">
        <v>2357</v>
      </c>
      <c r="C121" s="15">
        <v>10</v>
      </c>
      <c r="D121" s="33">
        <v>34</v>
      </c>
      <c r="E121" s="33">
        <v>340</v>
      </c>
      <c r="F121" s="33">
        <v>380</v>
      </c>
      <c r="G121" s="33">
        <v>646</v>
      </c>
    </row>
    <row r="122" spans="1:7">
      <c r="A122" s="44">
        <v>44682</v>
      </c>
      <c r="B122" s="15" t="s">
        <v>2360</v>
      </c>
      <c r="C122" s="15">
        <v>1</v>
      </c>
      <c r="D122" s="33">
        <v>55</v>
      </c>
      <c r="E122" s="33">
        <v>55</v>
      </c>
      <c r="F122" s="33">
        <v>61.470588235294116</v>
      </c>
      <c r="G122" s="33">
        <v>104.5</v>
      </c>
    </row>
    <row r="123" spans="1:7">
      <c r="A123" s="44">
        <v>44683</v>
      </c>
      <c r="B123" s="15" t="s">
        <v>2357</v>
      </c>
      <c r="C123" s="15">
        <v>4</v>
      </c>
      <c r="D123" s="33">
        <v>34</v>
      </c>
      <c r="E123" s="33">
        <v>136</v>
      </c>
      <c r="F123" s="33">
        <v>152</v>
      </c>
      <c r="G123" s="33">
        <v>258.39999999999998</v>
      </c>
    </row>
    <row r="124" spans="1:7">
      <c r="A124" s="44">
        <v>44684</v>
      </c>
      <c r="B124" s="15" t="s">
        <v>2357</v>
      </c>
      <c r="C124" s="15">
        <v>2</v>
      </c>
      <c r="D124" s="33">
        <v>34</v>
      </c>
      <c r="E124" s="33">
        <v>68</v>
      </c>
      <c r="F124" s="33">
        <v>76</v>
      </c>
      <c r="G124" s="33">
        <v>129.19999999999999</v>
      </c>
    </row>
    <row r="125" spans="1:7">
      <c r="A125" s="44">
        <v>44685</v>
      </c>
      <c r="B125" s="15" t="s">
        <v>2365</v>
      </c>
      <c r="C125" s="15">
        <v>4</v>
      </c>
      <c r="D125" s="33">
        <v>46</v>
      </c>
      <c r="E125" s="33">
        <v>184</v>
      </c>
      <c r="F125" s="33">
        <v>205.64705882352939</v>
      </c>
      <c r="G125" s="33">
        <v>349.59999999999997</v>
      </c>
    </row>
    <row r="126" spans="1:7">
      <c r="A126" s="44">
        <v>44686</v>
      </c>
      <c r="B126" s="15" t="s">
        <v>2365</v>
      </c>
      <c r="C126" s="15">
        <v>4</v>
      </c>
      <c r="D126" s="33">
        <v>46</v>
      </c>
      <c r="E126" s="33">
        <v>184</v>
      </c>
      <c r="F126" s="33">
        <v>205.64705882352939</v>
      </c>
      <c r="G126" s="33">
        <v>349.59999999999997</v>
      </c>
    </row>
    <row r="127" spans="1:7">
      <c r="A127" s="44">
        <v>44687</v>
      </c>
      <c r="B127" s="15" t="s">
        <v>2360</v>
      </c>
      <c r="C127" s="15">
        <v>5</v>
      </c>
      <c r="D127" s="33">
        <v>55</v>
      </c>
      <c r="E127" s="33">
        <v>275</v>
      </c>
      <c r="F127" s="33">
        <v>307.35294117647061</v>
      </c>
      <c r="G127" s="33">
        <v>522.5</v>
      </c>
    </row>
    <row r="128" spans="1:7">
      <c r="A128" s="44">
        <v>44688</v>
      </c>
      <c r="B128" s="15" t="s">
        <v>2365</v>
      </c>
      <c r="C128" s="15">
        <v>3</v>
      </c>
      <c r="D128" s="33">
        <v>46</v>
      </c>
      <c r="E128" s="33">
        <v>138</v>
      </c>
      <c r="F128" s="33">
        <v>154.23529411764704</v>
      </c>
      <c r="G128" s="33">
        <v>262.2</v>
      </c>
    </row>
    <row r="129" spans="1:7">
      <c r="A129" s="44">
        <v>44689</v>
      </c>
      <c r="B129" s="15" t="s">
        <v>2361</v>
      </c>
      <c r="C129" s="15">
        <v>10</v>
      </c>
      <c r="D129" s="33">
        <v>65</v>
      </c>
      <c r="E129" s="33">
        <v>650</v>
      </c>
      <c r="F129" s="33">
        <v>726.47058823529414</v>
      </c>
      <c r="G129" s="33">
        <v>1235</v>
      </c>
    </row>
    <row r="130" spans="1:7">
      <c r="A130" s="44">
        <v>44690</v>
      </c>
      <c r="B130" s="15" t="s">
        <v>2360</v>
      </c>
      <c r="C130" s="15">
        <v>5</v>
      </c>
      <c r="D130" s="33">
        <v>55</v>
      </c>
      <c r="E130" s="33">
        <v>275</v>
      </c>
      <c r="F130" s="33">
        <v>307.35294117647061</v>
      </c>
      <c r="G130" s="33">
        <v>522.5</v>
      </c>
    </row>
    <row r="131" spans="1:7">
      <c r="A131" s="44">
        <v>44691</v>
      </c>
      <c r="B131" s="15" t="s">
        <v>2359</v>
      </c>
      <c r="C131" s="15">
        <v>4</v>
      </c>
      <c r="D131" s="33">
        <v>60</v>
      </c>
      <c r="E131" s="33">
        <v>240</v>
      </c>
      <c r="F131" s="33">
        <v>268.23529411764707</v>
      </c>
      <c r="G131" s="33">
        <v>456</v>
      </c>
    </row>
    <row r="132" spans="1:7">
      <c r="A132" s="44">
        <v>44692</v>
      </c>
      <c r="B132" s="15" t="s">
        <v>2359</v>
      </c>
      <c r="C132" s="15">
        <v>8</v>
      </c>
      <c r="D132" s="33">
        <v>60</v>
      </c>
      <c r="E132" s="33">
        <v>480</v>
      </c>
      <c r="F132" s="33">
        <v>536.47058823529414</v>
      </c>
      <c r="G132" s="33">
        <v>912</v>
      </c>
    </row>
    <row r="133" spans="1:7">
      <c r="A133" s="44">
        <v>44693</v>
      </c>
      <c r="B133" s="15" t="s">
        <v>2361</v>
      </c>
      <c r="C133" s="15">
        <v>1</v>
      </c>
      <c r="D133" s="33">
        <v>65</v>
      </c>
      <c r="E133" s="33">
        <v>65</v>
      </c>
      <c r="F133" s="33">
        <v>72.64705882352942</v>
      </c>
      <c r="G133" s="33">
        <v>123.5</v>
      </c>
    </row>
    <row r="134" spans="1:7">
      <c r="A134" s="44">
        <v>44694</v>
      </c>
      <c r="B134" s="15" t="s">
        <v>2360</v>
      </c>
      <c r="C134" s="15">
        <v>1</v>
      </c>
      <c r="D134" s="33">
        <v>55</v>
      </c>
      <c r="E134" s="33">
        <v>55</v>
      </c>
      <c r="F134" s="33">
        <v>61.470588235294116</v>
      </c>
      <c r="G134" s="33">
        <v>104.5</v>
      </c>
    </row>
    <row r="135" spans="1:7">
      <c r="A135" s="44">
        <v>44695</v>
      </c>
      <c r="B135" s="15" t="s">
        <v>2357</v>
      </c>
      <c r="C135" s="15">
        <v>3</v>
      </c>
      <c r="D135" s="33">
        <v>34</v>
      </c>
      <c r="E135" s="33">
        <v>102</v>
      </c>
      <c r="F135" s="33">
        <v>114</v>
      </c>
      <c r="G135" s="33">
        <v>193.79999999999998</v>
      </c>
    </row>
    <row r="136" spans="1:7">
      <c r="A136" s="44">
        <v>44696</v>
      </c>
      <c r="B136" s="15" t="s">
        <v>2360</v>
      </c>
      <c r="C136" s="15">
        <v>8</v>
      </c>
      <c r="D136" s="33">
        <v>55</v>
      </c>
      <c r="E136" s="33">
        <v>440</v>
      </c>
      <c r="F136" s="33">
        <v>491.76470588235293</v>
      </c>
      <c r="G136" s="33">
        <v>836</v>
      </c>
    </row>
    <row r="137" spans="1:7">
      <c r="A137" s="44">
        <v>44697</v>
      </c>
      <c r="B137" s="15" t="s">
        <v>2357</v>
      </c>
      <c r="C137" s="15">
        <v>5</v>
      </c>
      <c r="D137" s="33">
        <v>34</v>
      </c>
      <c r="E137" s="33">
        <v>170</v>
      </c>
      <c r="F137" s="33">
        <v>190</v>
      </c>
      <c r="G137" s="33">
        <v>323</v>
      </c>
    </row>
    <row r="138" spans="1:7">
      <c r="A138" s="44">
        <v>44698</v>
      </c>
      <c r="B138" s="15" t="s">
        <v>2360</v>
      </c>
      <c r="C138" s="15">
        <v>6</v>
      </c>
      <c r="D138" s="33">
        <v>55</v>
      </c>
      <c r="E138" s="33">
        <v>330</v>
      </c>
      <c r="F138" s="33">
        <v>368.8235294117647</v>
      </c>
      <c r="G138" s="33">
        <v>627</v>
      </c>
    </row>
    <row r="139" spans="1:7">
      <c r="A139" s="44">
        <v>44699</v>
      </c>
      <c r="B139" s="15" t="s">
        <v>2357</v>
      </c>
      <c r="C139" s="15">
        <v>7</v>
      </c>
      <c r="D139" s="33">
        <v>34</v>
      </c>
      <c r="E139" s="33">
        <v>238</v>
      </c>
      <c r="F139" s="33">
        <v>266</v>
      </c>
      <c r="G139" s="33">
        <v>452.2</v>
      </c>
    </row>
    <row r="140" spans="1:7">
      <c r="A140" s="44">
        <v>44700</v>
      </c>
      <c r="B140" s="15" t="s">
        <v>2365</v>
      </c>
      <c r="C140" s="15">
        <v>2</v>
      </c>
      <c r="D140" s="33">
        <v>46</v>
      </c>
      <c r="E140" s="33">
        <v>92</v>
      </c>
      <c r="F140" s="33">
        <v>102.8235294117647</v>
      </c>
      <c r="G140" s="33">
        <v>174.79999999999998</v>
      </c>
    </row>
    <row r="141" spans="1:7">
      <c r="A141" s="44">
        <v>44701</v>
      </c>
      <c r="B141" s="15" t="s">
        <v>2360</v>
      </c>
      <c r="C141" s="15">
        <v>10</v>
      </c>
      <c r="D141" s="33">
        <v>55</v>
      </c>
      <c r="E141" s="33">
        <v>550</v>
      </c>
      <c r="F141" s="33">
        <v>614.70588235294122</v>
      </c>
      <c r="G141" s="33">
        <v>1045</v>
      </c>
    </row>
    <row r="142" spans="1:7">
      <c r="A142" s="44">
        <v>44702</v>
      </c>
      <c r="B142" s="15" t="s">
        <v>2360</v>
      </c>
      <c r="C142" s="15">
        <v>2</v>
      </c>
      <c r="D142" s="33">
        <v>55</v>
      </c>
      <c r="E142" s="33">
        <v>110</v>
      </c>
      <c r="F142" s="33">
        <v>122.94117647058823</v>
      </c>
      <c r="G142" s="33">
        <v>209</v>
      </c>
    </row>
    <row r="143" spans="1:7">
      <c r="A143" s="44">
        <v>44703</v>
      </c>
      <c r="B143" s="15" t="s">
        <v>2365</v>
      </c>
      <c r="C143" s="15">
        <v>8</v>
      </c>
      <c r="D143" s="33">
        <v>46</v>
      </c>
      <c r="E143" s="33">
        <v>368</v>
      </c>
      <c r="F143" s="33">
        <v>411.29411764705878</v>
      </c>
      <c r="G143" s="33">
        <v>699.19999999999993</v>
      </c>
    </row>
    <row r="144" spans="1:7">
      <c r="A144" s="44">
        <v>44704</v>
      </c>
      <c r="B144" s="15" t="s">
        <v>2360</v>
      </c>
      <c r="C144" s="15">
        <v>6</v>
      </c>
      <c r="D144" s="33">
        <v>55</v>
      </c>
      <c r="E144" s="33">
        <v>330</v>
      </c>
      <c r="F144" s="33">
        <v>368.8235294117647</v>
      </c>
      <c r="G144" s="33">
        <v>627</v>
      </c>
    </row>
    <row r="145" spans="1:7">
      <c r="A145" s="44">
        <v>44705</v>
      </c>
      <c r="B145" s="15" t="s">
        <v>2359</v>
      </c>
      <c r="C145" s="15">
        <v>7</v>
      </c>
      <c r="D145" s="33">
        <v>60</v>
      </c>
      <c r="E145" s="33">
        <v>420</v>
      </c>
      <c r="F145" s="33">
        <v>469.41176470588238</v>
      </c>
      <c r="G145" s="33">
        <v>798</v>
      </c>
    </row>
    <row r="146" spans="1:7">
      <c r="A146" s="44">
        <v>44706</v>
      </c>
      <c r="B146" s="15" t="s">
        <v>2361</v>
      </c>
      <c r="C146" s="15">
        <v>8</v>
      </c>
      <c r="D146" s="33">
        <v>65</v>
      </c>
      <c r="E146" s="33">
        <v>520</v>
      </c>
      <c r="F146" s="33">
        <v>581.17647058823536</v>
      </c>
      <c r="G146" s="33">
        <v>988</v>
      </c>
    </row>
    <row r="147" spans="1:7">
      <c r="A147" s="44">
        <v>44707</v>
      </c>
      <c r="B147" s="15" t="s">
        <v>2365</v>
      </c>
      <c r="C147" s="15">
        <v>7</v>
      </c>
      <c r="D147" s="33">
        <v>46</v>
      </c>
      <c r="E147" s="33">
        <v>322</v>
      </c>
      <c r="F147" s="33">
        <v>359.88235294117646</v>
      </c>
      <c r="G147" s="33">
        <v>611.79999999999995</v>
      </c>
    </row>
    <row r="148" spans="1:7">
      <c r="A148" s="44">
        <v>44708</v>
      </c>
      <c r="B148" s="15" t="s">
        <v>2365</v>
      </c>
      <c r="C148" s="15">
        <v>9</v>
      </c>
      <c r="D148" s="33">
        <v>46</v>
      </c>
      <c r="E148" s="33">
        <v>414</v>
      </c>
      <c r="F148" s="33">
        <v>462.70588235294116</v>
      </c>
      <c r="G148" s="33">
        <v>786.59999999999991</v>
      </c>
    </row>
    <row r="149" spans="1:7">
      <c r="A149" s="44">
        <v>44709</v>
      </c>
      <c r="B149" s="15" t="s">
        <v>2357</v>
      </c>
      <c r="C149" s="15">
        <v>9</v>
      </c>
      <c r="D149" s="33">
        <v>34</v>
      </c>
      <c r="E149" s="33">
        <v>306</v>
      </c>
      <c r="F149" s="33">
        <v>342</v>
      </c>
      <c r="G149" s="33">
        <v>581.4</v>
      </c>
    </row>
    <row r="150" spans="1:7">
      <c r="A150" s="44">
        <v>44710</v>
      </c>
      <c r="B150" s="15" t="s">
        <v>2360</v>
      </c>
      <c r="C150" s="15">
        <v>9</v>
      </c>
      <c r="D150" s="33">
        <v>55</v>
      </c>
      <c r="E150" s="33">
        <v>495</v>
      </c>
      <c r="F150" s="33">
        <v>553.23529411764707</v>
      </c>
      <c r="G150" s="33">
        <v>940.5</v>
      </c>
    </row>
    <row r="151" spans="1:7">
      <c r="A151" s="44">
        <v>44711</v>
      </c>
      <c r="B151" s="15" t="s">
        <v>2357</v>
      </c>
      <c r="C151" s="15">
        <v>2</v>
      </c>
      <c r="D151" s="33">
        <v>34</v>
      </c>
      <c r="E151" s="33">
        <v>68</v>
      </c>
      <c r="F151" s="33">
        <v>76</v>
      </c>
      <c r="G151" s="33">
        <v>129.19999999999999</v>
      </c>
    </row>
    <row r="152" spans="1:7">
      <c r="A152" s="44">
        <v>44712</v>
      </c>
      <c r="B152" s="15" t="s">
        <v>2359</v>
      </c>
      <c r="C152" s="15">
        <v>1</v>
      </c>
      <c r="D152" s="33">
        <v>60</v>
      </c>
      <c r="E152" s="33">
        <v>60</v>
      </c>
      <c r="F152" s="33">
        <v>67.058823529411768</v>
      </c>
      <c r="G152" s="33">
        <v>114</v>
      </c>
    </row>
    <row r="153" spans="1:7">
      <c r="A153" s="44">
        <v>44713</v>
      </c>
      <c r="B153" s="15" t="s">
        <v>2365</v>
      </c>
      <c r="C153" s="15">
        <v>5</v>
      </c>
      <c r="D153" s="33">
        <v>46</v>
      </c>
      <c r="E153" s="33">
        <v>230</v>
      </c>
      <c r="F153" s="33">
        <v>257.05882352941177</v>
      </c>
      <c r="G153" s="33">
        <v>437</v>
      </c>
    </row>
    <row r="154" spans="1:7">
      <c r="A154" s="44">
        <v>44714</v>
      </c>
      <c r="B154" s="15" t="s">
        <v>2361</v>
      </c>
      <c r="C154" s="15">
        <v>7</v>
      </c>
      <c r="D154" s="33">
        <v>65</v>
      </c>
      <c r="E154" s="33">
        <v>455</v>
      </c>
      <c r="F154" s="33">
        <v>508.52941176470591</v>
      </c>
      <c r="G154" s="33">
        <v>864.5</v>
      </c>
    </row>
    <row r="155" spans="1:7">
      <c r="A155" s="44">
        <v>44715</v>
      </c>
      <c r="B155" s="15" t="s">
        <v>2361</v>
      </c>
      <c r="C155" s="15">
        <v>10</v>
      </c>
      <c r="D155" s="33">
        <v>65</v>
      </c>
      <c r="E155" s="33">
        <v>650</v>
      </c>
      <c r="F155" s="33">
        <v>726.47058823529414</v>
      </c>
      <c r="G155" s="33">
        <v>1235</v>
      </c>
    </row>
    <row r="156" spans="1:7">
      <c r="A156" s="44">
        <v>44716</v>
      </c>
      <c r="B156" s="15" t="s">
        <v>2365</v>
      </c>
      <c r="C156" s="15">
        <v>6</v>
      </c>
      <c r="D156" s="33">
        <v>46</v>
      </c>
      <c r="E156" s="33">
        <v>276</v>
      </c>
      <c r="F156" s="33">
        <v>308.47058823529409</v>
      </c>
      <c r="G156" s="33">
        <v>524.4</v>
      </c>
    </row>
    <row r="157" spans="1:7">
      <c r="A157" s="44">
        <v>44717</v>
      </c>
      <c r="B157" s="15" t="s">
        <v>2365</v>
      </c>
      <c r="C157" s="15">
        <v>3</v>
      </c>
      <c r="D157" s="33">
        <v>46</v>
      </c>
      <c r="E157" s="33">
        <v>138</v>
      </c>
      <c r="F157" s="33">
        <v>154.23529411764704</v>
      </c>
      <c r="G157" s="33">
        <v>262.2</v>
      </c>
    </row>
    <row r="158" spans="1:7">
      <c r="A158" s="44">
        <v>44718</v>
      </c>
      <c r="B158" s="15" t="s">
        <v>2357</v>
      </c>
      <c r="C158" s="15">
        <v>5</v>
      </c>
      <c r="D158" s="33">
        <v>34</v>
      </c>
      <c r="E158" s="33">
        <v>170</v>
      </c>
      <c r="F158" s="33">
        <v>190</v>
      </c>
      <c r="G158" s="33">
        <v>323</v>
      </c>
    </row>
    <row r="159" spans="1:7">
      <c r="A159" s="44">
        <v>44719</v>
      </c>
      <c r="B159" s="15" t="s">
        <v>2360</v>
      </c>
      <c r="C159" s="15">
        <v>3</v>
      </c>
      <c r="D159" s="33">
        <v>55</v>
      </c>
      <c r="E159" s="33">
        <v>165</v>
      </c>
      <c r="F159" s="33">
        <v>184.41176470588235</v>
      </c>
      <c r="G159" s="33">
        <v>313.5</v>
      </c>
    </row>
    <row r="160" spans="1:7">
      <c r="A160" s="44">
        <v>44720</v>
      </c>
      <c r="B160" s="15" t="s">
        <v>2359</v>
      </c>
      <c r="C160" s="15">
        <v>9</v>
      </c>
      <c r="D160" s="33">
        <v>60</v>
      </c>
      <c r="E160" s="33">
        <v>540</v>
      </c>
      <c r="F160" s="33">
        <v>603.52941176470586</v>
      </c>
      <c r="G160" s="33">
        <v>1026</v>
      </c>
    </row>
    <row r="161" spans="1:7">
      <c r="A161" s="44">
        <v>44721</v>
      </c>
      <c r="B161" s="15" t="s">
        <v>2361</v>
      </c>
      <c r="C161" s="15">
        <v>2</v>
      </c>
      <c r="D161" s="33">
        <v>65</v>
      </c>
      <c r="E161" s="33">
        <v>130</v>
      </c>
      <c r="F161" s="33">
        <v>145.29411764705884</v>
      </c>
      <c r="G161" s="33">
        <v>247</v>
      </c>
    </row>
    <row r="162" spans="1:7">
      <c r="A162" s="44">
        <v>44722</v>
      </c>
      <c r="B162" s="15" t="s">
        <v>2359</v>
      </c>
      <c r="C162" s="15">
        <v>2</v>
      </c>
      <c r="D162" s="33">
        <v>60</v>
      </c>
      <c r="E162" s="33">
        <v>120</v>
      </c>
      <c r="F162" s="33">
        <v>134.11764705882354</v>
      </c>
      <c r="G162" s="33">
        <v>228</v>
      </c>
    </row>
    <row r="163" spans="1:7">
      <c r="A163" s="44">
        <v>44723</v>
      </c>
      <c r="B163" s="15" t="s">
        <v>2365</v>
      </c>
      <c r="C163" s="15">
        <v>10</v>
      </c>
      <c r="D163" s="33">
        <v>46</v>
      </c>
      <c r="E163" s="33">
        <v>460</v>
      </c>
      <c r="F163" s="33">
        <v>514.11764705882354</v>
      </c>
      <c r="G163" s="33">
        <v>874</v>
      </c>
    </row>
    <row r="164" spans="1:7">
      <c r="A164" s="44">
        <v>44724</v>
      </c>
      <c r="B164" s="15" t="s">
        <v>2361</v>
      </c>
      <c r="C164" s="15">
        <v>2</v>
      </c>
      <c r="D164" s="33">
        <v>65</v>
      </c>
      <c r="E164" s="33">
        <v>130</v>
      </c>
      <c r="F164" s="33">
        <v>145.29411764705884</v>
      </c>
      <c r="G164" s="33">
        <v>247</v>
      </c>
    </row>
    <row r="165" spans="1:7">
      <c r="A165" s="44">
        <v>44725</v>
      </c>
      <c r="B165" s="15" t="s">
        <v>2357</v>
      </c>
      <c r="C165" s="15">
        <v>5</v>
      </c>
      <c r="D165" s="33">
        <v>34</v>
      </c>
      <c r="E165" s="33">
        <v>170</v>
      </c>
      <c r="F165" s="33">
        <v>190</v>
      </c>
      <c r="G165" s="33">
        <v>323</v>
      </c>
    </row>
    <row r="166" spans="1:7">
      <c r="A166" s="44">
        <v>44726</v>
      </c>
      <c r="B166" s="15" t="s">
        <v>2361</v>
      </c>
      <c r="C166" s="15">
        <v>8</v>
      </c>
      <c r="D166" s="33">
        <v>65</v>
      </c>
      <c r="E166" s="33">
        <v>520</v>
      </c>
      <c r="F166" s="33">
        <v>581.17647058823536</v>
      </c>
      <c r="G166" s="33">
        <v>988</v>
      </c>
    </row>
    <row r="167" spans="1:7">
      <c r="A167" s="44">
        <v>44727</v>
      </c>
      <c r="B167" s="15" t="s">
        <v>2361</v>
      </c>
      <c r="C167" s="15">
        <v>1</v>
      </c>
      <c r="D167" s="33">
        <v>65</v>
      </c>
      <c r="E167" s="33">
        <v>65</v>
      </c>
      <c r="F167" s="33">
        <v>72.64705882352942</v>
      </c>
      <c r="G167" s="33">
        <v>123.5</v>
      </c>
    </row>
    <row r="168" spans="1:7">
      <c r="A168" s="44">
        <v>44728</v>
      </c>
      <c r="B168" s="15" t="s">
        <v>2365</v>
      </c>
      <c r="C168" s="15">
        <v>7</v>
      </c>
      <c r="D168" s="33">
        <v>46</v>
      </c>
      <c r="E168" s="33">
        <v>322</v>
      </c>
      <c r="F168" s="33">
        <v>359.88235294117646</v>
      </c>
      <c r="G168" s="33">
        <v>611.79999999999995</v>
      </c>
    </row>
    <row r="169" spans="1:7">
      <c r="A169" s="44">
        <v>44729</v>
      </c>
      <c r="B169" s="15" t="s">
        <v>2361</v>
      </c>
      <c r="C169" s="15">
        <v>4</v>
      </c>
      <c r="D169" s="33">
        <v>65</v>
      </c>
      <c r="E169" s="33">
        <v>260</v>
      </c>
      <c r="F169" s="33">
        <v>290.58823529411768</v>
      </c>
      <c r="G169" s="33">
        <v>494</v>
      </c>
    </row>
    <row r="170" spans="1:7">
      <c r="A170" s="44">
        <v>44730</v>
      </c>
      <c r="B170" s="15" t="s">
        <v>2361</v>
      </c>
      <c r="C170" s="15">
        <v>6</v>
      </c>
      <c r="D170" s="33">
        <v>65</v>
      </c>
      <c r="E170" s="33">
        <v>390</v>
      </c>
      <c r="F170" s="33">
        <v>435.88235294117646</v>
      </c>
      <c r="G170" s="33">
        <v>741</v>
      </c>
    </row>
    <row r="171" spans="1:7">
      <c r="A171" s="44">
        <v>44731</v>
      </c>
      <c r="B171" s="15" t="s">
        <v>2360</v>
      </c>
      <c r="C171" s="15">
        <v>6</v>
      </c>
      <c r="D171" s="33">
        <v>55</v>
      </c>
      <c r="E171" s="33">
        <v>330</v>
      </c>
      <c r="F171" s="33">
        <v>368.8235294117647</v>
      </c>
      <c r="G171" s="33">
        <v>627</v>
      </c>
    </row>
    <row r="172" spans="1:7">
      <c r="A172" s="44">
        <v>44732</v>
      </c>
      <c r="B172" s="15" t="s">
        <v>2359</v>
      </c>
      <c r="C172" s="15">
        <v>7</v>
      </c>
      <c r="D172" s="33">
        <v>60</v>
      </c>
      <c r="E172" s="33">
        <v>420</v>
      </c>
      <c r="F172" s="33">
        <v>469.41176470588238</v>
      </c>
      <c r="G172" s="33">
        <v>798</v>
      </c>
    </row>
    <row r="173" spans="1:7">
      <c r="A173" s="44">
        <v>44733</v>
      </c>
      <c r="B173" s="15" t="s">
        <v>2360</v>
      </c>
      <c r="C173" s="15">
        <v>1</v>
      </c>
      <c r="D173" s="33">
        <v>55</v>
      </c>
      <c r="E173" s="33">
        <v>55</v>
      </c>
      <c r="F173" s="33">
        <v>61.470588235294116</v>
      </c>
      <c r="G173" s="33">
        <v>104.5</v>
      </c>
    </row>
    <row r="174" spans="1:7">
      <c r="A174" s="44">
        <v>44734</v>
      </c>
      <c r="B174" s="15" t="s">
        <v>2365</v>
      </c>
      <c r="C174" s="15">
        <v>2</v>
      </c>
      <c r="D174" s="33">
        <v>46</v>
      </c>
      <c r="E174" s="33">
        <v>92</v>
      </c>
      <c r="F174" s="33">
        <v>102.8235294117647</v>
      </c>
      <c r="G174" s="33">
        <v>174.79999999999998</v>
      </c>
    </row>
    <row r="175" spans="1:7">
      <c r="A175" s="44">
        <v>44735</v>
      </c>
      <c r="B175" s="15" t="s">
        <v>2359</v>
      </c>
      <c r="C175" s="15">
        <v>4</v>
      </c>
      <c r="D175" s="33">
        <v>60</v>
      </c>
      <c r="E175" s="33">
        <v>240</v>
      </c>
      <c r="F175" s="33">
        <v>268.23529411764707</v>
      </c>
      <c r="G175" s="33">
        <v>456</v>
      </c>
    </row>
    <row r="176" spans="1:7">
      <c r="A176" s="44">
        <v>44736</v>
      </c>
      <c r="B176" s="15" t="s">
        <v>2365</v>
      </c>
      <c r="C176" s="15">
        <v>9</v>
      </c>
      <c r="D176" s="33">
        <v>46</v>
      </c>
      <c r="E176" s="33">
        <v>414</v>
      </c>
      <c r="F176" s="33">
        <v>462.70588235294116</v>
      </c>
      <c r="G176" s="33">
        <v>786.59999999999991</v>
      </c>
    </row>
    <row r="177" spans="1:7">
      <c r="A177" s="44">
        <v>44737</v>
      </c>
      <c r="B177" s="15" t="s">
        <v>2359</v>
      </c>
      <c r="C177" s="15">
        <v>2</v>
      </c>
      <c r="D177" s="33">
        <v>60</v>
      </c>
      <c r="E177" s="33">
        <v>120</v>
      </c>
      <c r="F177" s="33">
        <v>134.11764705882354</v>
      </c>
      <c r="G177" s="33">
        <v>228</v>
      </c>
    </row>
    <row r="178" spans="1:7">
      <c r="A178" s="44">
        <v>44738</v>
      </c>
      <c r="B178" s="15" t="s">
        <v>2360</v>
      </c>
      <c r="C178" s="15">
        <v>10</v>
      </c>
      <c r="D178" s="33">
        <v>55</v>
      </c>
      <c r="E178" s="33">
        <v>550</v>
      </c>
      <c r="F178" s="33">
        <v>614.70588235294122</v>
      </c>
      <c r="G178" s="33">
        <v>1045</v>
      </c>
    </row>
    <row r="179" spans="1:7">
      <c r="A179" s="44">
        <v>44739</v>
      </c>
      <c r="B179" s="15" t="s">
        <v>2365</v>
      </c>
      <c r="C179" s="15">
        <v>8</v>
      </c>
      <c r="D179" s="33">
        <v>46</v>
      </c>
      <c r="E179" s="33">
        <v>368</v>
      </c>
      <c r="F179" s="33">
        <v>411.29411764705878</v>
      </c>
      <c r="G179" s="33">
        <v>699.19999999999993</v>
      </c>
    </row>
    <row r="180" spans="1:7">
      <c r="A180" s="44">
        <v>44740</v>
      </c>
      <c r="B180" s="15" t="s">
        <v>2357</v>
      </c>
      <c r="C180" s="15">
        <v>1</v>
      </c>
      <c r="D180" s="33">
        <v>34</v>
      </c>
      <c r="E180" s="33">
        <v>34</v>
      </c>
      <c r="F180" s="33">
        <v>38</v>
      </c>
      <c r="G180" s="33">
        <v>64.599999999999994</v>
      </c>
    </row>
    <row r="181" spans="1:7">
      <c r="A181" s="44">
        <v>44741</v>
      </c>
      <c r="B181" s="15" t="s">
        <v>2365</v>
      </c>
      <c r="C181" s="15">
        <v>3</v>
      </c>
      <c r="D181" s="33">
        <v>46</v>
      </c>
      <c r="E181" s="33">
        <v>138</v>
      </c>
      <c r="F181" s="33">
        <v>154.23529411764704</v>
      </c>
      <c r="G181" s="33">
        <v>262.2</v>
      </c>
    </row>
    <row r="182" spans="1:7">
      <c r="A182" s="44">
        <v>44742</v>
      </c>
      <c r="B182" s="15" t="s">
        <v>2357</v>
      </c>
      <c r="C182" s="15">
        <v>6</v>
      </c>
      <c r="D182" s="33">
        <v>34</v>
      </c>
      <c r="E182" s="33">
        <v>204</v>
      </c>
      <c r="F182" s="33">
        <v>228</v>
      </c>
      <c r="G182" s="33">
        <v>387.59999999999997</v>
      </c>
    </row>
    <row r="183" spans="1:7">
      <c r="A183" s="44">
        <v>44743</v>
      </c>
      <c r="B183" s="15" t="s">
        <v>2360</v>
      </c>
      <c r="C183" s="15">
        <v>8</v>
      </c>
      <c r="D183" s="33">
        <v>55</v>
      </c>
      <c r="E183" s="33">
        <v>440</v>
      </c>
      <c r="F183" s="33">
        <v>491.76470588235293</v>
      </c>
      <c r="G183" s="33">
        <v>836</v>
      </c>
    </row>
    <row r="184" spans="1:7">
      <c r="A184" s="44">
        <v>44744</v>
      </c>
      <c r="B184" s="15" t="s">
        <v>2359</v>
      </c>
      <c r="C184" s="15">
        <v>9</v>
      </c>
      <c r="D184" s="33">
        <v>60</v>
      </c>
      <c r="E184" s="33">
        <v>540</v>
      </c>
      <c r="F184" s="33">
        <v>603.52941176470586</v>
      </c>
      <c r="G184" s="33">
        <v>1026</v>
      </c>
    </row>
    <row r="185" spans="1:7">
      <c r="A185" s="44">
        <v>44745</v>
      </c>
      <c r="B185" s="15" t="s">
        <v>2357</v>
      </c>
      <c r="C185" s="15">
        <v>9</v>
      </c>
      <c r="D185" s="33">
        <v>34</v>
      </c>
      <c r="E185" s="33">
        <v>306</v>
      </c>
      <c r="F185" s="33">
        <v>342</v>
      </c>
      <c r="G185" s="33">
        <v>581.4</v>
      </c>
    </row>
    <row r="186" spans="1:7">
      <c r="A186" s="44">
        <v>44746</v>
      </c>
      <c r="B186" s="15" t="s">
        <v>2360</v>
      </c>
      <c r="C186" s="15">
        <v>4</v>
      </c>
      <c r="D186" s="33">
        <v>55</v>
      </c>
      <c r="E186" s="33">
        <v>220</v>
      </c>
      <c r="F186" s="33">
        <v>245.88235294117646</v>
      </c>
      <c r="G186" s="33">
        <v>418</v>
      </c>
    </row>
    <row r="187" spans="1:7">
      <c r="A187" s="44">
        <v>44747</v>
      </c>
      <c r="B187" s="15" t="s">
        <v>2360</v>
      </c>
      <c r="C187" s="15">
        <v>3</v>
      </c>
      <c r="D187" s="33">
        <v>55</v>
      </c>
      <c r="E187" s="33">
        <v>165</v>
      </c>
      <c r="F187" s="33">
        <v>184.41176470588235</v>
      </c>
      <c r="G187" s="33">
        <v>313.5</v>
      </c>
    </row>
    <row r="188" spans="1:7">
      <c r="A188" s="44">
        <v>44748</v>
      </c>
      <c r="B188" s="15" t="s">
        <v>2360</v>
      </c>
      <c r="C188" s="15">
        <v>10</v>
      </c>
      <c r="D188" s="33">
        <v>55</v>
      </c>
      <c r="E188" s="33">
        <v>550</v>
      </c>
      <c r="F188" s="33">
        <v>614.70588235294122</v>
      </c>
      <c r="G188" s="33">
        <v>1045</v>
      </c>
    </row>
    <row r="189" spans="1:7">
      <c r="A189" s="44">
        <v>44749</v>
      </c>
      <c r="B189" s="15" t="s">
        <v>2360</v>
      </c>
      <c r="C189" s="15">
        <v>6</v>
      </c>
      <c r="D189" s="33">
        <v>55</v>
      </c>
      <c r="E189" s="33">
        <v>330</v>
      </c>
      <c r="F189" s="33">
        <v>368.8235294117647</v>
      </c>
      <c r="G189" s="33">
        <v>627</v>
      </c>
    </row>
    <row r="190" spans="1:7">
      <c r="A190" s="44">
        <v>44750</v>
      </c>
      <c r="B190" s="15" t="s">
        <v>2361</v>
      </c>
      <c r="C190" s="15">
        <v>3</v>
      </c>
      <c r="D190" s="33">
        <v>65</v>
      </c>
      <c r="E190" s="33">
        <v>195</v>
      </c>
      <c r="F190" s="33">
        <v>217.94117647058823</v>
      </c>
      <c r="G190" s="33">
        <v>370.5</v>
      </c>
    </row>
    <row r="191" spans="1:7">
      <c r="A191" s="44">
        <v>44751</v>
      </c>
      <c r="B191" s="15" t="s">
        <v>2359</v>
      </c>
      <c r="C191" s="15">
        <v>2</v>
      </c>
      <c r="D191" s="33">
        <v>60</v>
      </c>
      <c r="E191" s="33">
        <v>120</v>
      </c>
      <c r="F191" s="33">
        <v>134.11764705882354</v>
      </c>
      <c r="G191" s="33">
        <v>228</v>
      </c>
    </row>
    <row r="192" spans="1:7">
      <c r="A192" s="44">
        <v>44752</v>
      </c>
      <c r="B192" s="15" t="s">
        <v>2361</v>
      </c>
      <c r="C192" s="15">
        <v>10</v>
      </c>
      <c r="D192" s="33">
        <v>65</v>
      </c>
      <c r="E192" s="33">
        <v>650</v>
      </c>
      <c r="F192" s="33">
        <v>726.47058823529414</v>
      </c>
      <c r="G192" s="33">
        <v>1235</v>
      </c>
    </row>
    <row r="193" spans="1:7">
      <c r="A193" s="44">
        <v>44753</v>
      </c>
      <c r="B193" s="15" t="s">
        <v>2360</v>
      </c>
      <c r="C193" s="15">
        <v>2</v>
      </c>
      <c r="D193" s="33">
        <v>55</v>
      </c>
      <c r="E193" s="33">
        <v>110</v>
      </c>
      <c r="F193" s="33">
        <v>122.94117647058823</v>
      </c>
      <c r="G193" s="33">
        <v>209</v>
      </c>
    </row>
    <row r="194" spans="1:7">
      <c r="A194" s="44">
        <v>44754</v>
      </c>
      <c r="B194" s="15" t="s">
        <v>2359</v>
      </c>
      <c r="C194" s="15">
        <v>8</v>
      </c>
      <c r="D194" s="33">
        <v>60</v>
      </c>
      <c r="E194" s="33">
        <v>480</v>
      </c>
      <c r="F194" s="33">
        <v>536.47058823529414</v>
      </c>
      <c r="G194" s="33">
        <v>912</v>
      </c>
    </row>
    <row r="195" spans="1:7">
      <c r="A195" s="44">
        <v>44755</v>
      </c>
      <c r="B195" s="15" t="s">
        <v>2361</v>
      </c>
      <c r="C195" s="15">
        <v>3</v>
      </c>
      <c r="D195" s="33">
        <v>65</v>
      </c>
      <c r="E195" s="33">
        <v>195</v>
      </c>
      <c r="F195" s="33">
        <v>217.94117647058823</v>
      </c>
      <c r="G195" s="33">
        <v>370.5</v>
      </c>
    </row>
    <row r="196" spans="1:7">
      <c r="A196" s="44">
        <v>44756</v>
      </c>
      <c r="B196" s="15" t="s">
        <v>2361</v>
      </c>
      <c r="C196" s="15">
        <v>5</v>
      </c>
      <c r="D196" s="33">
        <v>65</v>
      </c>
      <c r="E196" s="33">
        <v>325</v>
      </c>
      <c r="F196" s="33">
        <v>363.23529411764707</v>
      </c>
      <c r="G196" s="33">
        <v>617.5</v>
      </c>
    </row>
    <row r="197" spans="1:7">
      <c r="A197" s="44">
        <v>44757</v>
      </c>
      <c r="B197" s="15" t="s">
        <v>2359</v>
      </c>
      <c r="C197" s="15">
        <v>9</v>
      </c>
      <c r="D197" s="33">
        <v>60</v>
      </c>
      <c r="E197" s="33">
        <v>540</v>
      </c>
      <c r="F197" s="33">
        <v>603.52941176470586</v>
      </c>
      <c r="G197" s="33">
        <v>1026</v>
      </c>
    </row>
    <row r="198" spans="1:7">
      <c r="A198" s="44">
        <v>44758</v>
      </c>
      <c r="B198" s="15" t="s">
        <v>2359</v>
      </c>
      <c r="C198" s="15">
        <v>3</v>
      </c>
      <c r="D198" s="33">
        <v>60</v>
      </c>
      <c r="E198" s="33">
        <v>180</v>
      </c>
      <c r="F198" s="33">
        <v>201.1764705882353</v>
      </c>
      <c r="G198" s="33">
        <v>342</v>
      </c>
    </row>
    <row r="199" spans="1:7">
      <c r="A199" s="44">
        <v>44759</v>
      </c>
      <c r="B199" s="15" t="s">
        <v>2361</v>
      </c>
      <c r="C199" s="15">
        <v>7</v>
      </c>
      <c r="D199" s="33">
        <v>65</v>
      </c>
      <c r="E199" s="33">
        <v>455</v>
      </c>
      <c r="F199" s="33">
        <v>508.52941176470591</v>
      </c>
      <c r="G199" s="33">
        <v>864.5</v>
      </c>
    </row>
    <row r="200" spans="1:7">
      <c r="A200" s="44">
        <v>44760</v>
      </c>
      <c r="B200" s="15" t="s">
        <v>2365</v>
      </c>
      <c r="C200" s="15">
        <v>3</v>
      </c>
      <c r="D200" s="33">
        <v>46</v>
      </c>
      <c r="E200" s="33">
        <v>138</v>
      </c>
      <c r="F200" s="33">
        <v>154.23529411764704</v>
      </c>
      <c r="G200" s="33">
        <v>262.2</v>
      </c>
    </row>
    <row r="201" spans="1:7">
      <c r="A201" s="44">
        <v>44761</v>
      </c>
      <c r="B201" s="15" t="s">
        <v>2357</v>
      </c>
      <c r="C201" s="15">
        <v>7</v>
      </c>
      <c r="D201" s="33">
        <v>34</v>
      </c>
      <c r="E201" s="33">
        <v>238</v>
      </c>
      <c r="F201" s="33">
        <v>266</v>
      </c>
      <c r="G201" s="33">
        <v>452.2</v>
      </c>
    </row>
    <row r="202" spans="1:7">
      <c r="A202" s="44">
        <v>44762</v>
      </c>
      <c r="B202" s="15" t="s">
        <v>2360</v>
      </c>
      <c r="C202" s="15">
        <v>9</v>
      </c>
      <c r="D202" s="33">
        <v>55</v>
      </c>
      <c r="E202" s="33">
        <v>495</v>
      </c>
      <c r="F202" s="33">
        <v>553.23529411764707</v>
      </c>
      <c r="G202" s="33">
        <v>940.5</v>
      </c>
    </row>
    <row r="203" spans="1:7">
      <c r="A203" s="44">
        <v>44763</v>
      </c>
      <c r="B203" s="15" t="s">
        <v>2359</v>
      </c>
      <c r="C203" s="15">
        <v>9</v>
      </c>
      <c r="D203" s="33">
        <v>60</v>
      </c>
      <c r="E203" s="33">
        <v>540</v>
      </c>
      <c r="F203" s="33">
        <v>603.52941176470586</v>
      </c>
      <c r="G203" s="33">
        <v>1026</v>
      </c>
    </row>
    <row r="204" spans="1:7">
      <c r="A204" s="44">
        <v>44764</v>
      </c>
      <c r="B204" s="15" t="s">
        <v>2365</v>
      </c>
      <c r="C204" s="15">
        <v>2</v>
      </c>
      <c r="D204" s="33">
        <v>46</v>
      </c>
      <c r="E204" s="33">
        <v>92</v>
      </c>
      <c r="F204" s="33">
        <v>102.8235294117647</v>
      </c>
      <c r="G204" s="33">
        <v>174.79999999999998</v>
      </c>
    </row>
    <row r="205" spans="1:7">
      <c r="A205" s="44">
        <v>44765</v>
      </c>
      <c r="B205" s="15" t="s">
        <v>2361</v>
      </c>
      <c r="C205" s="15">
        <v>2</v>
      </c>
      <c r="D205" s="33">
        <v>65</v>
      </c>
      <c r="E205" s="33">
        <v>130</v>
      </c>
      <c r="F205" s="33">
        <v>145.29411764705884</v>
      </c>
      <c r="G205" s="33">
        <v>247</v>
      </c>
    </row>
    <row r="206" spans="1:7">
      <c r="A206" s="44">
        <v>44766</v>
      </c>
      <c r="B206" s="15" t="s">
        <v>2361</v>
      </c>
      <c r="C206" s="15">
        <v>6</v>
      </c>
      <c r="D206" s="33">
        <v>65</v>
      </c>
      <c r="E206" s="33">
        <v>390</v>
      </c>
      <c r="F206" s="33">
        <v>435.88235294117646</v>
      </c>
      <c r="G206" s="33">
        <v>741</v>
      </c>
    </row>
    <row r="207" spans="1:7">
      <c r="A207" s="44">
        <v>44767</v>
      </c>
      <c r="B207" s="15" t="s">
        <v>2365</v>
      </c>
      <c r="C207" s="15">
        <v>6</v>
      </c>
      <c r="D207" s="33">
        <v>46</v>
      </c>
      <c r="E207" s="33">
        <v>276</v>
      </c>
      <c r="F207" s="33">
        <v>308.47058823529409</v>
      </c>
      <c r="G207" s="33">
        <v>524.4</v>
      </c>
    </row>
    <row r="208" spans="1:7">
      <c r="A208" s="44">
        <v>44768</v>
      </c>
      <c r="B208" s="15" t="s">
        <v>2365</v>
      </c>
      <c r="C208" s="15">
        <v>1</v>
      </c>
      <c r="D208" s="33">
        <v>46</v>
      </c>
      <c r="E208" s="33">
        <v>46</v>
      </c>
      <c r="F208" s="33">
        <v>51.411764705882348</v>
      </c>
      <c r="G208" s="33">
        <v>87.399999999999991</v>
      </c>
    </row>
    <row r="209" spans="1:7">
      <c r="A209" s="44">
        <v>44769</v>
      </c>
      <c r="B209" s="15" t="s">
        <v>2361</v>
      </c>
      <c r="C209" s="15">
        <v>6</v>
      </c>
      <c r="D209" s="33">
        <v>65</v>
      </c>
      <c r="E209" s="33">
        <v>390</v>
      </c>
      <c r="F209" s="33">
        <v>435.88235294117646</v>
      </c>
      <c r="G209" s="33">
        <v>741</v>
      </c>
    </row>
    <row r="210" spans="1:7">
      <c r="A210" s="44">
        <v>44770</v>
      </c>
      <c r="B210" s="15" t="s">
        <v>2360</v>
      </c>
      <c r="C210" s="15">
        <v>10</v>
      </c>
      <c r="D210" s="33">
        <v>55</v>
      </c>
      <c r="E210" s="33">
        <v>550</v>
      </c>
      <c r="F210" s="33">
        <v>614.70588235294122</v>
      </c>
      <c r="G210" s="33">
        <v>1045</v>
      </c>
    </row>
    <row r="211" spans="1:7">
      <c r="A211" s="44">
        <v>44771</v>
      </c>
      <c r="B211" s="15" t="s">
        <v>2360</v>
      </c>
      <c r="C211" s="15">
        <v>9</v>
      </c>
      <c r="D211" s="33">
        <v>55</v>
      </c>
      <c r="E211" s="33">
        <v>495</v>
      </c>
      <c r="F211" s="33">
        <v>553.23529411764707</v>
      </c>
      <c r="G211" s="33">
        <v>940.5</v>
      </c>
    </row>
    <row r="212" spans="1:7">
      <c r="A212" s="44">
        <v>44772</v>
      </c>
      <c r="B212" s="15" t="s">
        <v>2357</v>
      </c>
      <c r="C212" s="15">
        <v>5</v>
      </c>
      <c r="D212" s="33">
        <v>34</v>
      </c>
      <c r="E212" s="33">
        <v>170</v>
      </c>
      <c r="F212" s="33">
        <v>190</v>
      </c>
      <c r="G212" s="33">
        <v>323</v>
      </c>
    </row>
    <row r="213" spans="1:7">
      <c r="A213" s="44">
        <v>44773</v>
      </c>
      <c r="B213" s="15" t="s">
        <v>2361</v>
      </c>
      <c r="C213" s="15">
        <v>8</v>
      </c>
      <c r="D213" s="33">
        <v>65</v>
      </c>
      <c r="E213" s="33">
        <v>520</v>
      </c>
      <c r="F213" s="33">
        <v>581.17647058823536</v>
      </c>
      <c r="G213" s="33">
        <v>988</v>
      </c>
    </row>
    <row r="214" spans="1:7">
      <c r="A214" s="44">
        <v>44774</v>
      </c>
      <c r="B214" s="15" t="s">
        <v>2360</v>
      </c>
      <c r="C214" s="15">
        <v>7</v>
      </c>
      <c r="D214" s="33">
        <v>55</v>
      </c>
      <c r="E214" s="33">
        <v>385</v>
      </c>
      <c r="F214" s="33">
        <v>430.29411764705884</v>
      </c>
      <c r="G214" s="33">
        <v>731.5</v>
      </c>
    </row>
    <row r="215" spans="1:7">
      <c r="A215" s="44">
        <v>44775</v>
      </c>
      <c r="B215" s="15" t="s">
        <v>2359</v>
      </c>
      <c r="C215" s="15">
        <v>9</v>
      </c>
      <c r="D215" s="33">
        <v>60</v>
      </c>
      <c r="E215" s="33">
        <v>540</v>
      </c>
      <c r="F215" s="33">
        <v>603.52941176470586</v>
      </c>
      <c r="G215" s="33">
        <v>1026</v>
      </c>
    </row>
    <row r="216" spans="1:7">
      <c r="A216" s="44">
        <v>44776</v>
      </c>
      <c r="B216" s="15" t="s">
        <v>2359</v>
      </c>
      <c r="C216" s="15">
        <v>3</v>
      </c>
      <c r="D216" s="33">
        <v>60</v>
      </c>
      <c r="E216" s="33">
        <v>180</v>
      </c>
      <c r="F216" s="33">
        <v>201.1764705882353</v>
      </c>
      <c r="G216" s="33">
        <v>342</v>
      </c>
    </row>
    <row r="217" spans="1:7">
      <c r="A217" s="44">
        <v>44777</v>
      </c>
      <c r="B217" s="15" t="s">
        <v>2357</v>
      </c>
      <c r="C217" s="15">
        <v>10</v>
      </c>
      <c r="D217" s="33">
        <v>34</v>
      </c>
      <c r="E217" s="33">
        <v>340</v>
      </c>
      <c r="F217" s="33">
        <v>380</v>
      </c>
      <c r="G217" s="33">
        <v>646</v>
      </c>
    </row>
    <row r="218" spans="1:7">
      <c r="A218" s="44">
        <v>44778</v>
      </c>
      <c r="B218" s="15" t="s">
        <v>2365</v>
      </c>
      <c r="C218" s="15">
        <v>7</v>
      </c>
      <c r="D218" s="33">
        <v>46</v>
      </c>
      <c r="E218" s="33">
        <v>322</v>
      </c>
      <c r="F218" s="33">
        <v>359.88235294117646</v>
      </c>
      <c r="G218" s="33">
        <v>611.79999999999995</v>
      </c>
    </row>
    <row r="219" spans="1:7">
      <c r="A219" s="44">
        <v>44779</v>
      </c>
      <c r="B219" s="15" t="s">
        <v>2357</v>
      </c>
      <c r="C219" s="15">
        <v>7</v>
      </c>
      <c r="D219" s="33">
        <v>34</v>
      </c>
      <c r="E219" s="33">
        <v>238</v>
      </c>
      <c r="F219" s="33">
        <v>266</v>
      </c>
      <c r="G219" s="33">
        <v>452.2</v>
      </c>
    </row>
    <row r="220" spans="1:7">
      <c r="A220" s="44">
        <v>44780</v>
      </c>
      <c r="B220" s="15" t="s">
        <v>2357</v>
      </c>
      <c r="C220" s="15">
        <v>8</v>
      </c>
      <c r="D220" s="33">
        <v>34</v>
      </c>
      <c r="E220" s="33">
        <v>272</v>
      </c>
      <c r="F220" s="33">
        <v>304</v>
      </c>
      <c r="G220" s="33">
        <v>516.79999999999995</v>
      </c>
    </row>
    <row r="221" spans="1:7">
      <c r="A221" s="44">
        <v>44781</v>
      </c>
      <c r="B221" s="15" t="s">
        <v>2357</v>
      </c>
      <c r="C221" s="15">
        <v>1</v>
      </c>
      <c r="D221" s="33">
        <v>34</v>
      </c>
      <c r="E221" s="33">
        <v>34</v>
      </c>
      <c r="F221" s="33">
        <v>38</v>
      </c>
      <c r="G221" s="33">
        <v>64.599999999999994</v>
      </c>
    </row>
    <row r="222" spans="1:7">
      <c r="A222" s="44">
        <v>44782</v>
      </c>
      <c r="B222" s="15" t="s">
        <v>2365</v>
      </c>
      <c r="C222" s="15">
        <v>6</v>
      </c>
      <c r="D222" s="33">
        <v>46</v>
      </c>
      <c r="E222" s="33">
        <v>276</v>
      </c>
      <c r="F222" s="33">
        <v>308.47058823529409</v>
      </c>
      <c r="G222" s="33">
        <v>524.4</v>
      </c>
    </row>
    <row r="223" spans="1:7">
      <c r="A223" s="44">
        <v>44783</v>
      </c>
      <c r="B223" s="15" t="s">
        <v>2359</v>
      </c>
      <c r="C223" s="15">
        <v>6</v>
      </c>
      <c r="D223" s="33">
        <v>60</v>
      </c>
      <c r="E223" s="33">
        <v>360</v>
      </c>
      <c r="F223" s="33">
        <v>402.35294117647061</v>
      </c>
      <c r="G223" s="33">
        <v>684</v>
      </c>
    </row>
    <row r="224" spans="1:7">
      <c r="A224" s="44">
        <v>44784</v>
      </c>
      <c r="B224" s="15" t="s">
        <v>2360</v>
      </c>
      <c r="C224" s="15">
        <v>1</v>
      </c>
      <c r="D224" s="33">
        <v>55</v>
      </c>
      <c r="E224" s="33">
        <v>55</v>
      </c>
      <c r="F224" s="33">
        <v>61.470588235294116</v>
      </c>
      <c r="G224" s="33">
        <v>104.5</v>
      </c>
    </row>
    <row r="225" spans="1:7">
      <c r="A225" s="44">
        <v>44785</v>
      </c>
      <c r="B225" s="15" t="s">
        <v>2365</v>
      </c>
      <c r="C225" s="15">
        <v>4</v>
      </c>
      <c r="D225" s="33">
        <v>46</v>
      </c>
      <c r="E225" s="33">
        <v>184</v>
      </c>
      <c r="F225" s="33">
        <v>205.64705882352939</v>
      </c>
      <c r="G225" s="33">
        <v>349.59999999999997</v>
      </c>
    </row>
    <row r="226" spans="1:7">
      <c r="A226" s="44">
        <v>44786</v>
      </c>
      <c r="B226" s="15" t="s">
        <v>2359</v>
      </c>
      <c r="C226" s="15">
        <v>5</v>
      </c>
      <c r="D226" s="33">
        <v>60</v>
      </c>
      <c r="E226" s="33">
        <v>300</v>
      </c>
      <c r="F226" s="33">
        <v>335.29411764705884</v>
      </c>
      <c r="G226" s="33">
        <v>570</v>
      </c>
    </row>
    <row r="227" spans="1:7">
      <c r="A227" s="44">
        <v>44787</v>
      </c>
      <c r="B227" s="15" t="s">
        <v>2359</v>
      </c>
      <c r="C227" s="15">
        <v>5</v>
      </c>
      <c r="D227" s="33">
        <v>60</v>
      </c>
      <c r="E227" s="33">
        <v>300</v>
      </c>
      <c r="F227" s="33">
        <v>335.29411764705884</v>
      </c>
      <c r="G227" s="33">
        <v>570</v>
      </c>
    </row>
    <row r="228" spans="1:7">
      <c r="A228" s="44">
        <v>44788</v>
      </c>
      <c r="B228" s="15" t="s">
        <v>2365</v>
      </c>
      <c r="C228" s="15">
        <v>5</v>
      </c>
      <c r="D228" s="33">
        <v>46</v>
      </c>
      <c r="E228" s="33">
        <v>230</v>
      </c>
      <c r="F228" s="33">
        <v>257.05882352941177</v>
      </c>
      <c r="G228" s="33">
        <v>437</v>
      </c>
    </row>
    <row r="229" spans="1:7">
      <c r="A229" s="44">
        <v>44789</v>
      </c>
      <c r="B229" s="15" t="s">
        <v>2357</v>
      </c>
      <c r="C229" s="15">
        <v>6</v>
      </c>
      <c r="D229" s="33">
        <v>34</v>
      </c>
      <c r="E229" s="33">
        <v>204</v>
      </c>
      <c r="F229" s="33">
        <v>228</v>
      </c>
      <c r="G229" s="33">
        <v>387.59999999999997</v>
      </c>
    </row>
    <row r="230" spans="1:7">
      <c r="A230" s="44">
        <v>44790</v>
      </c>
      <c r="B230" s="15" t="s">
        <v>2360</v>
      </c>
      <c r="C230" s="15">
        <v>2</v>
      </c>
      <c r="D230" s="33">
        <v>55</v>
      </c>
      <c r="E230" s="33">
        <v>110</v>
      </c>
      <c r="F230" s="33">
        <v>122.94117647058823</v>
      </c>
      <c r="G230" s="33">
        <v>209</v>
      </c>
    </row>
    <row r="231" spans="1:7">
      <c r="A231" s="44">
        <v>44791</v>
      </c>
      <c r="B231" s="15" t="s">
        <v>2365</v>
      </c>
      <c r="C231" s="15">
        <v>6</v>
      </c>
      <c r="D231" s="33">
        <v>46</v>
      </c>
      <c r="E231" s="33">
        <v>276</v>
      </c>
      <c r="F231" s="33">
        <v>308.47058823529409</v>
      </c>
      <c r="G231" s="33">
        <v>524.4</v>
      </c>
    </row>
    <row r="232" spans="1:7">
      <c r="A232" s="44">
        <v>44792</v>
      </c>
      <c r="B232" s="15" t="s">
        <v>2365</v>
      </c>
      <c r="C232" s="15">
        <v>3</v>
      </c>
      <c r="D232" s="33">
        <v>46</v>
      </c>
      <c r="E232" s="33">
        <v>138</v>
      </c>
      <c r="F232" s="33">
        <v>154.23529411764704</v>
      </c>
      <c r="G232" s="33">
        <v>262.2</v>
      </c>
    </row>
    <row r="233" spans="1:7">
      <c r="A233" s="44">
        <v>44793</v>
      </c>
      <c r="B233" s="15" t="s">
        <v>2365</v>
      </c>
      <c r="C233" s="15">
        <v>10</v>
      </c>
      <c r="D233" s="33">
        <v>46</v>
      </c>
      <c r="E233" s="33">
        <v>460</v>
      </c>
      <c r="F233" s="33">
        <v>514.11764705882354</v>
      </c>
      <c r="G233" s="33">
        <v>874</v>
      </c>
    </row>
    <row r="234" spans="1:7">
      <c r="A234" s="44">
        <v>44794</v>
      </c>
      <c r="B234" s="15" t="s">
        <v>2360</v>
      </c>
      <c r="C234" s="15">
        <v>3</v>
      </c>
      <c r="D234" s="33">
        <v>55</v>
      </c>
      <c r="E234" s="33">
        <v>165</v>
      </c>
      <c r="F234" s="33">
        <v>184.41176470588235</v>
      </c>
      <c r="G234" s="33">
        <v>313.5</v>
      </c>
    </row>
    <row r="235" spans="1:7">
      <c r="A235" s="44">
        <v>44795</v>
      </c>
      <c r="B235" s="15" t="s">
        <v>2361</v>
      </c>
      <c r="C235" s="15">
        <v>10</v>
      </c>
      <c r="D235" s="33">
        <v>65</v>
      </c>
      <c r="E235" s="33">
        <v>650</v>
      </c>
      <c r="F235" s="33">
        <v>726.47058823529414</v>
      </c>
      <c r="G235" s="33">
        <v>1235</v>
      </c>
    </row>
    <row r="236" spans="1:7">
      <c r="A236" s="44">
        <v>44796</v>
      </c>
      <c r="B236" s="15" t="s">
        <v>2365</v>
      </c>
      <c r="C236" s="15">
        <v>9</v>
      </c>
      <c r="D236" s="33">
        <v>46</v>
      </c>
      <c r="E236" s="33">
        <v>414</v>
      </c>
      <c r="F236" s="33">
        <v>462.70588235294116</v>
      </c>
      <c r="G236" s="33">
        <v>786.59999999999991</v>
      </c>
    </row>
    <row r="237" spans="1:7">
      <c r="A237" s="44">
        <v>44797</v>
      </c>
      <c r="B237" s="15" t="s">
        <v>2361</v>
      </c>
      <c r="C237" s="15">
        <v>9</v>
      </c>
      <c r="D237" s="33">
        <v>65</v>
      </c>
      <c r="E237" s="33">
        <v>585</v>
      </c>
      <c r="F237" s="33">
        <v>653.82352941176475</v>
      </c>
      <c r="G237" s="33">
        <v>1111.5</v>
      </c>
    </row>
    <row r="238" spans="1:7">
      <c r="A238" s="44">
        <v>44798</v>
      </c>
      <c r="B238" s="15" t="s">
        <v>2365</v>
      </c>
      <c r="C238" s="15">
        <v>10</v>
      </c>
      <c r="D238" s="33">
        <v>46</v>
      </c>
      <c r="E238" s="33">
        <v>460</v>
      </c>
      <c r="F238" s="33">
        <v>514.11764705882354</v>
      </c>
      <c r="G238" s="33">
        <v>874</v>
      </c>
    </row>
    <row r="239" spans="1:7">
      <c r="A239" s="44">
        <v>44799</v>
      </c>
      <c r="B239" s="15" t="s">
        <v>2361</v>
      </c>
      <c r="C239" s="15">
        <v>4</v>
      </c>
      <c r="D239" s="33">
        <v>65</v>
      </c>
      <c r="E239" s="33">
        <v>260</v>
      </c>
      <c r="F239" s="33">
        <v>290.58823529411768</v>
      </c>
      <c r="G239" s="33">
        <v>494</v>
      </c>
    </row>
    <row r="240" spans="1:7">
      <c r="A240" s="44">
        <v>44800</v>
      </c>
      <c r="B240" s="15" t="s">
        <v>2357</v>
      </c>
      <c r="C240" s="15">
        <v>6</v>
      </c>
      <c r="D240" s="33">
        <v>34</v>
      </c>
      <c r="E240" s="33">
        <v>204</v>
      </c>
      <c r="F240" s="33">
        <v>228</v>
      </c>
      <c r="G240" s="33">
        <v>387.59999999999997</v>
      </c>
    </row>
    <row r="241" spans="1:7">
      <c r="A241" s="44">
        <v>44801</v>
      </c>
      <c r="B241" s="15" t="s">
        <v>2360</v>
      </c>
      <c r="C241" s="15">
        <v>10</v>
      </c>
      <c r="D241" s="33">
        <v>55</v>
      </c>
      <c r="E241" s="33">
        <v>550</v>
      </c>
      <c r="F241" s="33">
        <v>614.70588235294122</v>
      </c>
      <c r="G241" s="33">
        <v>1045</v>
      </c>
    </row>
    <row r="242" spans="1:7">
      <c r="A242" s="44">
        <v>44802</v>
      </c>
      <c r="B242" s="15" t="s">
        <v>2357</v>
      </c>
      <c r="C242" s="15">
        <v>7</v>
      </c>
      <c r="D242" s="33">
        <v>34</v>
      </c>
      <c r="E242" s="33">
        <v>238</v>
      </c>
      <c r="F242" s="33">
        <v>266</v>
      </c>
      <c r="G242" s="33">
        <v>452.2</v>
      </c>
    </row>
    <row r="243" spans="1:7">
      <c r="A243" s="44">
        <v>44803</v>
      </c>
      <c r="B243" s="15" t="s">
        <v>2359</v>
      </c>
      <c r="C243" s="15">
        <v>7</v>
      </c>
      <c r="D243" s="33">
        <v>60</v>
      </c>
      <c r="E243" s="33">
        <v>420</v>
      </c>
      <c r="F243" s="33">
        <v>469.41176470588238</v>
      </c>
      <c r="G243" s="33">
        <v>798</v>
      </c>
    </row>
    <row r="244" spans="1:7">
      <c r="A244" s="44">
        <v>44804</v>
      </c>
      <c r="B244" s="15" t="s">
        <v>2360</v>
      </c>
      <c r="C244" s="15">
        <v>1</v>
      </c>
      <c r="D244" s="33">
        <v>55</v>
      </c>
      <c r="E244" s="33">
        <v>55</v>
      </c>
      <c r="F244" s="33">
        <v>61.470588235294116</v>
      </c>
      <c r="G244" s="33">
        <v>104.5</v>
      </c>
    </row>
    <row r="245" spans="1:7">
      <c r="A245" s="44">
        <v>44805</v>
      </c>
      <c r="B245" s="15" t="s">
        <v>2360</v>
      </c>
      <c r="C245" s="15">
        <v>6</v>
      </c>
      <c r="D245" s="33">
        <v>55</v>
      </c>
      <c r="E245" s="33">
        <v>330</v>
      </c>
      <c r="F245" s="33">
        <v>368.8235294117647</v>
      </c>
      <c r="G245" s="33">
        <v>627</v>
      </c>
    </row>
    <row r="246" spans="1:7">
      <c r="A246" s="44">
        <v>44806</v>
      </c>
      <c r="B246" s="15" t="s">
        <v>2357</v>
      </c>
      <c r="C246" s="15">
        <v>5</v>
      </c>
      <c r="D246" s="33">
        <v>34</v>
      </c>
      <c r="E246" s="33">
        <v>170</v>
      </c>
      <c r="F246" s="33">
        <v>190</v>
      </c>
      <c r="G246" s="33">
        <v>323</v>
      </c>
    </row>
    <row r="247" spans="1:7">
      <c r="A247" s="44">
        <v>44807</v>
      </c>
      <c r="B247" s="15" t="s">
        <v>2361</v>
      </c>
      <c r="C247" s="15">
        <v>4</v>
      </c>
      <c r="D247" s="33">
        <v>65</v>
      </c>
      <c r="E247" s="33">
        <v>260</v>
      </c>
      <c r="F247" s="33">
        <v>290.58823529411768</v>
      </c>
      <c r="G247" s="33">
        <v>494</v>
      </c>
    </row>
    <row r="248" spans="1:7">
      <c r="A248" s="44">
        <v>44808</v>
      </c>
      <c r="B248" s="15" t="s">
        <v>2357</v>
      </c>
      <c r="C248" s="15">
        <v>9</v>
      </c>
      <c r="D248" s="33">
        <v>34</v>
      </c>
      <c r="E248" s="33">
        <v>306</v>
      </c>
      <c r="F248" s="33">
        <v>342</v>
      </c>
      <c r="G248" s="33">
        <v>581.4</v>
      </c>
    </row>
    <row r="249" spans="1:7">
      <c r="A249" s="44">
        <v>44809</v>
      </c>
      <c r="B249" s="15" t="s">
        <v>2360</v>
      </c>
      <c r="C249" s="15">
        <v>10</v>
      </c>
      <c r="D249" s="33">
        <v>55</v>
      </c>
      <c r="E249" s="33">
        <v>550</v>
      </c>
      <c r="F249" s="33">
        <v>614.70588235294122</v>
      </c>
      <c r="G249" s="33">
        <v>1045</v>
      </c>
    </row>
    <row r="250" spans="1:7">
      <c r="A250" s="44">
        <v>44810</v>
      </c>
      <c r="B250" s="15" t="s">
        <v>2361</v>
      </c>
      <c r="C250" s="15">
        <v>10</v>
      </c>
      <c r="D250" s="33">
        <v>65</v>
      </c>
      <c r="E250" s="33">
        <v>650</v>
      </c>
      <c r="F250" s="33">
        <v>726.47058823529414</v>
      </c>
      <c r="G250" s="33">
        <v>1235</v>
      </c>
    </row>
    <row r="251" spans="1:7">
      <c r="A251" s="44">
        <v>44811</v>
      </c>
      <c r="B251" s="15" t="s">
        <v>2365</v>
      </c>
      <c r="C251" s="15">
        <v>4</v>
      </c>
      <c r="D251" s="33">
        <v>46</v>
      </c>
      <c r="E251" s="33">
        <v>184</v>
      </c>
      <c r="F251" s="33">
        <v>205.64705882352939</v>
      </c>
      <c r="G251" s="33">
        <v>349.59999999999997</v>
      </c>
    </row>
    <row r="252" spans="1:7">
      <c r="A252" s="44">
        <v>44812</v>
      </c>
      <c r="B252" s="15" t="s">
        <v>2357</v>
      </c>
      <c r="C252" s="15">
        <v>6</v>
      </c>
      <c r="D252" s="33">
        <v>34</v>
      </c>
      <c r="E252" s="33">
        <v>204</v>
      </c>
      <c r="F252" s="33">
        <v>228</v>
      </c>
      <c r="G252" s="33">
        <v>387.59999999999997</v>
      </c>
    </row>
    <row r="253" spans="1:7">
      <c r="A253" s="44">
        <v>44813</v>
      </c>
      <c r="B253" s="15" t="s">
        <v>2360</v>
      </c>
      <c r="C253" s="15">
        <v>1</v>
      </c>
      <c r="D253" s="33">
        <v>55</v>
      </c>
      <c r="E253" s="33">
        <v>55</v>
      </c>
      <c r="F253" s="33">
        <v>61.470588235294116</v>
      </c>
      <c r="G253" s="33">
        <v>104.5</v>
      </c>
    </row>
    <row r="254" spans="1:7">
      <c r="A254" s="44">
        <v>44814</v>
      </c>
      <c r="B254" s="15" t="s">
        <v>2361</v>
      </c>
      <c r="C254" s="15">
        <v>8</v>
      </c>
      <c r="D254" s="33">
        <v>65</v>
      </c>
      <c r="E254" s="33">
        <v>520</v>
      </c>
      <c r="F254" s="33">
        <v>581.17647058823536</v>
      </c>
      <c r="G254" s="33">
        <v>988</v>
      </c>
    </row>
    <row r="255" spans="1:7">
      <c r="A255" s="44">
        <v>44815</v>
      </c>
      <c r="B255" s="15" t="s">
        <v>2365</v>
      </c>
      <c r="C255" s="15">
        <v>1</v>
      </c>
      <c r="D255" s="33">
        <v>46</v>
      </c>
      <c r="E255" s="33">
        <v>46</v>
      </c>
      <c r="F255" s="33">
        <v>51.411764705882348</v>
      </c>
      <c r="G255" s="33">
        <v>87.399999999999991</v>
      </c>
    </row>
    <row r="256" spans="1:7">
      <c r="A256" s="44">
        <v>44816</v>
      </c>
      <c r="B256" s="15" t="s">
        <v>2360</v>
      </c>
      <c r="C256" s="15">
        <v>8</v>
      </c>
      <c r="D256" s="33">
        <v>55</v>
      </c>
      <c r="E256" s="33">
        <v>440</v>
      </c>
      <c r="F256" s="33">
        <v>491.76470588235293</v>
      </c>
      <c r="G256" s="33">
        <v>836</v>
      </c>
    </row>
    <row r="257" spans="1:7">
      <c r="A257" s="44">
        <v>44817</v>
      </c>
      <c r="B257" s="15" t="s">
        <v>2361</v>
      </c>
      <c r="C257" s="15">
        <v>9</v>
      </c>
      <c r="D257" s="33">
        <v>65</v>
      </c>
      <c r="E257" s="33">
        <v>585</v>
      </c>
      <c r="F257" s="33">
        <v>653.82352941176475</v>
      </c>
      <c r="G257" s="33">
        <v>1111.5</v>
      </c>
    </row>
    <row r="258" spans="1:7">
      <c r="A258" s="44">
        <v>44818</v>
      </c>
      <c r="B258" s="15" t="s">
        <v>2361</v>
      </c>
      <c r="C258" s="15">
        <v>3</v>
      </c>
      <c r="D258" s="33">
        <v>65</v>
      </c>
      <c r="E258" s="33">
        <v>195</v>
      </c>
      <c r="F258" s="33">
        <v>217.94117647058823</v>
      </c>
      <c r="G258" s="33">
        <v>370.5</v>
      </c>
    </row>
    <row r="259" spans="1:7">
      <c r="A259" s="44">
        <v>44819</v>
      </c>
      <c r="B259" s="15" t="s">
        <v>2360</v>
      </c>
      <c r="C259" s="15">
        <v>6</v>
      </c>
      <c r="D259" s="33">
        <v>55</v>
      </c>
      <c r="E259" s="33">
        <v>330</v>
      </c>
      <c r="F259" s="33">
        <v>368.8235294117647</v>
      </c>
      <c r="G259" s="33">
        <v>627</v>
      </c>
    </row>
    <row r="260" spans="1:7">
      <c r="A260" s="44">
        <v>44820</v>
      </c>
      <c r="B260" s="15" t="s">
        <v>2361</v>
      </c>
      <c r="C260" s="15">
        <v>10</v>
      </c>
      <c r="D260" s="33">
        <v>65</v>
      </c>
      <c r="E260" s="33">
        <v>650</v>
      </c>
      <c r="F260" s="33">
        <v>726.47058823529414</v>
      </c>
      <c r="G260" s="33">
        <v>1235</v>
      </c>
    </row>
    <row r="261" spans="1:7">
      <c r="A261" s="44">
        <v>44821</v>
      </c>
      <c r="B261" s="15" t="s">
        <v>2365</v>
      </c>
      <c r="C261" s="15">
        <v>4</v>
      </c>
      <c r="D261" s="33">
        <v>46</v>
      </c>
      <c r="E261" s="33">
        <v>184</v>
      </c>
      <c r="F261" s="33">
        <v>205.64705882352939</v>
      </c>
      <c r="G261" s="33">
        <v>349.59999999999997</v>
      </c>
    </row>
    <row r="262" spans="1:7">
      <c r="A262" s="44">
        <v>44822</v>
      </c>
      <c r="B262" s="15" t="s">
        <v>2360</v>
      </c>
      <c r="C262" s="15">
        <v>4</v>
      </c>
      <c r="D262" s="33">
        <v>55</v>
      </c>
      <c r="E262" s="33">
        <v>220</v>
      </c>
      <c r="F262" s="33">
        <v>245.88235294117646</v>
      </c>
      <c r="G262" s="33">
        <v>418</v>
      </c>
    </row>
    <row r="263" spans="1:7">
      <c r="A263" s="44">
        <v>44823</v>
      </c>
      <c r="B263" s="15" t="s">
        <v>2360</v>
      </c>
      <c r="C263" s="15">
        <v>2</v>
      </c>
      <c r="D263" s="33">
        <v>55</v>
      </c>
      <c r="E263" s="33">
        <v>110</v>
      </c>
      <c r="F263" s="33">
        <v>122.94117647058823</v>
      </c>
      <c r="G263" s="33">
        <v>209</v>
      </c>
    </row>
    <row r="264" spans="1:7">
      <c r="A264" s="44">
        <v>44824</v>
      </c>
      <c r="B264" s="15" t="s">
        <v>2357</v>
      </c>
      <c r="C264" s="15">
        <v>8</v>
      </c>
      <c r="D264" s="33">
        <v>34</v>
      </c>
      <c r="E264" s="33">
        <v>272</v>
      </c>
      <c r="F264" s="33">
        <v>304</v>
      </c>
      <c r="G264" s="33">
        <v>516.79999999999995</v>
      </c>
    </row>
    <row r="265" spans="1:7">
      <c r="A265" s="44">
        <v>44825</v>
      </c>
      <c r="B265" s="15" t="s">
        <v>2357</v>
      </c>
      <c r="C265" s="15">
        <v>10</v>
      </c>
      <c r="D265" s="33">
        <v>34</v>
      </c>
      <c r="E265" s="33">
        <v>340</v>
      </c>
      <c r="F265" s="33">
        <v>380</v>
      </c>
      <c r="G265" s="33">
        <v>646</v>
      </c>
    </row>
    <row r="266" spans="1:7">
      <c r="A266" s="44">
        <v>44826</v>
      </c>
      <c r="B266" s="15" t="s">
        <v>2357</v>
      </c>
      <c r="C266" s="15">
        <v>7</v>
      </c>
      <c r="D266" s="33">
        <v>34</v>
      </c>
      <c r="E266" s="33">
        <v>238</v>
      </c>
      <c r="F266" s="33">
        <v>266</v>
      </c>
      <c r="G266" s="33">
        <v>452.2</v>
      </c>
    </row>
    <row r="267" spans="1:7">
      <c r="A267" s="44">
        <v>44827</v>
      </c>
      <c r="B267" s="15" t="s">
        <v>2357</v>
      </c>
      <c r="C267" s="15">
        <v>9</v>
      </c>
      <c r="D267" s="33">
        <v>34</v>
      </c>
      <c r="E267" s="33">
        <v>306</v>
      </c>
      <c r="F267" s="33">
        <v>342</v>
      </c>
      <c r="G267" s="33">
        <v>581.4</v>
      </c>
    </row>
    <row r="268" spans="1:7">
      <c r="A268" s="44">
        <v>44828</v>
      </c>
      <c r="B268" s="15" t="s">
        <v>2365</v>
      </c>
      <c r="C268" s="15">
        <v>6</v>
      </c>
      <c r="D268" s="33">
        <v>46</v>
      </c>
      <c r="E268" s="33">
        <v>276</v>
      </c>
      <c r="F268" s="33">
        <v>308.47058823529409</v>
      </c>
      <c r="G268" s="33">
        <v>524.4</v>
      </c>
    </row>
    <row r="269" spans="1:7">
      <c r="A269" s="44">
        <v>44829</v>
      </c>
      <c r="B269" s="15" t="s">
        <v>2357</v>
      </c>
      <c r="C269" s="15">
        <v>7</v>
      </c>
      <c r="D269" s="33">
        <v>34</v>
      </c>
      <c r="E269" s="33">
        <v>238</v>
      </c>
      <c r="F269" s="33">
        <v>266</v>
      </c>
      <c r="G269" s="33">
        <v>452.2</v>
      </c>
    </row>
    <row r="270" spans="1:7">
      <c r="A270" s="44">
        <v>44830</v>
      </c>
      <c r="B270" s="15" t="s">
        <v>2359</v>
      </c>
      <c r="C270" s="15">
        <v>10</v>
      </c>
      <c r="D270" s="33">
        <v>60</v>
      </c>
      <c r="E270" s="33">
        <v>600</v>
      </c>
      <c r="F270" s="33">
        <v>670.58823529411768</v>
      </c>
      <c r="G270" s="33">
        <v>1140</v>
      </c>
    </row>
    <row r="271" spans="1:7">
      <c r="A271" s="44">
        <v>44831</v>
      </c>
      <c r="B271" s="15" t="s">
        <v>2361</v>
      </c>
      <c r="C271" s="15">
        <v>6</v>
      </c>
      <c r="D271" s="33">
        <v>65</v>
      </c>
      <c r="E271" s="33">
        <v>390</v>
      </c>
      <c r="F271" s="33">
        <v>435.88235294117646</v>
      </c>
      <c r="G271" s="33">
        <v>741</v>
      </c>
    </row>
    <row r="272" spans="1:7">
      <c r="A272" s="44">
        <v>44832</v>
      </c>
      <c r="B272" s="15" t="s">
        <v>2357</v>
      </c>
      <c r="C272" s="15">
        <v>1</v>
      </c>
      <c r="D272" s="33">
        <v>34</v>
      </c>
      <c r="E272" s="33">
        <v>34</v>
      </c>
      <c r="F272" s="33">
        <v>38</v>
      </c>
      <c r="G272" s="33">
        <v>64.599999999999994</v>
      </c>
    </row>
    <row r="273" spans="1:7">
      <c r="A273" s="44">
        <v>44833</v>
      </c>
      <c r="B273" s="15" t="s">
        <v>2359</v>
      </c>
      <c r="C273" s="15">
        <v>7</v>
      </c>
      <c r="D273" s="33">
        <v>60</v>
      </c>
      <c r="E273" s="33">
        <v>420</v>
      </c>
      <c r="F273" s="33">
        <v>469.41176470588238</v>
      </c>
      <c r="G273" s="33">
        <v>798</v>
      </c>
    </row>
    <row r="274" spans="1:7">
      <c r="A274" s="44">
        <v>44834</v>
      </c>
      <c r="B274" s="15" t="s">
        <v>2360</v>
      </c>
      <c r="C274" s="15">
        <v>8</v>
      </c>
      <c r="D274" s="33">
        <v>55</v>
      </c>
      <c r="E274" s="33">
        <v>440</v>
      </c>
      <c r="F274" s="33">
        <v>491.76470588235293</v>
      </c>
      <c r="G274" s="33">
        <v>836</v>
      </c>
    </row>
    <row r="275" spans="1:7">
      <c r="A275" s="44">
        <v>44835</v>
      </c>
      <c r="B275" s="15" t="s">
        <v>2357</v>
      </c>
      <c r="C275" s="15">
        <v>7</v>
      </c>
      <c r="D275" s="33">
        <v>34</v>
      </c>
      <c r="E275" s="33">
        <v>238</v>
      </c>
      <c r="F275" s="33">
        <v>266</v>
      </c>
      <c r="G275" s="33">
        <v>452.2</v>
      </c>
    </row>
    <row r="276" spans="1:7">
      <c r="A276" s="44">
        <v>44836</v>
      </c>
      <c r="B276" s="15" t="s">
        <v>2361</v>
      </c>
      <c r="C276" s="15">
        <v>3</v>
      </c>
      <c r="D276" s="33">
        <v>65</v>
      </c>
      <c r="E276" s="33">
        <v>195</v>
      </c>
      <c r="F276" s="33">
        <v>217.94117647058823</v>
      </c>
      <c r="G276" s="33">
        <v>370.5</v>
      </c>
    </row>
    <row r="277" spans="1:7">
      <c r="A277" s="44">
        <v>44837</v>
      </c>
      <c r="B277" s="15" t="s">
        <v>2365</v>
      </c>
      <c r="C277" s="15">
        <v>3</v>
      </c>
      <c r="D277" s="33">
        <v>46</v>
      </c>
      <c r="E277" s="33">
        <v>138</v>
      </c>
      <c r="F277" s="33">
        <v>154.23529411764704</v>
      </c>
      <c r="G277" s="33">
        <v>262.2</v>
      </c>
    </row>
    <row r="278" spans="1:7">
      <c r="A278" s="44">
        <v>44838</v>
      </c>
      <c r="B278" s="15" t="s">
        <v>2361</v>
      </c>
      <c r="C278" s="15">
        <v>3</v>
      </c>
      <c r="D278" s="33">
        <v>65</v>
      </c>
      <c r="E278" s="33">
        <v>195</v>
      </c>
      <c r="F278" s="33">
        <v>217.94117647058823</v>
      </c>
      <c r="G278" s="33">
        <v>370.5</v>
      </c>
    </row>
    <row r="279" spans="1:7">
      <c r="A279" s="44">
        <v>44839</v>
      </c>
      <c r="B279" s="15" t="s">
        <v>2357</v>
      </c>
      <c r="C279" s="15">
        <v>7</v>
      </c>
      <c r="D279" s="33">
        <v>34</v>
      </c>
      <c r="E279" s="33">
        <v>238</v>
      </c>
      <c r="F279" s="33">
        <v>266</v>
      </c>
      <c r="G279" s="33">
        <v>452.2</v>
      </c>
    </row>
    <row r="280" spans="1:7">
      <c r="A280" s="44">
        <v>44840</v>
      </c>
      <c r="B280" s="15" t="s">
        <v>2357</v>
      </c>
      <c r="C280" s="15">
        <v>8</v>
      </c>
      <c r="D280" s="33">
        <v>34</v>
      </c>
      <c r="E280" s="33">
        <v>272</v>
      </c>
      <c r="F280" s="33">
        <v>304</v>
      </c>
      <c r="G280" s="33">
        <v>516.79999999999995</v>
      </c>
    </row>
    <row r="281" spans="1:7">
      <c r="A281" s="44">
        <v>44841</v>
      </c>
      <c r="B281" s="15" t="s">
        <v>2365</v>
      </c>
      <c r="C281" s="15">
        <v>6</v>
      </c>
      <c r="D281" s="33">
        <v>46</v>
      </c>
      <c r="E281" s="33">
        <v>276</v>
      </c>
      <c r="F281" s="33">
        <v>308.47058823529409</v>
      </c>
      <c r="G281" s="33">
        <v>524.4</v>
      </c>
    </row>
    <row r="282" spans="1:7">
      <c r="A282" s="44">
        <v>44842</v>
      </c>
      <c r="B282" s="15" t="s">
        <v>2361</v>
      </c>
      <c r="C282" s="15">
        <v>6</v>
      </c>
      <c r="D282" s="33">
        <v>65</v>
      </c>
      <c r="E282" s="33">
        <v>390</v>
      </c>
      <c r="F282" s="33">
        <v>435.88235294117646</v>
      </c>
      <c r="G282" s="33">
        <v>741</v>
      </c>
    </row>
    <row r="283" spans="1:7">
      <c r="A283" s="44">
        <v>44843</v>
      </c>
      <c r="B283" s="15" t="s">
        <v>2361</v>
      </c>
      <c r="C283" s="15">
        <v>10</v>
      </c>
      <c r="D283" s="33">
        <v>65</v>
      </c>
      <c r="E283" s="33">
        <v>650</v>
      </c>
      <c r="F283" s="33">
        <v>726.47058823529414</v>
      </c>
      <c r="G283" s="33">
        <v>1235</v>
      </c>
    </row>
    <row r="284" spans="1:7">
      <c r="A284" s="44">
        <v>44844</v>
      </c>
      <c r="B284" s="15" t="s">
        <v>2359</v>
      </c>
      <c r="C284" s="15">
        <v>2</v>
      </c>
      <c r="D284" s="33">
        <v>60</v>
      </c>
      <c r="E284" s="33">
        <v>120</v>
      </c>
      <c r="F284" s="33">
        <v>134.11764705882354</v>
      </c>
      <c r="G284" s="33">
        <v>228</v>
      </c>
    </row>
    <row r="285" spans="1:7">
      <c r="A285" s="44">
        <v>44845</v>
      </c>
      <c r="B285" s="15" t="s">
        <v>2365</v>
      </c>
      <c r="C285" s="15">
        <v>3</v>
      </c>
      <c r="D285" s="33">
        <v>46</v>
      </c>
      <c r="E285" s="33">
        <v>138</v>
      </c>
      <c r="F285" s="33">
        <v>154.23529411764704</v>
      </c>
      <c r="G285" s="33">
        <v>262.2</v>
      </c>
    </row>
    <row r="286" spans="1:7">
      <c r="A286" s="44">
        <v>44846</v>
      </c>
      <c r="B286" s="15" t="s">
        <v>2360</v>
      </c>
      <c r="C286" s="15">
        <v>2</v>
      </c>
      <c r="D286" s="33">
        <v>55</v>
      </c>
      <c r="E286" s="33">
        <v>110</v>
      </c>
      <c r="F286" s="33">
        <v>122.94117647058823</v>
      </c>
      <c r="G286" s="33">
        <v>209</v>
      </c>
    </row>
    <row r="287" spans="1:7">
      <c r="A287" s="44">
        <v>44847</v>
      </c>
      <c r="B287" s="15" t="s">
        <v>2357</v>
      </c>
      <c r="C287" s="15">
        <v>8</v>
      </c>
      <c r="D287" s="33">
        <v>34</v>
      </c>
      <c r="E287" s="33">
        <v>272</v>
      </c>
      <c r="F287" s="33">
        <v>304</v>
      </c>
      <c r="G287" s="33">
        <v>516.79999999999995</v>
      </c>
    </row>
    <row r="288" spans="1:7">
      <c r="A288" s="44">
        <v>44848</v>
      </c>
      <c r="B288" s="15" t="s">
        <v>2361</v>
      </c>
      <c r="C288" s="15">
        <v>5</v>
      </c>
      <c r="D288" s="33">
        <v>65</v>
      </c>
      <c r="E288" s="33">
        <v>325</v>
      </c>
      <c r="F288" s="33">
        <v>363.23529411764707</v>
      </c>
      <c r="G288" s="33">
        <v>617.5</v>
      </c>
    </row>
    <row r="289" spans="1:7">
      <c r="A289" s="44">
        <v>44849</v>
      </c>
      <c r="B289" s="15" t="s">
        <v>2360</v>
      </c>
      <c r="C289" s="15">
        <v>4</v>
      </c>
      <c r="D289" s="33">
        <v>55</v>
      </c>
      <c r="E289" s="33">
        <v>220</v>
      </c>
      <c r="F289" s="33">
        <v>245.88235294117646</v>
      </c>
      <c r="G289" s="33">
        <v>418</v>
      </c>
    </row>
    <row r="290" spans="1:7">
      <c r="A290" s="44">
        <v>44850</v>
      </c>
      <c r="B290" s="15" t="s">
        <v>2360</v>
      </c>
      <c r="C290" s="15">
        <v>5</v>
      </c>
      <c r="D290" s="33">
        <v>55</v>
      </c>
      <c r="E290" s="33">
        <v>275</v>
      </c>
      <c r="F290" s="33">
        <v>307.35294117647061</v>
      </c>
      <c r="G290" s="33">
        <v>522.5</v>
      </c>
    </row>
    <row r="291" spans="1:7">
      <c r="A291" s="44">
        <v>44851</v>
      </c>
      <c r="B291" s="15" t="s">
        <v>2357</v>
      </c>
      <c r="C291" s="15">
        <v>4</v>
      </c>
      <c r="D291" s="33">
        <v>34</v>
      </c>
      <c r="E291" s="33">
        <v>136</v>
      </c>
      <c r="F291" s="33">
        <v>152</v>
      </c>
      <c r="G291" s="33">
        <v>258.39999999999998</v>
      </c>
    </row>
    <row r="292" spans="1:7">
      <c r="A292" s="44">
        <v>44852</v>
      </c>
      <c r="B292" s="15" t="s">
        <v>2365</v>
      </c>
      <c r="C292" s="15">
        <v>10</v>
      </c>
      <c r="D292" s="33">
        <v>46</v>
      </c>
      <c r="E292" s="33">
        <v>460</v>
      </c>
      <c r="F292" s="33">
        <v>514.11764705882354</v>
      </c>
      <c r="G292" s="33">
        <v>874</v>
      </c>
    </row>
    <row r="293" spans="1:7">
      <c r="A293" s="44">
        <v>44853</v>
      </c>
      <c r="B293" s="15" t="s">
        <v>2357</v>
      </c>
      <c r="C293" s="15">
        <v>8</v>
      </c>
      <c r="D293" s="33">
        <v>34</v>
      </c>
      <c r="E293" s="33">
        <v>272</v>
      </c>
      <c r="F293" s="33">
        <v>304</v>
      </c>
      <c r="G293" s="33">
        <v>516.79999999999995</v>
      </c>
    </row>
    <row r="294" spans="1:7">
      <c r="A294" s="44">
        <v>44854</v>
      </c>
      <c r="B294" s="15" t="s">
        <v>2357</v>
      </c>
      <c r="C294" s="15">
        <v>7</v>
      </c>
      <c r="D294" s="33">
        <v>34</v>
      </c>
      <c r="E294" s="33">
        <v>238</v>
      </c>
      <c r="F294" s="33">
        <v>266</v>
      </c>
      <c r="G294" s="33">
        <v>452.2</v>
      </c>
    </row>
    <row r="295" spans="1:7">
      <c r="A295" s="44">
        <v>44855</v>
      </c>
      <c r="B295" s="15" t="s">
        <v>2361</v>
      </c>
      <c r="C295" s="15">
        <v>5</v>
      </c>
      <c r="D295" s="33">
        <v>65</v>
      </c>
      <c r="E295" s="33">
        <v>325</v>
      </c>
      <c r="F295" s="33">
        <v>363.23529411764707</v>
      </c>
      <c r="G295" s="33">
        <v>617.5</v>
      </c>
    </row>
    <row r="296" spans="1:7">
      <c r="A296" s="44">
        <v>44856</v>
      </c>
      <c r="B296" s="15" t="s">
        <v>2357</v>
      </c>
      <c r="C296" s="15">
        <v>2</v>
      </c>
      <c r="D296" s="33">
        <v>34</v>
      </c>
      <c r="E296" s="33">
        <v>68</v>
      </c>
      <c r="F296" s="33">
        <v>76</v>
      </c>
      <c r="G296" s="33">
        <v>129.19999999999999</v>
      </c>
    </row>
    <row r="297" spans="1:7">
      <c r="A297" s="44">
        <v>44857</v>
      </c>
      <c r="B297" s="15" t="s">
        <v>2360</v>
      </c>
      <c r="C297" s="15">
        <v>4</v>
      </c>
      <c r="D297" s="33">
        <v>55</v>
      </c>
      <c r="E297" s="33">
        <v>220</v>
      </c>
      <c r="F297" s="33">
        <v>245.88235294117646</v>
      </c>
      <c r="G297" s="33">
        <v>418</v>
      </c>
    </row>
    <row r="298" spans="1:7">
      <c r="A298" s="44">
        <v>44858</v>
      </c>
      <c r="B298" s="15" t="s">
        <v>2360</v>
      </c>
      <c r="C298" s="15">
        <v>6</v>
      </c>
      <c r="D298" s="33">
        <v>55</v>
      </c>
      <c r="E298" s="33">
        <v>330</v>
      </c>
      <c r="F298" s="33">
        <v>368.8235294117647</v>
      </c>
      <c r="G298" s="33">
        <v>627</v>
      </c>
    </row>
    <row r="299" spans="1:7">
      <c r="A299" s="44">
        <v>44859</v>
      </c>
      <c r="B299" s="15" t="s">
        <v>2357</v>
      </c>
      <c r="C299" s="15">
        <v>7</v>
      </c>
      <c r="D299" s="33">
        <v>34</v>
      </c>
      <c r="E299" s="33">
        <v>238</v>
      </c>
      <c r="F299" s="33">
        <v>266</v>
      </c>
      <c r="G299" s="33">
        <v>452.2</v>
      </c>
    </row>
    <row r="300" spans="1:7">
      <c r="A300" s="44">
        <v>44860</v>
      </c>
      <c r="B300" s="15" t="s">
        <v>2361</v>
      </c>
      <c r="C300" s="15">
        <v>10</v>
      </c>
      <c r="D300" s="33">
        <v>65</v>
      </c>
      <c r="E300" s="33">
        <v>650</v>
      </c>
      <c r="F300" s="33">
        <v>726.47058823529414</v>
      </c>
      <c r="G300" s="33">
        <v>1235</v>
      </c>
    </row>
    <row r="301" spans="1:7">
      <c r="A301" s="44">
        <v>44861</v>
      </c>
      <c r="B301" s="15" t="s">
        <v>2359</v>
      </c>
      <c r="C301" s="15">
        <v>2</v>
      </c>
      <c r="D301" s="33">
        <v>60</v>
      </c>
      <c r="E301" s="33">
        <v>120</v>
      </c>
      <c r="F301" s="33">
        <v>134.11764705882354</v>
      </c>
      <c r="G301" s="33">
        <v>228</v>
      </c>
    </row>
    <row r="302" spans="1:7">
      <c r="A302" s="44">
        <v>44862</v>
      </c>
      <c r="B302" s="15" t="s">
        <v>2361</v>
      </c>
      <c r="C302" s="15">
        <v>10</v>
      </c>
      <c r="D302" s="33">
        <v>65</v>
      </c>
      <c r="E302" s="33">
        <v>650</v>
      </c>
      <c r="F302" s="33">
        <v>726.47058823529414</v>
      </c>
      <c r="G302" s="33">
        <v>1235</v>
      </c>
    </row>
    <row r="303" spans="1:7">
      <c r="A303" s="44">
        <v>44863</v>
      </c>
      <c r="B303" s="15" t="s">
        <v>2361</v>
      </c>
      <c r="C303" s="15">
        <v>8</v>
      </c>
      <c r="D303" s="33">
        <v>65</v>
      </c>
      <c r="E303" s="33">
        <v>520</v>
      </c>
      <c r="F303" s="33">
        <v>581.17647058823536</v>
      </c>
      <c r="G303" s="33">
        <v>988</v>
      </c>
    </row>
    <row r="304" spans="1:7">
      <c r="A304" s="44">
        <v>44864</v>
      </c>
      <c r="B304" s="15" t="s">
        <v>2357</v>
      </c>
      <c r="C304" s="15">
        <v>4</v>
      </c>
      <c r="D304" s="33">
        <v>34</v>
      </c>
      <c r="E304" s="33">
        <v>136</v>
      </c>
      <c r="F304" s="33">
        <v>152</v>
      </c>
      <c r="G304" s="33">
        <v>258.39999999999998</v>
      </c>
    </row>
    <row r="305" spans="1:7">
      <c r="A305" s="44">
        <v>44865</v>
      </c>
      <c r="B305" s="15" t="s">
        <v>2359</v>
      </c>
      <c r="C305" s="15">
        <v>9</v>
      </c>
      <c r="D305" s="33">
        <v>60</v>
      </c>
      <c r="E305" s="33">
        <v>540</v>
      </c>
      <c r="F305" s="33">
        <v>603.52941176470586</v>
      </c>
      <c r="G305" s="33">
        <v>1026</v>
      </c>
    </row>
    <row r="306" spans="1:7">
      <c r="A306" s="44">
        <v>44866</v>
      </c>
      <c r="B306" s="15" t="s">
        <v>2359</v>
      </c>
      <c r="C306" s="15">
        <v>10</v>
      </c>
      <c r="D306" s="33">
        <v>60</v>
      </c>
      <c r="E306" s="33">
        <v>600</v>
      </c>
      <c r="F306" s="33">
        <v>670.58823529411768</v>
      </c>
      <c r="G306" s="33">
        <v>1140</v>
      </c>
    </row>
    <row r="307" spans="1:7">
      <c r="A307" s="44">
        <v>44867</v>
      </c>
      <c r="B307" s="15" t="s">
        <v>2361</v>
      </c>
      <c r="C307" s="15">
        <v>4</v>
      </c>
      <c r="D307" s="33">
        <v>65</v>
      </c>
      <c r="E307" s="33">
        <v>260</v>
      </c>
      <c r="F307" s="33">
        <v>290.58823529411768</v>
      </c>
      <c r="G307" s="33">
        <v>494</v>
      </c>
    </row>
    <row r="308" spans="1:7">
      <c r="A308" s="44">
        <v>44868</v>
      </c>
      <c r="B308" s="15" t="s">
        <v>2357</v>
      </c>
      <c r="C308" s="15">
        <v>2</v>
      </c>
      <c r="D308" s="33">
        <v>34</v>
      </c>
      <c r="E308" s="33">
        <v>68</v>
      </c>
      <c r="F308" s="33">
        <v>76</v>
      </c>
      <c r="G308" s="33">
        <v>129.19999999999999</v>
      </c>
    </row>
    <row r="309" spans="1:7">
      <c r="A309" s="44">
        <v>44869</v>
      </c>
      <c r="B309" s="15" t="s">
        <v>2360</v>
      </c>
      <c r="C309" s="15">
        <v>10</v>
      </c>
      <c r="D309" s="33">
        <v>55</v>
      </c>
      <c r="E309" s="33">
        <v>550</v>
      </c>
      <c r="F309" s="33">
        <v>614.70588235294122</v>
      </c>
      <c r="G309" s="33">
        <v>1045</v>
      </c>
    </row>
    <row r="310" spans="1:7">
      <c r="A310" s="44">
        <v>44870</v>
      </c>
      <c r="B310" s="15" t="s">
        <v>2359</v>
      </c>
      <c r="C310" s="15">
        <v>7</v>
      </c>
      <c r="D310" s="33">
        <v>60</v>
      </c>
      <c r="E310" s="33">
        <v>420</v>
      </c>
      <c r="F310" s="33">
        <v>469.41176470588238</v>
      </c>
      <c r="G310" s="33">
        <v>798</v>
      </c>
    </row>
    <row r="311" spans="1:7">
      <c r="A311" s="44">
        <v>44871</v>
      </c>
      <c r="B311" s="15" t="s">
        <v>2357</v>
      </c>
      <c r="C311" s="15">
        <v>8</v>
      </c>
      <c r="D311" s="33">
        <v>34</v>
      </c>
      <c r="E311" s="33">
        <v>272</v>
      </c>
      <c r="F311" s="33">
        <v>304</v>
      </c>
      <c r="G311" s="33">
        <v>516.79999999999995</v>
      </c>
    </row>
    <row r="312" spans="1:7">
      <c r="A312" s="44">
        <v>44872</v>
      </c>
      <c r="B312" s="15" t="s">
        <v>2365</v>
      </c>
      <c r="C312" s="15">
        <v>4</v>
      </c>
      <c r="D312" s="33">
        <v>46</v>
      </c>
      <c r="E312" s="33">
        <v>184</v>
      </c>
      <c r="F312" s="33">
        <v>205.64705882352939</v>
      </c>
      <c r="G312" s="33">
        <v>349.59999999999997</v>
      </c>
    </row>
    <row r="313" spans="1:7">
      <c r="A313" s="44">
        <v>44873</v>
      </c>
      <c r="B313" s="15" t="s">
        <v>2359</v>
      </c>
      <c r="C313" s="15">
        <v>3</v>
      </c>
      <c r="D313" s="33">
        <v>60</v>
      </c>
      <c r="E313" s="33">
        <v>180</v>
      </c>
      <c r="F313" s="33">
        <v>201.1764705882353</v>
      </c>
      <c r="G313" s="33">
        <v>342</v>
      </c>
    </row>
    <row r="314" spans="1:7">
      <c r="A314" s="44">
        <v>44874</v>
      </c>
      <c r="B314" s="15" t="s">
        <v>2360</v>
      </c>
      <c r="C314" s="15">
        <v>6</v>
      </c>
      <c r="D314" s="33">
        <v>55</v>
      </c>
      <c r="E314" s="33">
        <v>330</v>
      </c>
      <c r="F314" s="33">
        <v>368.8235294117647</v>
      </c>
      <c r="G314" s="33">
        <v>627</v>
      </c>
    </row>
    <row r="315" spans="1:7">
      <c r="A315" s="44">
        <v>44875</v>
      </c>
      <c r="B315" s="15" t="s">
        <v>2365</v>
      </c>
      <c r="C315" s="15">
        <v>6</v>
      </c>
      <c r="D315" s="33">
        <v>46</v>
      </c>
      <c r="E315" s="33">
        <v>276</v>
      </c>
      <c r="F315" s="33">
        <v>308.47058823529409</v>
      </c>
      <c r="G315" s="33">
        <v>524.4</v>
      </c>
    </row>
    <row r="316" spans="1:7">
      <c r="A316" s="44">
        <v>44876</v>
      </c>
      <c r="B316" s="15" t="s">
        <v>2361</v>
      </c>
      <c r="C316" s="15">
        <v>6</v>
      </c>
      <c r="D316" s="33">
        <v>65</v>
      </c>
      <c r="E316" s="33">
        <v>390</v>
      </c>
      <c r="F316" s="33">
        <v>435.88235294117646</v>
      </c>
      <c r="G316" s="33">
        <v>741</v>
      </c>
    </row>
    <row r="317" spans="1:7">
      <c r="A317" s="44">
        <v>44877</v>
      </c>
      <c r="B317" s="15" t="s">
        <v>2360</v>
      </c>
      <c r="C317" s="15">
        <v>5</v>
      </c>
      <c r="D317" s="33">
        <v>55</v>
      </c>
      <c r="E317" s="33">
        <v>275</v>
      </c>
      <c r="F317" s="33">
        <v>307.35294117647061</v>
      </c>
      <c r="G317" s="33">
        <v>522.5</v>
      </c>
    </row>
    <row r="318" spans="1:7">
      <c r="A318" s="44">
        <v>44878</v>
      </c>
      <c r="B318" s="15" t="s">
        <v>2359</v>
      </c>
      <c r="C318" s="15">
        <v>8</v>
      </c>
      <c r="D318" s="33">
        <v>60</v>
      </c>
      <c r="E318" s="33">
        <v>480</v>
      </c>
      <c r="F318" s="33">
        <v>536.47058823529414</v>
      </c>
      <c r="G318" s="33">
        <v>912</v>
      </c>
    </row>
    <row r="319" spans="1:7">
      <c r="A319" s="44">
        <v>44879</v>
      </c>
      <c r="B319" s="15" t="s">
        <v>2360</v>
      </c>
      <c r="C319" s="15">
        <v>4</v>
      </c>
      <c r="D319" s="33">
        <v>55</v>
      </c>
      <c r="E319" s="33">
        <v>220</v>
      </c>
      <c r="F319" s="33">
        <v>245.88235294117646</v>
      </c>
      <c r="G319" s="33">
        <v>418</v>
      </c>
    </row>
    <row r="320" spans="1:7">
      <c r="A320" s="44">
        <v>44880</v>
      </c>
      <c r="B320" s="15" t="s">
        <v>2365</v>
      </c>
      <c r="C320" s="15">
        <v>5</v>
      </c>
      <c r="D320" s="33">
        <v>46</v>
      </c>
      <c r="E320" s="33">
        <v>230</v>
      </c>
      <c r="F320" s="33">
        <v>257.05882352941177</v>
      </c>
      <c r="G320" s="33">
        <v>437</v>
      </c>
    </row>
    <row r="321" spans="1:7">
      <c r="A321" s="44">
        <v>44881</v>
      </c>
      <c r="B321" s="15" t="s">
        <v>2361</v>
      </c>
      <c r="C321" s="15">
        <v>9</v>
      </c>
      <c r="D321" s="33">
        <v>65</v>
      </c>
      <c r="E321" s="33">
        <v>585</v>
      </c>
      <c r="F321" s="33">
        <v>653.82352941176475</v>
      </c>
      <c r="G321" s="33">
        <v>1111.5</v>
      </c>
    </row>
    <row r="322" spans="1:7">
      <c r="A322" s="44">
        <v>44882</v>
      </c>
      <c r="B322" s="15" t="s">
        <v>2360</v>
      </c>
      <c r="C322" s="15">
        <v>6</v>
      </c>
      <c r="D322" s="33">
        <v>55</v>
      </c>
      <c r="E322" s="33">
        <v>330</v>
      </c>
      <c r="F322" s="33">
        <v>368.8235294117647</v>
      </c>
      <c r="G322" s="33">
        <v>627</v>
      </c>
    </row>
    <row r="323" spans="1:7">
      <c r="A323" s="44">
        <v>44883</v>
      </c>
      <c r="B323" s="15" t="s">
        <v>2365</v>
      </c>
      <c r="C323" s="15">
        <v>7</v>
      </c>
      <c r="D323" s="33">
        <v>46</v>
      </c>
      <c r="E323" s="33">
        <v>322</v>
      </c>
      <c r="F323" s="33">
        <v>359.88235294117646</v>
      </c>
      <c r="G323" s="33">
        <v>611.79999999999995</v>
      </c>
    </row>
    <row r="324" spans="1:7">
      <c r="A324" s="44">
        <v>44884</v>
      </c>
      <c r="B324" s="15" t="s">
        <v>2361</v>
      </c>
      <c r="C324" s="15">
        <v>4</v>
      </c>
      <c r="D324" s="33">
        <v>65</v>
      </c>
      <c r="E324" s="33">
        <v>260</v>
      </c>
      <c r="F324" s="33">
        <v>290.58823529411768</v>
      </c>
      <c r="G324" s="33">
        <v>494</v>
      </c>
    </row>
    <row r="325" spans="1:7">
      <c r="A325" s="44">
        <v>44885</v>
      </c>
      <c r="B325" s="15" t="s">
        <v>2365</v>
      </c>
      <c r="C325" s="15">
        <v>8</v>
      </c>
      <c r="D325" s="33">
        <v>46</v>
      </c>
      <c r="E325" s="33">
        <v>368</v>
      </c>
      <c r="F325" s="33">
        <v>411.29411764705878</v>
      </c>
      <c r="G325" s="33">
        <v>699.19999999999993</v>
      </c>
    </row>
    <row r="326" spans="1:7">
      <c r="A326" s="44">
        <v>44886</v>
      </c>
      <c r="B326" s="15" t="s">
        <v>2365</v>
      </c>
      <c r="C326" s="15">
        <v>1</v>
      </c>
      <c r="D326" s="33">
        <v>46</v>
      </c>
      <c r="E326" s="33">
        <v>46</v>
      </c>
      <c r="F326" s="33">
        <v>51.411764705882348</v>
      </c>
      <c r="G326" s="33">
        <v>87.399999999999991</v>
      </c>
    </row>
    <row r="327" spans="1:7">
      <c r="A327" s="44">
        <v>44887</v>
      </c>
      <c r="B327" s="15" t="s">
        <v>2360</v>
      </c>
      <c r="C327" s="15">
        <v>10</v>
      </c>
      <c r="D327" s="33">
        <v>55</v>
      </c>
      <c r="E327" s="33">
        <v>550</v>
      </c>
      <c r="F327" s="33">
        <v>614.70588235294122</v>
      </c>
      <c r="G327" s="33">
        <v>1045</v>
      </c>
    </row>
    <row r="328" spans="1:7">
      <c r="A328" s="44">
        <v>44888</v>
      </c>
      <c r="B328" s="15" t="s">
        <v>2361</v>
      </c>
      <c r="C328" s="15">
        <v>2</v>
      </c>
      <c r="D328" s="33">
        <v>65</v>
      </c>
      <c r="E328" s="33">
        <v>130</v>
      </c>
      <c r="F328" s="33">
        <v>145.29411764705884</v>
      </c>
      <c r="G328" s="33">
        <v>247</v>
      </c>
    </row>
    <row r="329" spans="1:7">
      <c r="A329" s="44">
        <v>44889</v>
      </c>
      <c r="B329" s="15" t="s">
        <v>2360</v>
      </c>
      <c r="C329" s="15">
        <v>9</v>
      </c>
      <c r="D329" s="33">
        <v>55</v>
      </c>
      <c r="E329" s="33">
        <v>495</v>
      </c>
      <c r="F329" s="33">
        <v>553.23529411764707</v>
      </c>
      <c r="G329" s="33">
        <v>940.5</v>
      </c>
    </row>
    <row r="330" spans="1:7">
      <c r="A330" s="44">
        <v>44890</v>
      </c>
      <c r="B330" s="15" t="s">
        <v>2361</v>
      </c>
      <c r="C330" s="15">
        <v>9</v>
      </c>
      <c r="D330" s="33">
        <v>65</v>
      </c>
      <c r="E330" s="33">
        <v>585</v>
      </c>
      <c r="F330" s="33">
        <v>653.82352941176475</v>
      </c>
      <c r="G330" s="33">
        <v>1111.5</v>
      </c>
    </row>
    <row r="331" spans="1:7">
      <c r="A331" s="44">
        <v>44891</v>
      </c>
      <c r="B331" s="15" t="s">
        <v>2359</v>
      </c>
      <c r="C331" s="15">
        <v>9</v>
      </c>
      <c r="D331" s="33">
        <v>60</v>
      </c>
      <c r="E331" s="33">
        <v>540</v>
      </c>
      <c r="F331" s="33">
        <v>603.52941176470586</v>
      </c>
      <c r="G331" s="33">
        <v>1026</v>
      </c>
    </row>
    <row r="332" spans="1:7">
      <c r="A332" s="44">
        <v>44892</v>
      </c>
      <c r="B332" s="15" t="s">
        <v>2365</v>
      </c>
      <c r="C332" s="15">
        <v>9</v>
      </c>
      <c r="D332" s="33">
        <v>46</v>
      </c>
      <c r="E332" s="33">
        <v>414</v>
      </c>
      <c r="F332" s="33">
        <v>462.70588235294116</v>
      </c>
      <c r="G332" s="33">
        <v>786.59999999999991</v>
      </c>
    </row>
    <row r="333" spans="1:7">
      <c r="A333" s="44">
        <v>44893</v>
      </c>
      <c r="B333" s="15" t="s">
        <v>2360</v>
      </c>
      <c r="C333" s="15">
        <v>7</v>
      </c>
      <c r="D333" s="33">
        <v>55</v>
      </c>
      <c r="E333" s="33">
        <v>385</v>
      </c>
      <c r="F333" s="33">
        <v>430.29411764705884</v>
      </c>
      <c r="G333" s="33">
        <v>731.5</v>
      </c>
    </row>
    <row r="334" spans="1:7">
      <c r="A334" s="44">
        <v>44894</v>
      </c>
      <c r="B334" s="15" t="s">
        <v>2357</v>
      </c>
      <c r="C334" s="15">
        <v>4</v>
      </c>
      <c r="D334" s="33">
        <v>34</v>
      </c>
      <c r="E334" s="33">
        <v>136</v>
      </c>
      <c r="F334" s="33">
        <v>152</v>
      </c>
      <c r="G334" s="33">
        <v>258.39999999999998</v>
      </c>
    </row>
    <row r="335" spans="1:7">
      <c r="A335" s="44">
        <v>44895</v>
      </c>
      <c r="B335" s="15" t="s">
        <v>2360</v>
      </c>
      <c r="C335" s="15">
        <v>7</v>
      </c>
      <c r="D335" s="33">
        <v>55</v>
      </c>
      <c r="E335" s="33">
        <v>385</v>
      </c>
      <c r="F335" s="33">
        <v>430.29411764705884</v>
      </c>
      <c r="G335" s="33">
        <v>731.5</v>
      </c>
    </row>
    <row r="336" spans="1:7">
      <c r="A336" s="44">
        <v>44896</v>
      </c>
      <c r="B336" s="15" t="s">
        <v>2360</v>
      </c>
      <c r="C336" s="15">
        <v>5</v>
      </c>
      <c r="D336" s="33">
        <v>55</v>
      </c>
      <c r="E336" s="33">
        <v>275</v>
      </c>
      <c r="F336" s="33">
        <v>307.35294117647061</v>
      </c>
      <c r="G336" s="33">
        <v>522.5</v>
      </c>
    </row>
    <row r="337" spans="1:7">
      <c r="A337" s="44">
        <v>44897</v>
      </c>
      <c r="B337" s="15" t="s">
        <v>2361</v>
      </c>
      <c r="C337" s="15">
        <v>3</v>
      </c>
      <c r="D337" s="33">
        <v>65</v>
      </c>
      <c r="E337" s="33">
        <v>195</v>
      </c>
      <c r="F337" s="33">
        <v>217.94117647058823</v>
      </c>
      <c r="G337" s="33">
        <v>370.5</v>
      </c>
    </row>
    <row r="338" spans="1:7">
      <c r="A338" s="44">
        <v>44898</v>
      </c>
      <c r="B338" s="15" t="s">
        <v>2357</v>
      </c>
      <c r="C338" s="15">
        <v>1</v>
      </c>
      <c r="D338" s="33">
        <v>34</v>
      </c>
      <c r="E338" s="33">
        <v>34</v>
      </c>
      <c r="F338" s="33">
        <v>38</v>
      </c>
      <c r="G338" s="33">
        <v>64.599999999999994</v>
      </c>
    </row>
    <row r="339" spans="1:7">
      <c r="A339" s="44">
        <v>44899</v>
      </c>
      <c r="B339" s="15" t="s">
        <v>2360</v>
      </c>
      <c r="C339" s="15">
        <v>6</v>
      </c>
      <c r="D339" s="33">
        <v>55</v>
      </c>
      <c r="E339" s="33">
        <v>330</v>
      </c>
      <c r="F339" s="33">
        <v>368.8235294117647</v>
      </c>
      <c r="G339" s="33">
        <v>627</v>
      </c>
    </row>
    <row r="340" spans="1:7">
      <c r="A340" s="44">
        <v>44900</v>
      </c>
      <c r="B340" s="15" t="s">
        <v>2361</v>
      </c>
      <c r="C340" s="15">
        <v>5</v>
      </c>
      <c r="D340" s="33">
        <v>65</v>
      </c>
      <c r="E340" s="33">
        <v>325</v>
      </c>
      <c r="F340" s="33">
        <v>363.23529411764707</v>
      </c>
      <c r="G340" s="33">
        <v>617.5</v>
      </c>
    </row>
    <row r="341" spans="1:7">
      <c r="A341" s="44">
        <v>44901</v>
      </c>
      <c r="B341" s="15" t="s">
        <v>2357</v>
      </c>
      <c r="C341" s="15">
        <v>10</v>
      </c>
      <c r="D341" s="33">
        <v>34</v>
      </c>
      <c r="E341" s="33">
        <v>340</v>
      </c>
      <c r="F341" s="33">
        <v>380</v>
      </c>
      <c r="G341" s="33">
        <v>646</v>
      </c>
    </row>
    <row r="342" spans="1:7">
      <c r="A342" s="44">
        <v>44902</v>
      </c>
      <c r="B342" s="15" t="s">
        <v>2359</v>
      </c>
      <c r="C342" s="15">
        <v>7</v>
      </c>
      <c r="D342" s="33">
        <v>60</v>
      </c>
      <c r="E342" s="33">
        <v>420</v>
      </c>
      <c r="F342" s="33">
        <v>469.41176470588238</v>
      </c>
      <c r="G342" s="33">
        <v>798</v>
      </c>
    </row>
    <row r="343" spans="1:7">
      <c r="A343" s="44">
        <v>44903</v>
      </c>
      <c r="B343" s="15" t="s">
        <v>2361</v>
      </c>
      <c r="C343" s="15">
        <v>9</v>
      </c>
      <c r="D343" s="33">
        <v>65</v>
      </c>
      <c r="E343" s="33">
        <v>585</v>
      </c>
      <c r="F343" s="33">
        <v>653.82352941176475</v>
      </c>
      <c r="G343" s="33">
        <v>1111.5</v>
      </c>
    </row>
    <row r="344" spans="1:7">
      <c r="A344" s="44">
        <v>44904</v>
      </c>
      <c r="B344" s="15" t="s">
        <v>2360</v>
      </c>
      <c r="C344" s="15">
        <v>6</v>
      </c>
      <c r="D344" s="33">
        <v>55</v>
      </c>
      <c r="E344" s="33">
        <v>330</v>
      </c>
      <c r="F344" s="33">
        <v>368.8235294117647</v>
      </c>
      <c r="G344" s="33">
        <v>627</v>
      </c>
    </row>
    <row r="345" spans="1:7">
      <c r="A345" s="44">
        <v>44905</v>
      </c>
      <c r="B345" s="15" t="s">
        <v>2361</v>
      </c>
      <c r="C345" s="15">
        <v>8</v>
      </c>
      <c r="D345" s="33">
        <v>65</v>
      </c>
      <c r="E345" s="33">
        <v>520</v>
      </c>
      <c r="F345" s="33">
        <v>581.17647058823536</v>
      </c>
      <c r="G345" s="33">
        <v>988</v>
      </c>
    </row>
    <row r="346" spans="1:7">
      <c r="A346" s="44">
        <v>44906</v>
      </c>
      <c r="B346" s="15" t="s">
        <v>2365</v>
      </c>
      <c r="C346" s="15">
        <v>4</v>
      </c>
      <c r="D346" s="33">
        <v>46</v>
      </c>
      <c r="E346" s="33">
        <v>184</v>
      </c>
      <c r="F346" s="33">
        <v>205.64705882352939</v>
      </c>
      <c r="G346" s="33">
        <v>349.59999999999997</v>
      </c>
    </row>
    <row r="347" spans="1:7">
      <c r="A347" s="44">
        <v>44907</v>
      </c>
      <c r="B347" s="15" t="s">
        <v>2360</v>
      </c>
      <c r="C347" s="15">
        <v>5</v>
      </c>
      <c r="D347" s="33">
        <v>55</v>
      </c>
      <c r="E347" s="33">
        <v>275</v>
      </c>
      <c r="F347" s="33">
        <v>307.35294117647061</v>
      </c>
      <c r="G347" s="33">
        <v>522.5</v>
      </c>
    </row>
    <row r="348" spans="1:7">
      <c r="A348" s="44">
        <v>44908</v>
      </c>
      <c r="B348" s="15" t="s">
        <v>2357</v>
      </c>
      <c r="C348" s="15">
        <v>1</v>
      </c>
      <c r="D348" s="33">
        <v>34</v>
      </c>
      <c r="E348" s="33">
        <v>34</v>
      </c>
      <c r="F348" s="33">
        <v>38</v>
      </c>
      <c r="G348" s="33">
        <v>64.599999999999994</v>
      </c>
    </row>
    <row r="349" spans="1:7">
      <c r="A349" s="44">
        <v>44909</v>
      </c>
      <c r="B349" s="15" t="s">
        <v>2357</v>
      </c>
      <c r="C349" s="15">
        <v>5</v>
      </c>
      <c r="D349" s="33">
        <v>34</v>
      </c>
      <c r="E349" s="33">
        <v>170</v>
      </c>
      <c r="F349" s="33">
        <v>190</v>
      </c>
      <c r="G349" s="33">
        <v>323</v>
      </c>
    </row>
    <row r="350" spans="1:7">
      <c r="A350" s="44">
        <v>44910</v>
      </c>
      <c r="B350" s="15" t="s">
        <v>2365</v>
      </c>
      <c r="C350" s="15">
        <v>1</v>
      </c>
      <c r="D350" s="33">
        <v>46</v>
      </c>
      <c r="E350" s="33">
        <v>46</v>
      </c>
      <c r="F350" s="33">
        <v>51.411764705882348</v>
      </c>
      <c r="G350" s="33">
        <v>87.399999999999991</v>
      </c>
    </row>
    <row r="351" spans="1:7">
      <c r="A351" s="44">
        <v>44911</v>
      </c>
      <c r="B351" s="15" t="s">
        <v>2359</v>
      </c>
      <c r="C351" s="15">
        <v>1</v>
      </c>
      <c r="D351" s="33">
        <v>60</v>
      </c>
      <c r="E351" s="33">
        <v>60</v>
      </c>
      <c r="F351" s="33">
        <v>67.058823529411768</v>
      </c>
      <c r="G351" s="33">
        <v>114</v>
      </c>
    </row>
    <row r="352" spans="1:7">
      <c r="A352" s="44">
        <v>44912</v>
      </c>
      <c r="B352" s="15" t="s">
        <v>2359</v>
      </c>
      <c r="C352" s="15">
        <v>4</v>
      </c>
      <c r="D352" s="33">
        <v>60</v>
      </c>
      <c r="E352" s="33">
        <v>240</v>
      </c>
      <c r="F352" s="33">
        <v>268.23529411764707</v>
      </c>
      <c r="G352" s="33">
        <v>456</v>
      </c>
    </row>
    <row r="353" spans="1:7">
      <c r="A353" s="44">
        <v>44913</v>
      </c>
      <c r="B353" s="15" t="s">
        <v>2360</v>
      </c>
      <c r="C353" s="15">
        <v>8</v>
      </c>
      <c r="D353" s="33">
        <v>55</v>
      </c>
      <c r="E353" s="33">
        <v>440</v>
      </c>
      <c r="F353" s="33">
        <v>491.76470588235293</v>
      </c>
      <c r="G353" s="33">
        <v>836</v>
      </c>
    </row>
    <row r="354" spans="1:7">
      <c r="A354" s="44">
        <v>44914</v>
      </c>
      <c r="B354" s="15" t="s">
        <v>2357</v>
      </c>
      <c r="C354" s="15">
        <v>1</v>
      </c>
      <c r="D354" s="33">
        <v>34</v>
      </c>
      <c r="E354" s="33">
        <v>34</v>
      </c>
      <c r="F354" s="33">
        <v>38</v>
      </c>
      <c r="G354" s="33">
        <v>64.599999999999994</v>
      </c>
    </row>
    <row r="355" spans="1:7">
      <c r="A355" s="44">
        <v>44915</v>
      </c>
      <c r="B355" s="15" t="s">
        <v>2357</v>
      </c>
      <c r="C355" s="15">
        <v>5</v>
      </c>
      <c r="D355" s="33">
        <v>34</v>
      </c>
      <c r="E355" s="33">
        <v>170</v>
      </c>
      <c r="F355" s="33">
        <v>190</v>
      </c>
      <c r="G355" s="33">
        <v>323</v>
      </c>
    </row>
    <row r="356" spans="1:7">
      <c r="A356" s="44">
        <v>44916</v>
      </c>
      <c r="B356" s="15" t="s">
        <v>2361</v>
      </c>
      <c r="C356" s="15">
        <v>1</v>
      </c>
      <c r="D356" s="33">
        <v>65</v>
      </c>
      <c r="E356" s="33">
        <v>65</v>
      </c>
      <c r="F356" s="33">
        <v>72.64705882352942</v>
      </c>
      <c r="G356" s="33">
        <v>123.5</v>
      </c>
    </row>
    <row r="357" spans="1:7">
      <c r="A357" s="44">
        <v>44917</v>
      </c>
      <c r="B357" s="15" t="s">
        <v>2359</v>
      </c>
      <c r="C357" s="15">
        <v>8</v>
      </c>
      <c r="D357" s="33">
        <v>60</v>
      </c>
      <c r="E357" s="33">
        <v>480</v>
      </c>
      <c r="F357" s="33">
        <v>536.47058823529414</v>
      </c>
      <c r="G357" s="33">
        <v>912</v>
      </c>
    </row>
    <row r="358" spans="1:7">
      <c r="A358" s="44">
        <v>44918</v>
      </c>
      <c r="B358" s="15" t="s">
        <v>2359</v>
      </c>
      <c r="C358" s="15">
        <v>8</v>
      </c>
      <c r="D358" s="33">
        <v>60</v>
      </c>
      <c r="E358" s="33">
        <v>480</v>
      </c>
      <c r="F358" s="33">
        <v>536.47058823529414</v>
      </c>
      <c r="G358" s="33">
        <v>912</v>
      </c>
    </row>
    <row r="359" spans="1:7">
      <c r="A359" s="44">
        <v>44919</v>
      </c>
      <c r="B359" s="15" t="s">
        <v>2357</v>
      </c>
      <c r="C359" s="15">
        <v>5</v>
      </c>
      <c r="D359" s="33">
        <v>34</v>
      </c>
      <c r="E359" s="33">
        <v>170</v>
      </c>
      <c r="F359" s="33">
        <v>190</v>
      </c>
      <c r="G359" s="33">
        <v>323</v>
      </c>
    </row>
    <row r="360" spans="1:7">
      <c r="A360" s="44">
        <v>44920</v>
      </c>
      <c r="B360" s="15" t="s">
        <v>2365</v>
      </c>
      <c r="C360" s="15">
        <v>7</v>
      </c>
      <c r="D360" s="33">
        <v>46</v>
      </c>
      <c r="E360" s="33">
        <v>322</v>
      </c>
      <c r="F360" s="33">
        <v>359.88235294117646</v>
      </c>
      <c r="G360" s="33">
        <v>611.79999999999995</v>
      </c>
    </row>
    <row r="361" spans="1:7">
      <c r="A361" s="44">
        <v>44921</v>
      </c>
      <c r="B361" s="15" t="s">
        <v>2365</v>
      </c>
      <c r="C361" s="15">
        <v>6</v>
      </c>
      <c r="D361" s="33">
        <v>46</v>
      </c>
      <c r="E361" s="33">
        <v>276</v>
      </c>
      <c r="F361" s="33">
        <v>308.47058823529409</v>
      </c>
      <c r="G361" s="33">
        <v>524.4</v>
      </c>
    </row>
    <row r="362" spans="1:7">
      <c r="A362" s="44">
        <v>44922</v>
      </c>
      <c r="B362" s="15" t="s">
        <v>2360</v>
      </c>
      <c r="C362" s="15">
        <v>3</v>
      </c>
      <c r="D362" s="33">
        <v>55</v>
      </c>
      <c r="E362" s="33">
        <v>165</v>
      </c>
      <c r="F362" s="33">
        <v>184.41176470588235</v>
      </c>
      <c r="G362" s="33">
        <v>313.5</v>
      </c>
    </row>
    <row r="363" spans="1:7">
      <c r="A363" s="44">
        <v>44923</v>
      </c>
      <c r="B363" s="15" t="s">
        <v>2361</v>
      </c>
      <c r="C363" s="15">
        <v>8</v>
      </c>
      <c r="D363" s="33">
        <v>65</v>
      </c>
      <c r="E363" s="33">
        <v>520</v>
      </c>
      <c r="F363" s="33">
        <v>581.17647058823536</v>
      </c>
      <c r="G363" s="33">
        <v>988</v>
      </c>
    </row>
    <row r="364" spans="1:7">
      <c r="A364" s="44">
        <v>44924</v>
      </c>
      <c r="B364" s="15" t="s">
        <v>2365</v>
      </c>
      <c r="C364" s="15">
        <v>8</v>
      </c>
      <c r="D364" s="33">
        <v>46</v>
      </c>
      <c r="E364" s="33">
        <v>368</v>
      </c>
      <c r="F364" s="33">
        <v>411.29411764705878</v>
      </c>
      <c r="G364" s="33">
        <v>699.19999999999993</v>
      </c>
    </row>
    <row r="365" spans="1:7">
      <c r="A365" s="44">
        <v>44925</v>
      </c>
      <c r="B365" s="15" t="s">
        <v>2361</v>
      </c>
      <c r="C365" s="15">
        <v>8</v>
      </c>
      <c r="D365" s="33">
        <v>65</v>
      </c>
      <c r="E365" s="33">
        <v>520</v>
      </c>
      <c r="F365" s="33">
        <v>581.17647058823536</v>
      </c>
      <c r="G365" s="33">
        <v>988</v>
      </c>
    </row>
    <row r="366" spans="1:7">
      <c r="A366" s="44">
        <v>44926</v>
      </c>
      <c r="B366" s="15" t="s">
        <v>2360</v>
      </c>
      <c r="C366" s="15">
        <v>5</v>
      </c>
      <c r="D366" s="33">
        <v>55</v>
      </c>
      <c r="E366" s="33">
        <v>275</v>
      </c>
      <c r="F366" s="33">
        <v>307.35294117647061</v>
      </c>
      <c r="G366" s="33">
        <v>522.5</v>
      </c>
    </row>
  </sheetData>
  <conditionalFormatting sqref="A2:A366">
    <cfRule type="expression" dxfId="4" priority="11">
      <formula>AND(OR($A2=$K$1,$A2=$K$3))</formula>
    </cfRule>
    <cfRule type="expression" dxfId="3" priority="13">
      <formula>AND($A2&gt;=$K$1, $A2&lt;=$K$3, COLUMN(A2)=MATCH(#REF!,$A$1:$G$1,0))</formula>
    </cfRule>
  </conditionalFormatting>
  <conditionalFormatting sqref="G2:G366">
    <cfRule type="expression" dxfId="2" priority="9">
      <formula>$G2&gt;=500</formula>
    </cfRule>
  </conditionalFormatting>
  <conditionalFormatting sqref="G2:G366">
    <cfRule type="expression" dxfId="1" priority="8">
      <formula>$G2&lt;500</formula>
    </cfRule>
  </conditionalFormatting>
  <conditionalFormatting sqref="G1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{30384722-4967-4B82-BCC2-DB33E7AB76FF}</x14:id>
        </ext>
      </extLst>
    </cfRule>
  </conditionalFormatting>
  <conditionalFormatting sqref="C2:C366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{5FA7E89F-DF47-4092-85BD-3A08FDE3F7EF}</x14:id>
        </ext>
      </extLst>
    </cfRule>
  </conditionalFormatting>
  <conditionalFormatting sqref="A2:F366">
    <cfRule type="expression" dxfId="0" priority="1">
      <formula>AND($A2&gt;=$J$1,$A2&lt;=$J$2)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384722-4967-4B82-BCC2-DB33E7AB76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</xm:sqref>
        </x14:conditionalFormatting>
        <x14:conditionalFormatting xmlns:xm="http://schemas.microsoft.com/office/excel/2006/main">
          <x14:cfRule type="dataBar" id="{5FA7E89F-DF47-4092-85BD-3A08FDE3F7E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C2:C366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Eeshani</dc:creator>
  <cp:keywords/>
  <dc:description/>
  <cp:lastModifiedBy/>
  <cp:revision/>
  <dcterms:created xsi:type="dcterms:W3CDTF">2014-02-22T19:47:32Z</dcterms:created>
  <dcterms:modified xsi:type="dcterms:W3CDTF">2026-07-29T18:46:50Z</dcterms:modified>
  <cp:category/>
  <cp:contentStatus/>
</cp:coreProperties>
</file>